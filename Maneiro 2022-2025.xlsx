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8FB15BE-AEE7-4014-95CF-7598775EC1C8}" xr6:coauthVersionLast="47" xr6:coauthVersionMax="47" xr10:uidLastSave="{00000000-0000-0000-0000-000000000000}"/>
  <bookViews>
    <workbookView xWindow="45" yWindow="165" windowWidth="20445" windowHeight="10755" xr2:uid="{00000000-000D-0000-FFFF-FFFF00000000}"/>
  </bookViews>
  <sheets>
    <sheet name=" Moviemientos 2022- 2023" sheetId="1" r:id="rId1"/>
    <sheet name="Vencimientos" sheetId="6" r:id="rId2"/>
    <sheet name="Cheques" sheetId="3" r:id="rId3"/>
    <sheet name="Sueldo Mensual" sheetId="7" r:id="rId4"/>
    <sheet name="Sueldo Semanal" sheetId="8" r:id="rId5"/>
    <sheet name="Comporbante Sueldos" sheetId="10" r:id="rId6"/>
    <sheet name="Hoja1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3" l="1"/>
  <c r="C13" i="3"/>
  <c r="C9" i="3"/>
  <c r="C16" i="3"/>
  <c r="B85" i="6"/>
  <c r="B88" i="6" s="1"/>
  <c r="E54" i="6"/>
  <c r="C7" i="8"/>
  <c r="B57" i="7"/>
  <c r="E84" i="6"/>
  <c r="C23" i="8"/>
  <c r="C54" i="6"/>
  <c r="C5" i="3"/>
  <c r="D38" i="7"/>
  <c r="D39" i="7" s="1"/>
  <c r="D40" i="7" s="1"/>
  <c r="D41" i="7" s="1"/>
  <c r="D5" i="7"/>
  <c r="D6" i="7" s="1"/>
  <c r="D7" i="7" s="1"/>
  <c r="D8" i="7" s="1"/>
  <c r="D16" i="7"/>
  <c r="D17" i="7" s="1"/>
  <c r="D18" i="7" s="1"/>
  <c r="D19" i="7" s="1"/>
  <c r="D25" i="8" l="1"/>
  <c r="H4893" i="1"/>
  <c r="H4864" i="1"/>
  <c r="H4823" i="1"/>
  <c r="H4789" i="1"/>
  <c r="F5494" i="1" l="1"/>
  <c r="F5795" i="1" l="1"/>
  <c r="F5826" i="1" s="1"/>
  <c r="F463" i="1" l="1"/>
  <c r="E463" i="1"/>
  <c r="E247" i="1"/>
  <c r="F247" i="1"/>
  <c r="H1708" i="1" l="1"/>
  <c r="E1695" i="1" l="1"/>
  <c r="F1695" i="1"/>
  <c r="E1032" i="1" l="1"/>
  <c r="F1032" i="1"/>
  <c r="E1033" i="1" l="1"/>
  <c r="E130" i="1" l="1"/>
  <c r="F130" i="1"/>
</calcChain>
</file>

<file path=xl/sharedStrings.xml><?xml version="1.0" encoding="utf-8"?>
<sst xmlns="http://schemas.openxmlformats.org/spreadsheetml/2006/main" count="30136" uniqueCount="4827">
  <si>
    <t>Fecha</t>
  </si>
  <si>
    <t>Comprobante</t>
  </si>
  <si>
    <t>Area</t>
  </si>
  <si>
    <t>Nombre</t>
  </si>
  <si>
    <t>Entrada</t>
  </si>
  <si>
    <t>Salida</t>
  </si>
  <si>
    <t>Caja</t>
  </si>
  <si>
    <t>Observaciones</t>
  </si>
  <si>
    <t>Debito</t>
  </si>
  <si>
    <t>La Nueva Radio</t>
  </si>
  <si>
    <t>TOTAL</t>
  </si>
  <si>
    <t>Carrier Fueguina</t>
  </si>
  <si>
    <t>Bunker</t>
  </si>
  <si>
    <t>Camuzzi</t>
  </si>
  <si>
    <t>Telefonica</t>
  </si>
  <si>
    <t>Edes</t>
  </si>
  <si>
    <t>Visa Platinum</t>
  </si>
  <si>
    <t>Movistar</t>
  </si>
  <si>
    <t>Alquiler</t>
  </si>
  <si>
    <t>Seguros Nativa</t>
  </si>
  <si>
    <t>Total</t>
  </si>
  <si>
    <t>Afip</t>
  </si>
  <si>
    <t>Impuestos Municipales</t>
  </si>
  <si>
    <t>Seg. E Higiene</t>
  </si>
  <si>
    <t>Auricchio</t>
  </si>
  <si>
    <t>Villegas 61</t>
  </si>
  <si>
    <t>Villegas 65</t>
  </si>
  <si>
    <t>CC</t>
  </si>
  <si>
    <t>ARBA</t>
  </si>
  <si>
    <t>Proveedor</t>
  </si>
  <si>
    <t>Deuda</t>
  </si>
  <si>
    <t>Saldo</t>
  </si>
  <si>
    <t>Casa Bello</t>
  </si>
  <si>
    <t>Cepego</t>
  </si>
  <si>
    <t>Comisiones Garipe</t>
  </si>
  <si>
    <t>CUNO</t>
  </si>
  <si>
    <t>Elisa Guede</t>
  </si>
  <si>
    <t>ENPA</t>
  </si>
  <si>
    <t>Ferreteria Furland</t>
  </si>
  <si>
    <t>Hermosilla Repuestos</t>
  </si>
  <si>
    <t>Literas Hernan</t>
  </si>
  <si>
    <t>Pathfoam</t>
  </si>
  <si>
    <t>Refrigeracion Bahia</t>
  </si>
  <si>
    <t>Ritrac</t>
  </si>
  <si>
    <t>Rodriguez Nuñez</t>
  </si>
  <si>
    <t>Rowa</t>
  </si>
  <si>
    <t>Sociedad Rural</t>
  </si>
  <si>
    <t>Suminox</t>
  </si>
  <si>
    <t>Triangular SA</t>
  </si>
  <si>
    <t>Trasnporte TAS</t>
  </si>
  <si>
    <t>DAVICA</t>
  </si>
  <si>
    <t>Libra</t>
  </si>
  <si>
    <t>Whurt</t>
  </si>
  <si>
    <t>Zingueria Varela</t>
  </si>
  <si>
    <t>Factura A</t>
  </si>
  <si>
    <t>Gastos</t>
  </si>
  <si>
    <t>Caja Efectivo</t>
  </si>
  <si>
    <t>AVAP</t>
  </si>
  <si>
    <t>Placas Aberasturi</t>
  </si>
  <si>
    <t>X</t>
  </si>
  <si>
    <t>Librería</t>
  </si>
  <si>
    <t>Creecer</t>
  </si>
  <si>
    <t>Ferreteria</t>
  </si>
  <si>
    <t>Ferreteria Diale</t>
  </si>
  <si>
    <t>Coop San Martin</t>
  </si>
  <si>
    <t>Vehiculos</t>
  </si>
  <si>
    <t>Seguros Nativa Strada - Fiorino</t>
  </si>
  <si>
    <t>Biurrarena</t>
  </si>
  <si>
    <t>Limpieza</t>
  </si>
  <si>
    <t>Maira Verdugo</t>
  </si>
  <si>
    <t>Coop Obrera</t>
  </si>
  <si>
    <t>Carrier SRL</t>
  </si>
  <si>
    <t>Caja Cheque</t>
  </si>
  <si>
    <t>Nicolas Roth</t>
  </si>
  <si>
    <t>Surrey 3000</t>
  </si>
  <si>
    <t>Gaston Zarate</t>
  </si>
  <si>
    <t>Instalacion</t>
  </si>
  <si>
    <t>VJMM</t>
  </si>
  <si>
    <t>Lavado Captur</t>
  </si>
  <si>
    <t>JMM</t>
  </si>
  <si>
    <t>Hernan Litera</t>
  </si>
  <si>
    <t>Aberasturi</t>
  </si>
  <si>
    <t>Benjamin Araya</t>
  </si>
  <si>
    <t>Instituto Radiologico</t>
  </si>
  <si>
    <t xml:space="preserve">Amado - Partiuclar </t>
  </si>
  <si>
    <t>Comision Garipe</t>
  </si>
  <si>
    <t>Combustible</t>
  </si>
  <si>
    <t>Transporte</t>
  </si>
  <si>
    <t>Sueldos</t>
  </si>
  <si>
    <t>Ayudante</t>
  </si>
  <si>
    <t>Personal</t>
  </si>
  <si>
    <t>Nov</t>
  </si>
  <si>
    <t>Service</t>
  </si>
  <si>
    <t>Diciembre</t>
  </si>
  <si>
    <t>Servicios</t>
  </si>
  <si>
    <t>Visa Pymes</t>
  </si>
  <si>
    <t>Cheque debitado 081612180</t>
  </si>
  <si>
    <t>Cheque</t>
  </si>
  <si>
    <t>Cheque debitado 081612184</t>
  </si>
  <si>
    <t>FEBRERO</t>
  </si>
  <si>
    <t>Moratoria Villegas 61</t>
  </si>
  <si>
    <t>Moratoria Villegas 61 - SS</t>
  </si>
  <si>
    <t>Moratoria Villegas 65 -SS</t>
  </si>
  <si>
    <t>Impuestos</t>
  </si>
  <si>
    <t>Combustible Fiorino</t>
  </si>
  <si>
    <t>Taller Protegido</t>
  </si>
  <si>
    <t>Barri Cosmi - Centro de Compras</t>
  </si>
  <si>
    <t>Combustible Strada</t>
  </si>
  <si>
    <t>CU</t>
  </si>
  <si>
    <t>Supermercado</t>
  </si>
  <si>
    <t>Cheque debitado 081612219</t>
  </si>
  <si>
    <t>Ana Weisbek</t>
  </si>
  <si>
    <t>Limpieza Maira</t>
  </si>
  <si>
    <t>Ansal</t>
  </si>
  <si>
    <t>Tienda los Vascos</t>
  </si>
  <si>
    <t>Euguenia Peres - Cascallares</t>
  </si>
  <si>
    <t>Surrey 4500</t>
  </si>
  <si>
    <t>Atilio Rabuini</t>
  </si>
  <si>
    <t>Midea 3000 - Inst</t>
  </si>
  <si>
    <t>Tiro Patritico</t>
  </si>
  <si>
    <t>Ganadera Saliquelo</t>
  </si>
  <si>
    <t>Cheque debitado 081612216</t>
  </si>
  <si>
    <t>Cheques</t>
  </si>
  <si>
    <t>Transporte La Puntual</t>
  </si>
  <si>
    <t>Cheque propio</t>
  </si>
  <si>
    <t>Manuel Toloza</t>
  </si>
  <si>
    <t xml:space="preserve">Valor Extra </t>
  </si>
  <si>
    <t xml:space="preserve">Fecha de Pago </t>
  </si>
  <si>
    <t>Importe</t>
  </si>
  <si>
    <t xml:space="preserve">Corresponde a semana de: </t>
  </si>
  <si>
    <t>Milagros Maneiro</t>
  </si>
  <si>
    <t>Jose Manuel Maneiro</t>
  </si>
  <si>
    <t>Horas Extras</t>
  </si>
  <si>
    <t>Dias habiles</t>
  </si>
  <si>
    <t>Sabados</t>
  </si>
  <si>
    <t>Trabajo</t>
  </si>
  <si>
    <t>Manuel</t>
  </si>
  <si>
    <t>Damian Centonze</t>
  </si>
  <si>
    <t>SUELDO</t>
  </si>
  <si>
    <t xml:space="preserve">Valor  Hora Extra </t>
  </si>
  <si>
    <t>MANUEL</t>
  </si>
  <si>
    <t>MILAGROS</t>
  </si>
  <si>
    <t>Valor Semana</t>
  </si>
  <si>
    <t>J.M.M.</t>
  </si>
  <si>
    <t>Sueldo Milagros Maneiro</t>
  </si>
  <si>
    <t>Marti Gimenez</t>
  </si>
  <si>
    <t>Terciarizado</t>
  </si>
  <si>
    <t>Locacion caja de seguridad</t>
  </si>
  <si>
    <t>Cheque debitado 081612210</t>
  </si>
  <si>
    <t>Trasnferencia CU a CC</t>
  </si>
  <si>
    <t>Bancos</t>
  </si>
  <si>
    <t>Particular JMM</t>
  </si>
  <si>
    <t>Publcidad Dar de Nuevo</t>
  </si>
  <si>
    <t>Lise Gases</t>
  </si>
  <si>
    <t>Camara de Comercio CS</t>
  </si>
  <si>
    <t>IVA</t>
  </si>
  <si>
    <t>AFIP</t>
  </si>
  <si>
    <t>42000Caja
500000 Redondo
u$u 3900
Cheque $88400</t>
  </si>
  <si>
    <t>Gisel Hernandez</t>
  </si>
  <si>
    <t>Ullman - Vta TD</t>
  </si>
  <si>
    <t>Mostrador</t>
  </si>
  <si>
    <t>1 - Juego Grampas 42</t>
  </si>
  <si>
    <t> 2.362,47</t>
  </si>
  <si>
    <t>Caja de Seguridad</t>
  </si>
  <si>
    <t>Mercdes P y J Emilio Fernandez</t>
  </si>
  <si>
    <t>Materiales Calef</t>
  </si>
  <si>
    <t>Alquiler JMM</t>
  </si>
  <si>
    <t xml:space="preserve">Sueldos </t>
  </si>
  <si>
    <t>Canje interno recibido 24 hs 081612211</t>
  </si>
  <si>
    <t>Carlos Schmidth</t>
  </si>
  <si>
    <t>Plaza Hnos</t>
  </si>
  <si>
    <t>Aberasturi Gregorio</t>
  </si>
  <si>
    <t>266500 Caja Chica
500000 Redondo
u$u 3000
Cheque $ 56.000,-</t>
  </si>
  <si>
    <t>Seguo de Vida</t>
  </si>
  <si>
    <t>Seguro</t>
  </si>
  <si>
    <t>Comision Milagros Maneiro</t>
  </si>
  <si>
    <t>Comision</t>
  </si>
  <si>
    <t>Bomberos Voluntario</t>
  </si>
  <si>
    <t>Cuota</t>
  </si>
  <si>
    <t>Municipalidad Adolfo Alsina</t>
  </si>
  <si>
    <t>Materiales AA</t>
  </si>
  <si>
    <t>Seguro de Vida</t>
  </si>
  <si>
    <t>Cheque debitado 081612185</t>
  </si>
  <si>
    <t>Cheque debitado 081612220</t>
  </si>
  <si>
    <t>Presetamo</t>
  </si>
  <si>
    <t>Prestamo</t>
  </si>
  <si>
    <t xml:space="preserve">Nativa Seguros </t>
  </si>
  <si>
    <t>Venta Mostrado</t>
  </si>
  <si>
    <t>Cabera Castilla</t>
  </si>
  <si>
    <t>Ing Suarez</t>
  </si>
  <si>
    <t>Transporte TAS</t>
  </si>
  <si>
    <t>Prov N 549 18/03</t>
  </si>
  <si>
    <t>Santander 225 7450 18/02 - 224 18/03</t>
  </si>
  <si>
    <t>Sueldo JMM</t>
  </si>
  <si>
    <t>30000 Redondo</t>
  </si>
  <si>
    <t>Combustible Captur</t>
  </si>
  <si>
    <t>Pohels Luis Maria</t>
  </si>
  <si>
    <t>Comision CU</t>
  </si>
  <si>
    <t>IVA CU</t>
  </si>
  <si>
    <t>Repuestos</t>
  </si>
  <si>
    <t>Fabiani - Bomba Polehs</t>
  </si>
  <si>
    <t> 5980</t>
  </si>
  <si>
    <t>Cheque debitado 081612188</t>
  </si>
  <si>
    <t>Cheque debitado 081612217</t>
  </si>
  <si>
    <t>Lambrecht Jose Alberto</t>
  </si>
  <si>
    <t>Proveedores</t>
  </si>
  <si>
    <t>Cheque Propio</t>
  </si>
  <si>
    <t>Electromecanica Atlas</t>
  </si>
  <si>
    <t>Sueldo Damian Centonze</t>
  </si>
  <si>
    <t>Tarjeta</t>
  </si>
  <si>
    <t>Seguros Nativa Captur</t>
  </si>
  <si>
    <t>Patente Captur</t>
  </si>
  <si>
    <t>Caccavo Agustina</t>
  </si>
  <si>
    <t>Tanque PVC</t>
  </si>
  <si>
    <t>Split Surrey 3000 FC</t>
  </si>
  <si>
    <t>Maneiro Calefaccion</t>
  </si>
  <si>
    <t>Firma</t>
  </si>
  <si>
    <t>13500 caja Grande</t>
  </si>
  <si>
    <t>Wagner Javier</t>
  </si>
  <si>
    <t>Sueldo Manuel Toloza</t>
  </si>
  <si>
    <t>Sueldos Damian Centonze</t>
  </si>
  <si>
    <t>Intereses Descubierto CU</t>
  </si>
  <si>
    <t>Iva CU</t>
  </si>
  <si>
    <t>Transferencia CU a CC</t>
  </si>
  <si>
    <t>Nacho Fabre</t>
  </si>
  <si>
    <t>Cooperadora Hospital</t>
  </si>
  <si>
    <t>ARBA - Guareschi</t>
  </si>
  <si>
    <t> 7500,44</t>
  </si>
  <si>
    <t>Lucia Puglieses</t>
  </si>
  <si>
    <t>31/12/2021 Pagado</t>
  </si>
  <si>
    <t>Contador</t>
  </si>
  <si>
    <t>VTV JMM</t>
  </si>
  <si>
    <t>Martin Gimenez</t>
  </si>
  <si>
    <t>Coop Agropecuaria</t>
  </si>
  <si>
    <t>Sueldos JMM</t>
  </si>
  <si>
    <t>Prov 1679 8/02 Meier Eduardo</t>
  </si>
  <si>
    <t>Margiotta Jorge</t>
  </si>
  <si>
    <t>Rifa Centro de Jubilados</t>
  </si>
  <si>
    <t>Aricar</t>
  </si>
  <si>
    <t>Provedor</t>
  </si>
  <si>
    <t>$ 18000 - $ 28000 - $ 1300</t>
  </si>
  <si>
    <t>JMM - Particular</t>
  </si>
  <si>
    <t>Aberastury</t>
  </si>
  <si>
    <t>AlquiRap</t>
  </si>
  <si>
    <t>Nacho Favre</t>
  </si>
  <si>
    <t>EDES</t>
  </si>
  <si>
    <t>Corralon Don Pablo</t>
  </si>
  <si>
    <t>N 2263 24/02</t>
  </si>
  <si>
    <t>Nacion N 1679 08/02 Meier Eduardo</t>
  </si>
  <si>
    <t>Transporte Puntual</t>
  </si>
  <si>
    <t>Saldo $ 2627</t>
  </si>
  <si>
    <t>Tornero - arreglo</t>
  </si>
  <si>
    <t>Deposito CU</t>
  </si>
  <si>
    <t>5700 Caja Chica</t>
  </si>
  <si>
    <t>Caja dolares</t>
  </si>
  <si>
    <t>Estancia Sauce Corto - Allende Gionocchi</t>
  </si>
  <si>
    <t>N 2264 12/03</t>
  </si>
  <si>
    <t>Prisma</t>
  </si>
  <si>
    <t>Alfonso Aldana</t>
  </si>
  <si>
    <t>Sueldos Milagros Maneiro</t>
  </si>
  <si>
    <t>N 2265  10/07 $ 2500 - 2266 10/08 $ 2500</t>
  </si>
  <si>
    <t>Rifa Bomberos</t>
  </si>
  <si>
    <t>Telefonica Enero</t>
  </si>
  <si>
    <t xml:space="preserve">Gastos </t>
  </si>
  <si>
    <t>Comision Gimenez Martin</t>
  </si>
  <si>
    <t>Tarjeta Credito</t>
  </si>
  <si>
    <t>Facundo Indart</t>
  </si>
  <si>
    <t>Adolfo Aldana</t>
  </si>
  <si>
    <t>Santander N 0174 $ 36000 21/03 - N 0176 
$ 36000 21/04</t>
  </si>
  <si>
    <t>Camuzzi - Enero</t>
  </si>
  <si>
    <t>Kette Roberto</t>
  </si>
  <si>
    <t>Seguro Accidentes Personales</t>
  </si>
  <si>
    <t>Tomas Palacio</t>
  </si>
  <si>
    <t>Eduardo Guareschi</t>
  </si>
  <si>
    <t>Rafin Marisa</t>
  </si>
  <si>
    <t>Nuesch Adalberto</t>
  </si>
  <si>
    <t>Eduardo Isla</t>
  </si>
  <si>
    <t>Partiuclar JMM</t>
  </si>
  <si>
    <t>Transferencia CC a CU</t>
  </si>
  <si>
    <t>MARZO</t>
  </si>
  <si>
    <t>Saul Arcucchi  - Intercambiador EG</t>
  </si>
  <si>
    <t>Prestamo Personal Cuota N 1</t>
  </si>
  <si>
    <t>Pretamo</t>
  </si>
  <si>
    <t>Bellmor</t>
  </si>
  <si>
    <t>Trasnfereia CC a CCU</t>
  </si>
  <si>
    <t>Rodrigurz Nuñez Santarios</t>
  </si>
  <si>
    <t>Feb - Marz</t>
  </si>
  <si>
    <t>Echeq</t>
  </si>
  <si>
    <t>Agua Pura x 12</t>
  </si>
  <si>
    <t> 46500</t>
  </si>
  <si>
    <t>Coopeerativa Obrera</t>
  </si>
  <si>
    <t>Comision Palacios</t>
  </si>
  <si>
    <t>37000 Redondo</t>
  </si>
  <si>
    <t>Cheque debitado 081612191</t>
  </si>
  <si>
    <t>Cheque debitado 081612263</t>
  </si>
  <si>
    <t>Moratoria Villegas 65</t>
  </si>
  <si>
    <t>Marina Harriot</t>
  </si>
  <si>
    <t>Santander N 0001 07/03</t>
  </si>
  <si>
    <t>Nicolas Menna</t>
  </si>
  <si>
    <t>Delia Weis</t>
  </si>
  <si>
    <t>Eduardo Graham</t>
  </si>
  <si>
    <t>Cabrera Castilla</t>
  </si>
  <si>
    <t>Gallardo Facundo</t>
  </si>
  <si>
    <t>Raffin Marisa</t>
  </si>
  <si>
    <t>De Souza Maria Elisa</t>
  </si>
  <si>
    <t>Saldo $ 5750.-</t>
  </si>
  <si>
    <t>Nicolas Larregui</t>
  </si>
  <si>
    <t>Gimenez Martin</t>
  </si>
  <si>
    <t>Terciarizacion</t>
  </si>
  <si>
    <t>IIBB</t>
  </si>
  <si>
    <t>Tarjeta Pyme</t>
  </si>
  <si>
    <t>Cancelacion Prestamo Personal</t>
  </si>
  <si>
    <t>IIBB 07/2021</t>
  </si>
  <si>
    <t>Santander N 0174 $ 36000 21/03 - N 0176 
$ 36000 21/04 Indat - Santander N 001 $
14800 Marina Harriot</t>
  </si>
  <si>
    <t>Cheques propios</t>
  </si>
  <si>
    <t>Kees Hnos</t>
  </si>
  <si>
    <t>Ferreteria Furlans</t>
  </si>
  <si>
    <t>Eduardo Gaham</t>
  </si>
  <si>
    <t>Faundo Indart</t>
  </si>
  <si>
    <t>Deposito CC</t>
  </si>
  <si>
    <t>Creccer</t>
  </si>
  <si>
    <t>Pablo Schwindt</t>
  </si>
  <si>
    <t>Nacion N 6276 15/04 - N 6277 15/04 -N 6278 30/04
N 6279 30/04 - N 6280 15/05 - N 6281 15/05</t>
  </si>
  <si>
    <t>Harisua</t>
  </si>
  <si>
    <t>Soldador</t>
  </si>
  <si>
    <t>Menna</t>
  </si>
  <si>
    <t>Librería provincia</t>
  </si>
  <si>
    <t>Servicio</t>
  </si>
  <si>
    <t xml:space="preserve"> </t>
  </si>
  <si>
    <t>Patente ARBA - Fiorino</t>
  </si>
  <si>
    <t>Patente ARBA - Strada</t>
  </si>
  <si>
    <t>Patente ARBA - Captur</t>
  </si>
  <si>
    <t>Cheque debitado 081612218</t>
  </si>
  <si>
    <t>Bancps</t>
  </si>
  <si>
    <t>Monotributo Milagros Maneiro</t>
  </si>
  <si>
    <t>Ferrteria Furland</t>
  </si>
  <si>
    <t>Reparacion Placa Caludio Presa</t>
  </si>
  <si>
    <t>Patente Fiorino - Strada</t>
  </si>
  <si>
    <t>Vta. Equipo Usado</t>
  </si>
  <si>
    <t>Pago Equipo</t>
  </si>
  <si>
    <t>JMM Particuar</t>
  </si>
  <si>
    <t>Cheque debitado 081612224</t>
  </si>
  <si>
    <t>Varela Raul Oscar</t>
  </si>
  <si>
    <t>ARBA JMM</t>
  </si>
  <si>
    <t>Amex</t>
  </si>
  <si>
    <t>Visa</t>
  </si>
  <si>
    <t>Tinamu</t>
  </si>
  <si>
    <t>Tiro Federal</t>
  </si>
  <si>
    <t>Mis Facilidades</t>
  </si>
  <si>
    <t>Copperativa Obrera</t>
  </si>
  <si>
    <t>Cheque debitado 081612251</t>
  </si>
  <si>
    <t>Canje interno recibido 24 hs 081612253</t>
  </si>
  <si>
    <t>Canje interno recibido 24 hs 081612264</t>
  </si>
  <si>
    <t>Asociacion Italiana</t>
  </si>
  <si>
    <t>Jaire</t>
  </si>
  <si>
    <t>Vega Dario</t>
  </si>
  <si>
    <t>Presa Caludio</t>
  </si>
  <si>
    <t>Dario Vega</t>
  </si>
  <si>
    <t>Transferencia CC aCU</t>
  </si>
  <si>
    <t>Monica Cassani</t>
  </si>
  <si>
    <t>Cesar Gutierrez</t>
  </si>
  <si>
    <t>Aricar Electricdad</t>
  </si>
  <si>
    <t>Almuerzo Triangular</t>
  </si>
  <si>
    <t xml:space="preserve">Nacion N 6276 15/04 - N 6277 15/04 -N 6278 30/04
N 6280 15/05 </t>
  </si>
  <si>
    <t>Sueldos Jose Manuel Maneiro</t>
  </si>
  <si>
    <t>Café</t>
  </si>
  <si>
    <t>Pago Manuel Tiro Federal</t>
  </si>
  <si>
    <t>Coop Trasnporte</t>
  </si>
  <si>
    <t>Isabel CooK</t>
  </si>
  <si>
    <t>Bomberos Voluntarios</t>
  </si>
  <si>
    <t>Marz - Abril</t>
  </si>
  <si>
    <t>Luvi y Cia SA</t>
  </si>
  <si>
    <t>Santanderrio N 8003 20/04</t>
  </si>
  <si>
    <t>Mano de Obra</t>
  </si>
  <si>
    <t>Martin Zaboroski</t>
  </si>
  <si>
    <t>Provincia N 5149 20/04</t>
  </si>
  <si>
    <t>Marta Hablutzel</t>
  </si>
  <si>
    <t>Centro de Dia</t>
  </si>
  <si>
    <t>Adalberto Nuesch</t>
  </si>
  <si>
    <t>Seguro de Accidentes</t>
  </si>
  <si>
    <t>ABC Distribuidora</t>
  </si>
  <si>
    <t>Carlos Fama - Centro de Dia</t>
  </si>
  <si>
    <t>Carlos Fama - Monica Cassai</t>
  </si>
  <si>
    <t>Acreditacion CC</t>
  </si>
  <si>
    <t>Perez Santellan</t>
  </si>
  <si>
    <t>Oscar Arroquy</t>
  </si>
  <si>
    <t>$ 35.200,-</t>
  </si>
  <si>
    <t>42,000,-</t>
  </si>
  <si>
    <t>Seguridad e Higiene</t>
  </si>
  <si>
    <t>Marzo</t>
  </si>
  <si>
    <t>Servicios Sanitarios - Villegas 65</t>
  </si>
  <si>
    <t>Servicios Urbanos - Villegas 65</t>
  </si>
  <si>
    <t>Servicios Urbanos - Auricchio</t>
  </si>
  <si>
    <t>Servicios Urbanos - Villegas 61</t>
  </si>
  <si>
    <t>Servicios Sanitarios - Villegas 61</t>
  </si>
  <si>
    <t xml:space="preserve">Camuzzi </t>
  </si>
  <si>
    <t>Comision Cobro</t>
  </si>
  <si>
    <t>Marisa Rafin</t>
  </si>
  <si>
    <t>Perillas Giacomini</t>
  </si>
  <si>
    <t>Echeq clearing recibido 48hs</t>
  </si>
  <si>
    <t>Gotfirdt</t>
  </si>
  <si>
    <t>PVC 35 lts</t>
  </si>
  <si>
    <t>Sarchi Carlos</t>
  </si>
  <si>
    <t>Danuncio Euguenio</t>
  </si>
  <si>
    <t>Soledad Firpo</t>
  </si>
  <si>
    <t>Julieta Weiman</t>
  </si>
  <si>
    <t>Abril</t>
  </si>
  <si>
    <t>Ferrteria Diale</t>
  </si>
  <si>
    <t>Santander N 8006 15/04</t>
  </si>
  <si>
    <t>Repuesto</t>
  </si>
  <si>
    <t>Allen Patricia</t>
  </si>
  <si>
    <t>Santiago Calvet</t>
  </si>
  <si>
    <t>Juan Emilio Fernandez</t>
  </si>
  <si>
    <t>La Pampa N 5881 $ 8400 25/03 Araya Horacio
Bco Nacion N 4215 $ 4920 25/03 Boudou Rob</t>
  </si>
  <si>
    <t>La Pampa N 5881 $ 8400 25/03 Araya Horacio
Bco Nacion N 4215 $ 4920 25/03 Boudou Rob
Santander N 8006 15/04 Luvi Cia</t>
  </si>
  <si>
    <t>Pura Agua 240 lts</t>
  </si>
  <si>
    <t>Pia Guazone</t>
  </si>
  <si>
    <t>Patricia Schafner</t>
  </si>
  <si>
    <t>Clara Cook</t>
  </si>
  <si>
    <t>Marta H</t>
  </si>
  <si>
    <t>Pedro Perego</t>
  </si>
  <si>
    <t>Gutierrez</t>
  </si>
  <si>
    <t>Ezequiel Tagle</t>
  </si>
  <si>
    <t>Ruben Brodsky</t>
  </si>
  <si>
    <t>Caldera</t>
  </si>
  <si>
    <t xml:space="preserve">Vta Conjunto de Frio </t>
  </si>
  <si>
    <t>Orbis</t>
  </si>
  <si>
    <t>Visa Blanck</t>
  </si>
  <si>
    <t>Marcelo Udi</t>
  </si>
  <si>
    <t>Sergio Rodriguez</t>
  </si>
  <si>
    <t>Julio Ktaff</t>
  </si>
  <si>
    <t>Cobsil</t>
  </si>
  <si>
    <t>Caldaia</t>
  </si>
  <si>
    <t>Banco</t>
  </si>
  <si>
    <t>Visa Pyme</t>
  </si>
  <si>
    <t>Nativa Captur</t>
  </si>
  <si>
    <t>Nativa Fiorino</t>
  </si>
  <si>
    <t>Nativa Strada</t>
  </si>
  <si>
    <t>Cheque debitado 081612225</t>
  </si>
  <si>
    <t>Cheque debitado 081612192</t>
  </si>
  <si>
    <t>Ezequiel Tagle Galicia N 30381361 20/04</t>
  </si>
  <si>
    <t>Municipalidad Coronel Suarez</t>
  </si>
  <si>
    <t>Villegas 61 - Impuesto</t>
  </si>
  <si>
    <t>Villegas 61 - Servicios Urbanos</t>
  </si>
  <si>
    <t>Municipalidad Coronel Suarez - Retencion</t>
  </si>
  <si>
    <t>Prov N 1934 $ 29972,52 1/04</t>
  </si>
  <si>
    <t>Creecer Fotocopias</t>
  </si>
  <si>
    <t>Javier Nuñez</t>
  </si>
  <si>
    <t>Triangular</t>
  </si>
  <si>
    <t>Marcelo Schorch</t>
  </si>
  <si>
    <t>Echeq Rowa</t>
  </si>
  <si>
    <t>Maisonnave Hugo</t>
  </si>
  <si>
    <t>Pia Guazzone</t>
  </si>
  <si>
    <t>Limpieza Maira Verdugo</t>
  </si>
  <si>
    <t>Carhue</t>
  </si>
  <si>
    <t>Campanini Hugo</t>
  </si>
  <si>
    <t>Horacio Garros</t>
  </si>
  <si>
    <t>Pia Guazonne</t>
  </si>
  <si>
    <t>Miguel de los Angeles</t>
  </si>
  <si>
    <t>Prestamo Personal 1/12</t>
  </si>
  <si>
    <t>Helena Magariños</t>
  </si>
  <si>
    <t>Angel Fhur</t>
  </si>
  <si>
    <t>Marcos Juarez</t>
  </si>
  <si>
    <t>2 - Split Midea Blanc 2250 - 3000 FC</t>
  </si>
  <si>
    <t>Caja Chica $ 52700 + $ 8500 Caja Aires</t>
  </si>
  <si>
    <t>Sueldos Personal</t>
  </si>
  <si>
    <t>Canje interno recibido 24 hs 081612255</t>
  </si>
  <si>
    <t>Rifa Blanco y Negro</t>
  </si>
  <si>
    <t>2270 - 2271 25/06 $ 2700 - 25/07 $ 2700</t>
  </si>
  <si>
    <t>EDES Marzo</t>
  </si>
  <si>
    <t>Comison Milagros Maneiro - EDES</t>
  </si>
  <si>
    <t xml:space="preserve">Rabuini </t>
  </si>
  <si>
    <t>Puerto Digital</t>
  </si>
  <si>
    <t>Planchuela</t>
  </si>
  <si>
    <t>AFIP IVA Octubre</t>
  </si>
  <si>
    <t>AFIP Interes</t>
  </si>
  <si>
    <t>Mirta Garcia</t>
  </si>
  <si>
    <t>Mendoza Raul</t>
  </si>
  <si>
    <t>ABC</t>
  </si>
  <si>
    <t>ARBA Inmobiliario</t>
  </si>
  <si>
    <t>Marcelo Grismann</t>
  </si>
  <si>
    <t>Cheque debitado 081612221</t>
  </si>
  <si>
    <t>Madera Filtros</t>
  </si>
  <si>
    <t>Radiador</t>
  </si>
  <si>
    <t>$ 12,740 Viernes 14-04</t>
  </si>
  <si>
    <t>Escribani Bras</t>
  </si>
  <si>
    <t>Facundo Peña</t>
  </si>
  <si>
    <t>Municipalidad Adolfo Alsina IIBB</t>
  </si>
  <si>
    <t>Juan Luqui</t>
  </si>
  <si>
    <t>TC - CC</t>
  </si>
  <si>
    <t>Julieta Weimann</t>
  </si>
  <si>
    <t>TB - CC</t>
  </si>
  <si>
    <t>Casa Gato</t>
  </si>
  <si>
    <t>Teresa Louge</t>
  </si>
  <si>
    <t>American Express</t>
  </si>
  <si>
    <t>Carrier SRL - Totaline</t>
  </si>
  <si>
    <t>Carrier SRL - Caldera Riello</t>
  </si>
  <si>
    <t>Mercedes Pugliese - Juan Emilio Fernandez</t>
  </si>
  <si>
    <t>Gaston Rondina</t>
  </si>
  <si>
    <t>Carlos Fama</t>
  </si>
  <si>
    <t>Gasto Empresa</t>
  </si>
  <si>
    <t>Santiago Bonaterre</t>
  </si>
  <si>
    <t>Satander N 10800169 29-04 Duena Paula</t>
  </si>
  <si>
    <t>Dentista</t>
  </si>
  <si>
    <t xml:space="preserve">La nueva radio </t>
  </si>
  <si>
    <t>Mario Nuesch</t>
  </si>
  <si>
    <t>Luqui Juan</t>
  </si>
  <si>
    <t>Saldo Marzo $ 55.378</t>
  </si>
  <si>
    <t>Transpote TAS</t>
  </si>
  <si>
    <t>Tansporte</t>
  </si>
  <si>
    <t>ARBA IIBB Moratoria</t>
  </si>
  <si>
    <t>Teresa de Lusarreta</t>
  </si>
  <si>
    <t>Compra ML termostatos Diletta</t>
  </si>
  <si>
    <t>Abril - Mayo</t>
  </si>
  <si>
    <t>Camara de Comercio</t>
  </si>
  <si>
    <t>$ 7500 + 20000</t>
  </si>
  <si>
    <t>Diego</t>
  </si>
  <si>
    <t>1 Grifo Calefi</t>
  </si>
  <si>
    <t>800000 Caja Grande</t>
  </si>
  <si>
    <t>3400 Caja Grande Dolares</t>
  </si>
  <si>
    <t>143300 Caja Cheque</t>
  </si>
  <si>
    <t>125260,03 CC</t>
  </si>
  <si>
    <t>35270 Caja Chica</t>
  </si>
  <si>
    <t>E &amp; L Turismo - Tanque PVC</t>
  </si>
  <si>
    <t>Echeq Carrier</t>
  </si>
  <si>
    <t>Seguro Vivienda</t>
  </si>
  <si>
    <t>Seguro Vida</t>
  </si>
  <si>
    <t>Imprenta</t>
  </si>
  <si>
    <t>Nacion N 627930/04 Pablo Scwindt</t>
  </si>
  <si>
    <t>Willam Purvis</t>
  </si>
  <si>
    <t>Surrey Inverter 3000 FC</t>
  </si>
  <si>
    <t>Alferes Bejamin</t>
  </si>
  <si>
    <t>Comision Nestor Chavez</t>
  </si>
  <si>
    <t>Inta Bordenabe</t>
  </si>
  <si>
    <t xml:space="preserve">Combustible </t>
  </si>
  <si>
    <t>ARBA IIBB</t>
  </si>
  <si>
    <t>Tarjeta VISA Black</t>
  </si>
  <si>
    <t>Sueldo</t>
  </si>
  <si>
    <t>Marisol Garcias Mosca</t>
  </si>
  <si>
    <t>Bomba Rowa Plan Canje SFL 20</t>
  </si>
  <si>
    <t>MAYO</t>
  </si>
  <si>
    <t>Diego Santillan</t>
  </si>
  <si>
    <t>Alicia Corro</t>
  </si>
  <si>
    <t>Repuesto Bomba Caldera</t>
  </si>
  <si>
    <t>CU - $ 15.189,27</t>
  </si>
  <si>
    <t>Caja Chica $ 20.670</t>
  </si>
  <si>
    <t>CC $ 1699862,62</t>
  </si>
  <si>
    <t>Cerrajeria Manuyo</t>
  </si>
  <si>
    <t>Telefono Marzo</t>
  </si>
  <si>
    <t>Hirigoity Nestor</t>
  </si>
  <si>
    <t>Nacion N 9879 03-05</t>
  </si>
  <si>
    <t>Canje interno recibido 24 hs 081612256</t>
  </si>
  <si>
    <t>Nativa Seguros Fiorino -Strada</t>
  </si>
  <si>
    <t>Nativa Seguros Captu</t>
  </si>
  <si>
    <t>Pintureria El Camaleon</t>
  </si>
  <si>
    <t>Caja Grande $ 805.000</t>
  </si>
  <si>
    <t>Caja Dolares u$s 3.600</t>
  </si>
  <si>
    <t>Jucio Superintendencia de Trabajo</t>
  </si>
  <si>
    <t>Saldo $ 73151,69</t>
  </si>
  <si>
    <t>Caja Cheques $ 0</t>
  </si>
  <si>
    <t>Claudio Rossolen</t>
  </si>
  <si>
    <t>Antonio Fahn</t>
  </si>
  <si>
    <t>Cooperativa Obrera</t>
  </si>
  <si>
    <t>Fotocopia Creecer</t>
  </si>
  <si>
    <t>Gatos</t>
  </si>
  <si>
    <t>Grisman - Tapa Tagle -</t>
  </si>
  <si>
    <t>Marcos Desh</t>
  </si>
  <si>
    <t>Valvula HL</t>
  </si>
  <si>
    <t>Maria Scakmann</t>
  </si>
  <si>
    <t>Placa Presa</t>
  </si>
  <si>
    <t>Larregui</t>
  </si>
  <si>
    <t>Magdalena Bru</t>
  </si>
  <si>
    <t>Malbran - Corro</t>
  </si>
  <si>
    <t>Acreeditacion Coop</t>
  </si>
  <si>
    <t>Nacion N 1340 $ 144500 04/06 - N 1339 $ 144500
04-06</t>
  </si>
  <si>
    <t xml:space="preserve">Sueldo </t>
  </si>
  <si>
    <t>CC $ 199.375,88</t>
  </si>
  <si>
    <t>Caja Chica $ 6.500</t>
  </si>
  <si>
    <t>Caja Cheques $ 18.440.-</t>
  </si>
  <si>
    <t>Caja Grande $ 775.000,-</t>
  </si>
  <si>
    <t>Prestamo Personal 02-12</t>
  </si>
  <si>
    <t>Cheque debitado 081612259</t>
  </si>
  <si>
    <t>Consejo Escolar</t>
  </si>
  <si>
    <t xml:space="preserve">Debito Visa </t>
  </si>
  <si>
    <t>Cheques Propios</t>
  </si>
  <si>
    <t>Rouy Bullon</t>
  </si>
  <si>
    <t>Orliaq Andres</t>
  </si>
  <si>
    <t>Sevice</t>
  </si>
  <si>
    <t>Santander N 00161 30/05</t>
  </si>
  <si>
    <t xml:space="preserve">Moratoria IIBB </t>
  </si>
  <si>
    <t xml:space="preserve">Cheque </t>
  </si>
  <si>
    <t>Chiaparra Cesar</t>
  </si>
  <si>
    <t xml:space="preserve">Placa </t>
  </si>
  <si>
    <t>Combustible Firoino</t>
  </si>
  <si>
    <t>Pantente Captur</t>
  </si>
  <si>
    <t>Pantente Fiorino</t>
  </si>
  <si>
    <t>Patente Strada</t>
  </si>
  <si>
    <t>Galicia N 30381371 13/06</t>
  </si>
  <si>
    <t>Adelanto Damian Centonze</t>
  </si>
  <si>
    <t>Caja Grande $ 745.000,-</t>
  </si>
  <si>
    <t>CU - $ 16,250</t>
  </si>
  <si>
    <t>Mario Gardon</t>
  </si>
  <si>
    <t>Club Tiro Federal Manuel Toloza</t>
  </si>
  <si>
    <t xml:space="preserve">Club Tiro Federal </t>
  </si>
  <si>
    <t>Bru Javier</t>
  </si>
  <si>
    <t>Direccion Genral de Cultura y Educacion</t>
  </si>
  <si>
    <t>Perez Santillan</t>
  </si>
  <si>
    <t>Carrier Srl</t>
  </si>
  <si>
    <t>Marina Vigatto</t>
  </si>
  <si>
    <t>Municipalidad de Guamini</t>
  </si>
  <si>
    <t>Materiales</t>
  </si>
  <si>
    <t>Transferencia</t>
  </si>
  <si>
    <t>Mauro Alebuena</t>
  </si>
  <si>
    <t>Casa Gatto</t>
  </si>
  <si>
    <t>Caja Grande</t>
  </si>
  <si>
    <t>Vta.</t>
  </si>
  <si>
    <t>Motor de recambio</t>
  </si>
  <si>
    <t>Martin Gimenez - Dif Cheque</t>
  </si>
  <si>
    <t>ENET</t>
  </si>
  <si>
    <t>N 2279 01/06</t>
  </si>
  <si>
    <t>Mirta Citadini</t>
  </si>
  <si>
    <t> 8578,34</t>
  </si>
  <si>
    <t>Tiro Federal Manuel Toloza</t>
  </si>
  <si>
    <t>Caja Chica $ 10360</t>
  </si>
  <si>
    <t>CU - $ 15526,58</t>
  </si>
  <si>
    <t>62680 Caja Chica</t>
  </si>
  <si>
    <t>CC $ 93.450,09</t>
  </si>
  <si>
    <t>Echeq Carrier Fueguina 20-05</t>
  </si>
  <si>
    <t>Cheque Rifa Jubilados 20-05</t>
  </si>
  <si>
    <t>Supermercado Chino</t>
  </si>
  <si>
    <t>Supermercado Oriente</t>
  </si>
  <si>
    <t>Movistar Negocios</t>
  </si>
  <si>
    <t>Cheque debitado 081612257</t>
  </si>
  <si>
    <t>Sociedad Italiana</t>
  </si>
  <si>
    <t>La Barraca</t>
  </si>
  <si>
    <t>La Reja</t>
  </si>
  <si>
    <t>Repuestolandia</t>
  </si>
  <si>
    <t>JMM Seguro Vivienda</t>
  </si>
  <si>
    <t>JMM Seguro Accidente</t>
  </si>
  <si>
    <t>Caja Grande $ 625000</t>
  </si>
  <si>
    <t>Visa Black</t>
  </si>
  <si>
    <t>Muncipalidad de Guamini - C. Residentes</t>
  </si>
  <si>
    <t xml:space="preserve">$ 11000  Centro R - $ 4000 </t>
  </si>
  <si>
    <t>Club Progreso</t>
  </si>
  <si>
    <t>Pardo Marcelo</t>
  </si>
  <si>
    <t>Caja Grande $ 639000</t>
  </si>
  <si>
    <t>Prov N 5960 31/05</t>
  </si>
  <si>
    <t>Transporte Tas</t>
  </si>
  <si>
    <t>Caja Chica $ 31000</t>
  </si>
  <si>
    <t>Echeq Carrier Fuegina</t>
  </si>
  <si>
    <t>Comision CC</t>
  </si>
  <si>
    <t>Vanesa Candia</t>
  </si>
  <si>
    <t>Nerina Huth - Estado de Dominio</t>
  </si>
  <si>
    <t>Hospital Italiano</t>
  </si>
  <si>
    <t>Delecro</t>
  </si>
  <si>
    <t>Perez Santillan - Arreglo Eduardo</t>
  </si>
  <si>
    <t>Deposito JMM</t>
  </si>
  <si>
    <t>Service Renaut</t>
  </si>
  <si>
    <t>Cesar Hueguilein</t>
  </si>
  <si>
    <t>Angeles Roth</t>
  </si>
  <si>
    <t>JUNIO</t>
  </si>
  <si>
    <t>Seguro Nativa Fiorino</t>
  </si>
  <si>
    <t>Seguro Nativa Strada</t>
  </si>
  <si>
    <t>Seguro Nativa Captur</t>
  </si>
  <si>
    <t>Publicidad Sociedad Italiana</t>
  </si>
  <si>
    <t>Prestamo 03/12</t>
  </si>
  <si>
    <t>Cheque debitado 081612258 - Elisa Guede</t>
  </si>
  <si>
    <t>Visa PYME</t>
  </si>
  <si>
    <t> 5860,00</t>
  </si>
  <si>
    <t>Dentista JMM</t>
  </si>
  <si>
    <t>Muebleria Galliazi</t>
  </si>
  <si>
    <t>Tasa de Justicia Nerina Huht</t>
  </si>
  <si>
    <t>Agua Pura 240 lts</t>
  </si>
  <si>
    <t>Caja Grande $ 520</t>
  </si>
  <si>
    <t>Plaza de Ayala Hnos</t>
  </si>
  <si>
    <t>Municipalidad CS</t>
  </si>
  <si>
    <t>Caja Chica</t>
  </si>
  <si>
    <t>Caja Grande $ 400.000</t>
  </si>
  <si>
    <t>Caja Dolares u$s 3.900</t>
  </si>
  <si>
    <t>CC $ 221706,39</t>
  </si>
  <si>
    <t>Combustible Particular JMM</t>
  </si>
  <si>
    <t>Bimestral</t>
  </si>
  <si>
    <t>Caja Chica $ 18400</t>
  </si>
  <si>
    <t>Cavalleri</t>
  </si>
  <si>
    <t>Primsa</t>
  </si>
  <si>
    <t>Julio de Aduriz</t>
  </si>
  <si>
    <t>Santander N 8062 $ 16400 22/06 - N 8063 $ 16400 07/07</t>
  </si>
  <si>
    <t>Luvi y Cia</t>
  </si>
  <si>
    <t>Tarjeta Visa</t>
  </si>
  <si>
    <t>Bunker SA</t>
  </si>
  <si>
    <t>Luvi N 8063 07/07</t>
  </si>
  <si>
    <t>Proveedres</t>
  </si>
  <si>
    <t>Bco Galicia</t>
  </si>
  <si>
    <t>Lupias</t>
  </si>
  <si>
    <t>Gaston Aguer</t>
  </si>
  <si>
    <t>Biaglioli</t>
  </si>
  <si>
    <t>Bernardez</t>
  </si>
  <si>
    <t>Chiesa Alberto</t>
  </si>
  <si>
    <t>Juan Enrique Echaide</t>
  </si>
  <si>
    <t>Favre Luis</t>
  </si>
  <si>
    <t>Jucio AFIP</t>
  </si>
  <si>
    <t>Jucio AFIP - Fondos Embargados</t>
  </si>
  <si>
    <t>CU - $ 0</t>
  </si>
  <si>
    <t>CC $ 0</t>
  </si>
  <si>
    <t>Caja Grande $ 30000</t>
  </si>
  <si>
    <t>Caja Grander $ 100000 - Caja Chica $ 16400</t>
  </si>
  <si>
    <t>Caja Chica $ 36100</t>
  </si>
  <si>
    <t xml:space="preserve">Cheque $ 16400 22/06/2022 </t>
  </si>
  <si>
    <t>u$s 300</t>
  </si>
  <si>
    <t>Gas Camuzzi</t>
  </si>
  <si>
    <t>VEP - Honorarios</t>
  </si>
  <si>
    <t>Municipalidad de CS Retenciones</t>
  </si>
  <si>
    <t>Lee Sepermercado</t>
  </si>
  <si>
    <t>Dinolfo</t>
  </si>
  <si>
    <t>Seguros de Caucion</t>
  </si>
  <si>
    <t>Seguros</t>
  </si>
  <si>
    <t>CEF N 70</t>
  </si>
  <si>
    <t>Plaza de Hnos</t>
  </si>
  <si>
    <t>Amex JMM</t>
  </si>
  <si>
    <t>Caja Chica $ 2670</t>
  </si>
  <si>
    <t>Caja Cheque $ 121800</t>
  </si>
  <si>
    <t>CU - $ 16770</t>
  </si>
  <si>
    <t>Caja 16-06-2022</t>
  </si>
  <si>
    <t>CC $ 268066,01</t>
  </si>
  <si>
    <t>Caja Grande $ 275000</t>
  </si>
  <si>
    <t>Olga Otero</t>
  </si>
  <si>
    <t>Adelanto Milagros Maneiro</t>
  </si>
  <si>
    <t xml:space="preserve">EDES </t>
  </si>
  <si>
    <t>$ 10000,- Caja Grande</t>
  </si>
  <si>
    <t>Publicidad La Nueva Radio</t>
  </si>
  <si>
    <t>Publicidad</t>
  </si>
  <si>
    <t xml:space="preserve">N 2280 11/07 </t>
  </si>
  <si>
    <t>Carlos Andres Pogost</t>
  </si>
  <si>
    <t>Club Germano</t>
  </si>
  <si>
    <t>Eduardi Gaham</t>
  </si>
  <si>
    <t>Chino Dejan</t>
  </si>
  <si>
    <t>Seguro de vida</t>
  </si>
  <si>
    <t>Seguro de accidentes</t>
  </si>
  <si>
    <t>Nacsa SRL</t>
  </si>
  <si>
    <t>Prov N 9665 16/06 $ 150000 CEF</t>
  </si>
  <si>
    <t>Saul Arcucci - Intercambiador</t>
  </si>
  <si>
    <t>Javier Vilela</t>
  </si>
  <si>
    <t>1 - Tanque de PVC</t>
  </si>
  <si>
    <t>Cheque Bunker</t>
  </si>
  <si>
    <t>22/07/2022 $ 7000 - 5/08/2022 $ 7000 - 
24/08/2022 $ 7000</t>
  </si>
  <si>
    <t>Motores</t>
  </si>
  <si>
    <t>JULIO</t>
  </si>
  <si>
    <t>Bru Luis Jaime</t>
  </si>
  <si>
    <t>Lorenzo Dejean</t>
  </si>
  <si>
    <t>Distribuidora Lorenzo Dejean</t>
  </si>
  <si>
    <t>Sueldos Manuel Toloza</t>
  </si>
  <si>
    <t>Cheque Elisa Guede</t>
  </si>
  <si>
    <t>Cheque Carrier SRL</t>
  </si>
  <si>
    <t>Ferreterua Furlad</t>
  </si>
  <si>
    <t>Anca Graciela</t>
  </si>
  <si>
    <t>Casa Mochi</t>
  </si>
  <si>
    <t>Comisionista</t>
  </si>
  <si>
    <t>Plan ARBA 02/06</t>
  </si>
  <si>
    <t>u$s 2000.- * 224 = saldo a favor u$s 11</t>
  </si>
  <si>
    <t>Sportello Jorge</t>
  </si>
  <si>
    <t>Celeste Dewald  Tomas Village</t>
  </si>
  <si>
    <t>Comision Cuenta Corriente</t>
  </si>
  <si>
    <t>Dar de Nuevo</t>
  </si>
  <si>
    <t>Sociedad Española</t>
  </si>
  <si>
    <t>N 4301 66640 30/07 - N4302 66640 30/08 - N 4304 36756
30/06 N 4305 36756 30/08 N 4306 36756 30/09 N 4307
36756 30/10</t>
  </si>
  <si>
    <t>Wurth</t>
  </si>
  <si>
    <t>Canje interno recibido 24 hs 081612273</t>
  </si>
  <si>
    <t>Caja 30-06-2022</t>
  </si>
  <si>
    <t>CC $ 26.923,59</t>
  </si>
  <si>
    <t>Caja Cheque $ 280304</t>
  </si>
  <si>
    <t>Caja Grande $ 490000</t>
  </si>
  <si>
    <t>CU - $ 29.851,02</t>
  </si>
  <si>
    <t>Caja Chica $ 141980</t>
  </si>
  <si>
    <t>Caja Dolares u$s 5100</t>
  </si>
  <si>
    <t>Calefactor Usado</t>
  </si>
  <si>
    <t>Municipaidad de Coronel Suarez</t>
  </si>
  <si>
    <t>Nativa Seguros</t>
  </si>
  <si>
    <t>Nativa Seguro</t>
  </si>
  <si>
    <t>Caja Dolares u$s 4600</t>
  </si>
  <si>
    <t>Caja Chica $ 66740</t>
  </si>
  <si>
    <t>CC $ 21.643,59</t>
  </si>
  <si>
    <t>Caja Dolares</t>
  </si>
  <si>
    <t>Echeque Carrier SRL</t>
  </si>
  <si>
    <t>Combustible Firino</t>
  </si>
  <si>
    <t>Claudio Presa</t>
  </si>
  <si>
    <t>Retenciones</t>
  </si>
  <si>
    <t>Trajeta PYME</t>
  </si>
  <si>
    <t>Lubricar</t>
  </si>
  <si>
    <t>Prisma Cobros</t>
  </si>
  <si>
    <t>CUNO SRL</t>
  </si>
  <si>
    <t>Atlas</t>
  </si>
  <si>
    <t>Colegio San Jose</t>
  </si>
  <si>
    <t>Cob Sil SRL</t>
  </si>
  <si>
    <t>Heilan</t>
  </si>
  <si>
    <t>Oring</t>
  </si>
  <si>
    <t>Telefonica Negocios</t>
  </si>
  <si>
    <t>Mariel Pogost</t>
  </si>
  <si>
    <t>Guillermo Pata</t>
  </si>
  <si>
    <t>CHEQUES</t>
  </si>
  <si>
    <t>Bohn Hector Aurelio</t>
  </si>
  <si>
    <t xml:space="preserve">Prestamo </t>
  </si>
  <si>
    <t>Sueldos Efectivo</t>
  </si>
  <si>
    <t xml:space="preserve">Pintores </t>
  </si>
  <si>
    <t>Imprenta Publicidad</t>
  </si>
  <si>
    <t xml:space="preserve">N 2282 31/07 </t>
  </si>
  <si>
    <t>Caja 08-07-2022</t>
  </si>
  <si>
    <t>CC $ 142.400,39</t>
  </si>
  <si>
    <t>CU  $ -31.488,19</t>
  </si>
  <si>
    <t xml:space="preserve">Caja Chica $ </t>
  </si>
  <si>
    <t xml:space="preserve">Caja Cheque $ </t>
  </si>
  <si>
    <t>Particular JMM - Renaut</t>
  </si>
  <si>
    <t>Huanguelen</t>
  </si>
  <si>
    <t xml:space="preserve">AFIP - Reahabilitacion </t>
  </si>
  <si>
    <t>Prov N 9713 15/07 30000,-</t>
  </si>
  <si>
    <t>Prov N 4302 30/08/2022 Facundo Indart</t>
  </si>
  <si>
    <t>Adriana Gonzalez</t>
  </si>
  <si>
    <t>Rupel Sergio</t>
  </si>
  <si>
    <t>Cheque debitado 081612278</t>
  </si>
  <si>
    <t>Cheque debitado 081612280</t>
  </si>
  <si>
    <t>Cheque debitado 081612265</t>
  </si>
  <si>
    <t> 5390</t>
  </si>
  <si>
    <t>Diale</t>
  </si>
  <si>
    <t>Cuota Tiro</t>
  </si>
  <si>
    <t>Resma De papel</t>
  </si>
  <si>
    <t>Sueldo Jose Manuel Maneiro</t>
  </si>
  <si>
    <t xml:space="preserve">Librería </t>
  </si>
  <si>
    <t xml:space="preserve">Rowa </t>
  </si>
  <si>
    <t>Juan Emilio Saint Criq</t>
  </si>
  <si>
    <t>Plaza de Ayala</t>
  </si>
  <si>
    <t>Gabriela Bilbao</t>
  </si>
  <si>
    <t>Manuel Combustible</t>
  </si>
  <si>
    <t>Viaticos</t>
  </si>
  <si>
    <t>Cecilia Nieva</t>
  </si>
  <si>
    <t>Fasta</t>
  </si>
  <si>
    <t>Santiago Boudou</t>
  </si>
  <si>
    <t>Adelanto Milagros Maneirto</t>
  </si>
  <si>
    <t>Natalia Ferrario</t>
  </si>
  <si>
    <t>Prov N 4301 30/07 Indart Facundo</t>
  </si>
  <si>
    <t>R1 Particular JMM</t>
  </si>
  <si>
    <t>La rural</t>
  </si>
  <si>
    <t>Caja 22-07-2022</t>
  </si>
  <si>
    <t>Caja Grande $ 400000</t>
  </si>
  <si>
    <t> 3517,80</t>
  </si>
  <si>
    <t>Marcela Cerda - Auricchio</t>
  </si>
  <si>
    <t>Seuro de Vida</t>
  </si>
  <si>
    <t>Caja Chica $ 26830</t>
  </si>
  <si>
    <t>Cavalieri</t>
  </si>
  <si>
    <t>Garrafa</t>
  </si>
  <si>
    <t>ARBA - Captur</t>
  </si>
  <si>
    <t>Vehiculo</t>
  </si>
  <si>
    <t>Seguros de Vida</t>
  </si>
  <si>
    <t>Cheuqe</t>
  </si>
  <si>
    <t>Clovis SA</t>
  </si>
  <si>
    <t>Saldo $ 6130,-</t>
  </si>
  <si>
    <t>Electricidad Romero</t>
  </si>
  <si>
    <t>La Rural</t>
  </si>
  <si>
    <t>Municiaplidad C.Suarez</t>
  </si>
  <si>
    <t>Jorge Moraña</t>
  </si>
  <si>
    <t>Comisonita Pringles</t>
  </si>
  <si>
    <t>TSA</t>
  </si>
  <si>
    <t>Cheque debitado 081612271</t>
  </si>
  <si>
    <t>Maria Heliand - Carlos Odriozola</t>
  </si>
  <si>
    <t>Fotocopias Creecer</t>
  </si>
  <si>
    <t>Publicidad Dar de Nuevo</t>
  </si>
  <si>
    <t>Leandro Arduin</t>
  </si>
  <si>
    <t>Tarjeta Visa Platinum</t>
  </si>
  <si>
    <t>Monotributo</t>
  </si>
  <si>
    <t>Nestor Hirigoity</t>
  </si>
  <si>
    <t>Tomas Villagi</t>
  </si>
  <si>
    <t>Villarino Daniel</t>
  </si>
  <si>
    <t>Cambio Caja Chica $ 60000 * u$s 200,-</t>
  </si>
  <si>
    <t>Cambio</t>
  </si>
  <si>
    <t>Caja Dolares u$s 4800</t>
  </si>
  <si>
    <t>Caja Chica $ 77600</t>
  </si>
  <si>
    <t>Caja Cheque $ 36756</t>
  </si>
  <si>
    <t>Hospital Italiano JUNIO</t>
  </si>
  <si>
    <t xml:space="preserve">CU  $ </t>
  </si>
  <si>
    <t>Caja 29-07-2022</t>
  </si>
  <si>
    <t>AGOSTO</t>
  </si>
  <si>
    <t>Particular JMM - Coop Obrera</t>
  </si>
  <si>
    <t> 1830,41</t>
  </si>
  <si>
    <t>CC $ 83.417,98</t>
  </si>
  <si>
    <t>Club de Pesca</t>
  </si>
  <si>
    <t>VISA Pymes</t>
  </si>
  <si>
    <t>Cheque Rowa</t>
  </si>
  <si>
    <t>Paricular JMM</t>
  </si>
  <si>
    <t>Tere de Lusarreta</t>
  </si>
  <si>
    <t>Fuhr Maria</t>
  </si>
  <si>
    <t>Comercios Prisma</t>
  </si>
  <si>
    <t>Club Independiente</t>
  </si>
  <si>
    <t>Split 3000 FC Midea</t>
  </si>
  <si>
    <t>Maria Isabel Cook</t>
  </si>
  <si>
    <t>Mario Ramburger</t>
  </si>
  <si>
    <t>Cheque Debitado Javier Mendoza</t>
  </si>
  <si>
    <t>Camuzzi JUNIO</t>
  </si>
  <si>
    <t>Particular JMM - Combustible</t>
  </si>
  <si>
    <t>Gastos Globos</t>
  </si>
  <si>
    <t>Icono - Marcador</t>
  </si>
  <si>
    <t>Creecer - Fotocpia Bandera</t>
  </si>
  <si>
    <t>Pago Visa</t>
  </si>
  <si>
    <t>Pago Amex</t>
  </si>
  <si>
    <t>Caja Grande $ 500.000</t>
  </si>
  <si>
    <t>Caja 05/08/2022</t>
  </si>
  <si>
    <t>Caja Chica $ 38800</t>
  </si>
  <si>
    <t>Irma Pisano</t>
  </si>
  <si>
    <t xml:space="preserve">CC $ </t>
  </si>
  <si>
    <t>Particular JM M</t>
  </si>
  <si>
    <t> 5.400,00</t>
  </si>
  <si>
    <t>Cheque Debitado Elisa Guede</t>
  </si>
  <si>
    <t>Prestamo Personal 05/12</t>
  </si>
  <si>
    <t>Comision Descubierto CU</t>
  </si>
  <si>
    <t>Ornat Guillermo</t>
  </si>
  <si>
    <t>Prov 6681 $ 35000 15/09 -  Prov 6682 $ 35000 15/10 
Club Independiente</t>
  </si>
  <si>
    <t xml:space="preserve">Triangular </t>
  </si>
  <si>
    <t>Jun - Jul - Sep</t>
  </si>
  <si>
    <t>Palenzona</t>
  </si>
  <si>
    <t>Supermercado Café - Café y Azucar</t>
  </si>
  <si>
    <t>Fotocopias Creccer</t>
  </si>
  <si>
    <t>Combustible JMM</t>
  </si>
  <si>
    <t>Sonia de Bary</t>
  </si>
  <si>
    <t>Cheque Rifa ByN</t>
  </si>
  <si>
    <t>BMS Cavallieri</t>
  </si>
  <si>
    <t xml:space="preserve">Sueldos Manuel </t>
  </si>
  <si>
    <t>Caja Chica $ 17300</t>
  </si>
  <si>
    <t>Caja 12/08/2022</t>
  </si>
  <si>
    <t>Caja Cheque $ 106756</t>
  </si>
  <si>
    <t>Telefonica Julio</t>
  </si>
  <si>
    <t>Fabian Fernandez</t>
  </si>
  <si>
    <t>Saul Arcuchhi</t>
  </si>
  <si>
    <t>Intercambiador Patricia Haffner</t>
  </si>
  <si>
    <t>Ferrario Natalia</t>
  </si>
  <si>
    <t>Librería - Cuaderno</t>
  </si>
  <si>
    <t>$ 5000 19/09 - 05/10 - 25/10</t>
  </si>
  <si>
    <t>Rowa Proforma N 241</t>
  </si>
  <si>
    <t xml:space="preserve">Visa Black </t>
  </si>
  <si>
    <t>Vta Mostrador</t>
  </si>
  <si>
    <t>Caja 19/08/2022</t>
  </si>
  <si>
    <t>Caja Grande $ 280000</t>
  </si>
  <si>
    <t>Caja Chica $ 12700</t>
  </si>
  <si>
    <t>CU  $  - 63.045,10</t>
  </si>
  <si>
    <t>CC $ 46.064</t>
  </si>
  <si>
    <t xml:space="preserve">Deposito </t>
  </si>
  <si>
    <t>Matias Barre</t>
  </si>
  <si>
    <t>Tomocom SA</t>
  </si>
  <si>
    <t>Transporte TAS - JUNIO</t>
  </si>
  <si>
    <t>Rowa - Factura N 331</t>
  </si>
  <si>
    <t xml:space="preserve">Atlas </t>
  </si>
  <si>
    <t>Carrier SRL - Totaline Factura N 49976</t>
  </si>
  <si>
    <t>Triangular SA - Factura N 49976</t>
  </si>
  <si>
    <t>Palenzona Ernesto</t>
  </si>
  <si>
    <t>Goma JMM</t>
  </si>
  <si>
    <t>Estancia Lolem</t>
  </si>
  <si>
    <t>09/09 - 27/09 -24/10 $ 8000,-</t>
  </si>
  <si>
    <t>Luis Jaime Bru</t>
  </si>
  <si>
    <t xml:space="preserve">Kees Hnos </t>
  </si>
  <si>
    <t>Niple</t>
  </si>
  <si>
    <t>Patricia Haffner</t>
  </si>
  <si>
    <t>Maissonave Harnoldo</t>
  </si>
  <si>
    <t>Prov 1470 10/09 $ 151250 Fhur Juan Carlos
Galicia N 6201 $ 207515 Mayer Maria Hose 11/11</t>
  </si>
  <si>
    <t xml:space="preserve">La Nueva Radio </t>
  </si>
  <si>
    <t>N 2286 10/09 $ 5000 - 26/09 N 2287 $ 5000 26/09</t>
  </si>
  <si>
    <t>Caja Chica $ 11100</t>
  </si>
  <si>
    <t>Caja Cheque $ 465521</t>
  </si>
  <si>
    <t>CC $ 147.161,06</t>
  </si>
  <si>
    <t>CU  $  -48.745,10</t>
  </si>
  <si>
    <t>Caja 26/08/2022</t>
  </si>
  <si>
    <t>JMM Trajeta Black Visa</t>
  </si>
  <si>
    <t>Cheque La Nueva Radio</t>
  </si>
  <si>
    <t>Comisiones CC</t>
  </si>
  <si>
    <t>Direccion Cultura y Educacion</t>
  </si>
  <si>
    <t>Cavallieri</t>
  </si>
  <si>
    <t>Alejandro Truenow</t>
  </si>
  <si>
    <t>Marcela Cerda</t>
  </si>
  <si>
    <t>Centro de Residentes</t>
  </si>
  <si>
    <t>Larregui - Chapa</t>
  </si>
  <si>
    <t>Coopertaiva Obrera</t>
  </si>
  <si>
    <t>Furland</t>
  </si>
  <si>
    <t>Juan Villar</t>
  </si>
  <si>
    <t>Aurelio Walter</t>
  </si>
  <si>
    <t>Nacion N 0805 2/09/2022 $ 80000 - N 0806 $ 76500
1/09</t>
  </si>
  <si>
    <t>Ariel Alvarez</t>
  </si>
  <si>
    <t>Caja Cheque $ 1001371</t>
  </si>
  <si>
    <t>Caja Grande $ 544000</t>
  </si>
  <si>
    <t>Caja 02/09/2022</t>
  </si>
  <si>
    <t>Caja Chica $ 83810</t>
  </si>
  <si>
    <t>Pseca JMM</t>
  </si>
  <si>
    <t xml:space="preserve">Prov 1470 10/09 $ 151250 Fhur Juan Carlos
Ingreso Prov N 4137 18/06 $ 20000 Oscar Abel
 -Nacion N 0368 
50000 30/09 Solessio </t>
  </si>
  <si>
    <t>Pogost</t>
  </si>
  <si>
    <t>Larregui - Casa Pogost Chimena</t>
  </si>
  <si>
    <t>Publicidad Cine Italia</t>
  </si>
  <si>
    <t>Piturerua El Camaleon</t>
  </si>
  <si>
    <t>Pago Publicidad Dar de Nuevo</t>
  </si>
  <si>
    <t>Alberdi Juan Jose</t>
  </si>
  <si>
    <t>29/09 - 29/10 - 29/11 $ 55600 c/u</t>
  </si>
  <si>
    <t>Navarro</t>
  </si>
  <si>
    <t>Echeq Propio</t>
  </si>
  <si>
    <t>Caja Echeq</t>
  </si>
  <si>
    <t>29/09 - 29/10 c/u $ 55600 Juan Jose Alberdi</t>
  </si>
  <si>
    <t>JMM - Compra Equipo</t>
  </si>
  <si>
    <t>EDES Julio</t>
  </si>
  <si>
    <t>ARBA Cuota 04/06</t>
  </si>
  <si>
    <t>JMM - EDES</t>
  </si>
  <si>
    <t>VISA PYME</t>
  </si>
  <si>
    <t>Walter - Valvula Ornat</t>
  </si>
  <si>
    <t>A favor 50</t>
  </si>
  <si>
    <t>Prov 0368 $ 50000 30/09 Solessio  - Prov 2530 $ 264300
1/10 $ 264300 Palacio Natalia - Prov N 4137 $ 20000 
18/09</t>
  </si>
  <si>
    <t>Prestamo Cuota 6/012</t>
  </si>
  <si>
    <t>Walter Aurelio</t>
  </si>
  <si>
    <t>Molinari Eduardo</t>
  </si>
  <si>
    <t>Partcular JMM</t>
  </si>
  <si>
    <t>Cambio Dolares 300 x $ 271</t>
  </si>
  <si>
    <t>ART Jucio</t>
  </si>
  <si>
    <t>Echeq ROWA 9/09</t>
  </si>
  <si>
    <t>CC $ 27.578,79</t>
  </si>
  <si>
    <t>CU  $  $ -42.213,98</t>
  </si>
  <si>
    <t>Caja Chica $ 51000</t>
  </si>
  <si>
    <t>Caja Dolares u$s 4500</t>
  </si>
  <si>
    <t>Caja 09/09/2022</t>
  </si>
  <si>
    <t>Caja Cheque $ 471815</t>
  </si>
  <si>
    <t>Juicio</t>
  </si>
  <si>
    <t>Alejandro Leonardi</t>
  </si>
  <si>
    <t>ARBA - Patente Fiorino</t>
  </si>
  <si>
    <t>ARBA - Patente Strada</t>
  </si>
  <si>
    <t>Jadamar</t>
  </si>
  <si>
    <t>Arba - Particular JMM</t>
  </si>
  <si>
    <t>Supermercado Asia - Edulcorante</t>
  </si>
  <si>
    <t>Bomberos 5 -6</t>
  </si>
  <si>
    <t>Librería Manuel</t>
  </si>
  <si>
    <t>Eduardo Molinari</t>
  </si>
  <si>
    <t>Regalo Manuel Toloza</t>
  </si>
  <si>
    <t>14.489,90 </t>
  </si>
  <si>
    <t>Municipalidad CS Factura N 1014 $ 34000</t>
  </si>
  <si>
    <t>Impuestos MunicipalesFactura N 1014 $ 34000</t>
  </si>
  <si>
    <t>Tomcom</t>
  </si>
  <si>
    <t>Movistar Septiembre</t>
  </si>
  <si>
    <t>Asociaicon Italiana Sep - Dic</t>
  </si>
  <si>
    <t>Pogost Carlos Andres</t>
  </si>
  <si>
    <t>Coop Obrera - Cafe</t>
  </si>
  <si>
    <t>Caja Chica $ 4000</t>
  </si>
  <si>
    <t>Caja Grande - Caja Chcia $ 10000</t>
  </si>
  <si>
    <t>Tiro Federal JMM</t>
  </si>
  <si>
    <t>Direccion Gral de Cultura y Educacion</t>
  </si>
  <si>
    <t>Terciarizacion Gimenez Horacio</t>
  </si>
  <si>
    <t>Caja 16/09/2022</t>
  </si>
  <si>
    <t>Caja Chica $ 0</t>
  </si>
  <si>
    <t>Caja Grande $ 154000</t>
  </si>
  <si>
    <t>Almare Javier - Ines Larumbe</t>
  </si>
  <si>
    <t>5 - Elementos Diamante</t>
  </si>
  <si>
    <t>Telefonica Agosto</t>
  </si>
  <si>
    <t>Alquiler Lamadrid JMM</t>
  </si>
  <si>
    <t>Emme Badoureth</t>
  </si>
  <si>
    <t>Caja Grande a Caja Chica $ 10000</t>
  </si>
  <si>
    <t>CC $ 177.472,48</t>
  </si>
  <si>
    <t>CU  $  $  -67.385,98</t>
  </si>
  <si>
    <t>Monotriburo Milagro Maneiro JUNIO</t>
  </si>
  <si>
    <t>Lupias - Pugue a radiador</t>
  </si>
  <si>
    <t>Bedoureth</t>
  </si>
  <si>
    <t>JMM - Viaje $ 200000</t>
  </si>
  <si>
    <t>Edes Agosto</t>
  </si>
  <si>
    <t>Supermercado - Bolsas</t>
  </si>
  <si>
    <t>Caja Cheque $ 471815- 106756</t>
  </si>
  <si>
    <t>Ferretria Diale</t>
  </si>
  <si>
    <t>Bco Prov N 6681 15/09</t>
  </si>
  <si>
    <t xml:space="preserve">Aricar </t>
  </si>
  <si>
    <t>JVMM</t>
  </si>
  <si>
    <t>Martin Sawroski</t>
  </si>
  <si>
    <t>Cedula Azul - Milagros Maneiro</t>
  </si>
  <si>
    <t>Caja 23/09/2022</t>
  </si>
  <si>
    <t>CU  $  $  67.385,98</t>
  </si>
  <si>
    <t>CC $ 154.390,45</t>
  </si>
  <si>
    <t>Caja Grande $ 20000</t>
  </si>
  <si>
    <t>Caja Cheque $ 471815- 71756</t>
  </si>
  <si>
    <t>Caja Chica $ 780</t>
  </si>
  <si>
    <t xml:space="preserve">Victor Alarcia </t>
  </si>
  <si>
    <t>Javier Roth</t>
  </si>
  <si>
    <t>Sarro 0</t>
  </si>
  <si>
    <t xml:space="preserve">Navarro </t>
  </si>
  <si>
    <t>Navarro Retenciones</t>
  </si>
  <si>
    <t> 92326,86 07/10</t>
  </si>
  <si>
    <t>Caja Chica $ 89300.- + 9000 Caja Grande $ 320000</t>
  </si>
  <si>
    <t>Iva</t>
  </si>
  <si>
    <t>La Nueva Rdaio</t>
  </si>
  <si>
    <t>Guillermo Wiersma - Publicidad Club SM</t>
  </si>
  <si>
    <t>N 2292 $ 5570 10/10 - N 2293 $ 5000 20/10</t>
  </si>
  <si>
    <t xml:space="preserve">Whurt </t>
  </si>
  <si>
    <t>Furland Ferreteria</t>
  </si>
  <si>
    <t>Carrlon Don Pablo</t>
  </si>
  <si>
    <t>Arturo Boudou</t>
  </si>
  <si>
    <t>Caja Chica $ 20850</t>
  </si>
  <si>
    <t>Echeq $ 147926,86</t>
  </si>
  <si>
    <t>Caja 30/09/2022</t>
  </si>
  <si>
    <t>OCTUBRE</t>
  </si>
  <si>
    <t>Casbas - Obra Abhaam</t>
  </si>
  <si>
    <t>CC $ 126.115,32</t>
  </si>
  <si>
    <t>Pago Proveedores</t>
  </si>
  <si>
    <t xml:space="preserve">Amado Bedouret </t>
  </si>
  <si>
    <t>Javier Guardon</t>
  </si>
  <si>
    <t>Prov N ° 1238 22/09</t>
  </si>
  <si>
    <t>Provedores</t>
  </si>
  <si>
    <t>Cooperativa Obrera Café - Azucar</t>
  </si>
  <si>
    <t>Movistar Octubre</t>
  </si>
  <si>
    <t>Casa Mochi - Bedoureth</t>
  </si>
  <si>
    <t>Casbas</t>
  </si>
  <si>
    <t>Clovis</t>
  </si>
  <si>
    <t> 5160,00</t>
  </si>
  <si>
    <t>Camara de Comercio Sep - Octubre</t>
  </si>
  <si>
    <t>Prov N ° 8910</t>
  </si>
  <si>
    <t>Cuatro Huellas SRL</t>
  </si>
  <si>
    <t>Almuerzo Casbas</t>
  </si>
  <si>
    <t>Combustible Casbas</t>
  </si>
  <si>
    <t>Aluerzos Casbas</t>
  </si>
  <si>
    <t xml:space="preserve">Agua Pura 240 Lts $ 30 </t>
  </si>
  <si>
    <t>Sual Arcucchi - Fonzo fabio</t>
  </si>
  <si>
    <t>Comision Pigue</t>
  </si>
  <si>
    <t>Fonzo Fabio</t>
  </si>
  <si>
    <t>Camuzzi Septiembre</t>
  </si>
  <si>
    <t xml:space="preserve">Marianela Cruz </t>
  </si>
  <si>
    <t>CU  $ -67.385,98</t>
  </si>
  <si>
    <t>Caja 06/10/2022</t>
  </si>
  <si>
    <t>Caja Grande $ 312500</t>
  </si>
  <si>
    <t>Caja Cheque $ 583571</t>
  </si>
  <si>
    <t>CC $ 493.375,49</t>
  </si>
  <si>
    <t>Caja Chica $ 30000</t>
  </si>
  <si>
    <t>Terciarizacion Martin Gimenez</t>
  </si>
  <si>
    <t>Gasto Particular JMM</t>
  </si>
  <si>
    <t>Sastre, Dolores</t>
  </si>
  <si>
    <t>Pablo Arce</t>
  </si>
  <si>
    <t> 39.310,25</t>
  </si>
  <si>
    <t>Prestamos Personal 07/12</t>
  </si>
  <si>
    <t>Cheque La Nueva Radio 29/9</t>
  </si>
  <si>
    <t>EDES - Septiembre</t>
  </si>
  <si>
    <t>Roth Javier</t>
  </si>
  <si>
    <t>Prov N 4260 5/11/2022</t>
  </si>
  <si>
    <t>Prov N 4307 35756  30/10 - Santander N 2294 9962 2/11
Prov N 4260 43320 5/11 - Santander N 2295 9962 16/11</t>
  </si>
  <si>
    <t>Nacion N 1828 3/10 Meier Eduardo</t>
  </si>
  <si>
    <t>Fabio Fonzo</t>
  </si>
  <si>
    <t xml:space="preserve">Nacion N 1828 3/10 Meier Eduardo
</t>
  </si>
  <si>
    <t>R33 Neumaticos</t>
  </si>
  <si>
    <t>Nacion N 1828 3/10 $ 15000 Meier Eduardo</t>
  </si>
  <si>
    <t>Combustible Martin Gimenez</t>
  </si>
  <si>
    <t>Valerio Herr</t>
  </si>
  <si>
    <t>Combustible Fiorino - Casbas</t>
  </si>
  <si>
    <t>AFIP VEP</t>
  </si>
  <si>
    <t>Obras Casbas</t>
  </si>
  <si>
    <t>Caja Dolares u$s 300</t>
  </si>
  <si>
    <t>Cambio Dolares x</t>
  </si>
  <si>
    <t>Traingular TSA</t>
  </si>
  <si>
    <t>95390.42</t>
  </si>
  <si>
    <t>Poveedores</t>
  </si>
  <si>
    <t xml:space="preserve">Cooperativa Obrera </t>
  </si>
  <si>
    <t>Rolhaiser Adrian</t>
  </si>
  <si>
    <t>2 - Rejas</t>
  </si>
  <si>
    <t>Alineacion Libra</t>
  </si>
  <si>
    <t>Lupias Arreglo de Dos Botoneras</t>
  </si>
  <si>
    <t>Arreglo Valvulas</t>
  </si>
  <si>
    <t>Caja Grande $ 250000</t>
  </si>
  <si>
    <t>CC $ 264.484,24</t>
  </si>
  <si>
    <t>Caja Grande $ 412500 - Caja Chica $ 25000</t>
  </si>
  <si>
    <t>Caja Dolares u$s 4200</t>
  </si>
  <si>
    <t>Caja Cheque $ 511815</t>
  </si>
  <si>
    <t>43650 24/10-24/11-24/12</t>
  </si>
  <si>
    <t>Caja 14/10/2022</t>
  </si>
  <si>
    <t>CU  $ -71.771,54</t>
  </si>
  <si>
    <t>Caja Chica $ 1000</t>
  </si>
  <si>
    <t>Caja Chica $ 20000 - Caja Grande $ 62500 CC $ 30000</t>
  </si>
  <si>
    <t>Echeq $ 186625</t>
  </si>
  <si>
    <t>Caja Grande $ 100000</t>
  </si>
  <si>
    <t>La Nueva Radio Coronel Suarez</t>
  </si>
  <si>
    <t>21/10 5000 -28/10 5000 - 04/11 5000 -0 11/11 5000</t>
  </si>
  <si>
    <t>Huaguelen</t>
  </si>
  <si>
    <t>Maneiro Milagros</t>
  </si>
  <si>
    <t>Comunistible Strada</t>
  </si>
  <si>
    <t>Eduargo Gaham</t>
  </si>
  <si>
    <t>Ferrario Angelina</t>
  </si>
  <si>
    <t>Casa Mochi - Comision</t>
  </si>
  <si>
    <t>Bedourth</t>
  </si>
  <si>
    <t>Manuel Huanguelen</t>
  </si>
  <si>
    <t>Viatcios</t>
  </si>
  <si>
    <t> 3608,69</t>
  </si>
  <si>
    <t>Almuerzo x 3</t>
  </si>
  <si>
    <t>Huenaguelen</t>
  </si>
  <si>
    <t>Mario Schamberger</t>
  </si>
  <si>
    <t>Echeq 21/10</t>
  </si>
  <si>
    <t>Agrupacion Campo Nuevo</t>
  </si>
  <si>
    <t xml:space="preserve">Cheque La Nueva Radio </t>
  </si>
  <si>
    <t>Publicidad de Dar de Nuevo</t>
  </si>
  <si>
    <t>Juan Jose Alberdi</t>
  </si>
  <si>
    <t>Telefonica Sep</t>
  </si>
  <si>
    <t>Echeq $ 87350</t>
  </si>
  <si>
    <t>Caja Chica $ 36000</t>
  </si>
  <si>
    <t>Caja Grande $ 150000</t>
  </si>
  <si>
    <t>CC $ 301.072,51</t>
  </si>
  <si>
    <t>Caja 21/10/2022</t>
  </si>
  <si>
    <t>Chirrus</t>
  </si>
  <si>
    <t>Combustible captur</t>
  </si>
  <si>
    <t>Irene Schawb</t>
  </si>
  <si>
    <t>Viaticos - Almuerzo x 2</t>
  </si>
  <si>
    <t>Abrhaman - Suasana Lopez</t>
  </si>
  <si>
    <t>Trasnporte La Puntual</t>
  </si>
  <si>
    <t>Caja Grande $ 350.000,-</t>
  </si>
  <si>
    <t>ARBA IIBB 5/6</t>
  </si>
  <si>
    <t>Combustible Ford K</t>
  </si>
  <si>
    <t>Milagros</t>
  </si>
  <si>
    <t>Lona - Fhan</t>
  </si>
  <si>
    <t>Comision Osvaldo Walter</t>
  </si>
  <si>
    <t>Gast</t>
  </si>
  <si>
    <t>Echeq BUNKER</t>
  </si>
  <si>
    <t>Sueldos Milagros Maneiro - Prestamo 22/10</t>
  </si>
  <si>
    <t>Cuatro Huellas - Instalacion</t>
  </si>
  <si>
    <t>JMM - Cable</t>
  </si>
  <si>
    <t>JMM - Supermercado</t>
  </si>
  <si>
    <t>JMM - La Casiana</t>
  </si>
  <si>
    <t>Electricidad Alem</t>
  </si>
  <si>
    <t>Viatcios Casbas</t>
  </si>
  <si>
    <t>CC $ 247.898,22</t>
  </si>
  <si>
    <t xml:space="preserve">Echeq $ </t>
  </si>
  <si>
    <t>Martin Cruz</t>
  </si>
  <si>
    <t>Seguro Nativa</t>
  </si>
  <si>
    <t>VISA</t>
  </si>
  <si>
    <t>Bonnet</t>
  </si>
  <si>
    <t xml:space="preserve">Fahn </t>
  </si>
  <si>
    <t>Repuestos Hermosilla</t>
  </si>
  <si>
    <t>Visa Bussnes</t>
  </si>
  <si>
    <t>Caja Grande $ 450000</t>
  </si>
  <si>
    <t>Tranferencia</t>
  </si>
  <si>
    <t>Cavalieri SA</t>
  </si>
  <si>
    <t>MM</t>
  </si>
  <si>
    <t>Prestamo 8/12</t>
  </si>
  <si>
    <t>Luciano Humoffe</t>
  </si>
  <si>
    <t>ARBA Patente Captur</t>
  </si>
  <si>
    <t>IIBB 9/22</t>
  </si>
  <si>
    <t>IIBB 3/3 N.Santucci</t>
  </si>
  <si>
    <t xml:space="preserve">Campo Nuevo Sociedad </t>
  </si>
  <si>
    <t>Bonnet Oscar</t>
  </si>
  <si>
    <t>Rowa SA</t>
  </si>
  <si>
    <t>Comision Martin Gimenez</t>
  </si>
  <si>
    <t>Lona - Brosky</t>
  </si>
  <si>
    <t>Sueldos Manuel Toloza - Damian Centonze</t>
  </si>
  <si>
    <t>Caja 10/11/2022</t>
  </si>
  <si>
    <t>Caja Grande $ 540000</t>
  </si>
  <si>
    <t>Caja Chica $ 62500</t>
  </si>
  <si>
    <t>Harnoldo Maissone</t>
  </si>
  <si>
    <t>Echeq $ 142950</t>
  </si>
  <si>
    <t>CU  $ -152.498,69</t>
  </si>
  <si>
    <t>Caja Cheque $ 207515</t>
  </si>
  <si>
    <t>Suarez Radiadores</t>
  </si>
  <si>
    <t>Paricular Pintor</t>
  </si>
  <si>
    <t>Cooperativa Lavandina - Guantes</t>
  </si>
  <si>
    <t>Pereyra Ricardo</t>
  </si>
  <si>
    <t>Ansal SA</t>
  </si>
  <si>
    <t>Comision Prisma</t>
  </si>
  <si>
    <t>18/11 $ 5000 - 25/11 $ 5000 - 2/12 $ 5000 - 9-12 $ 5570</t>
  </si>
  <si>
    <t>Veteranos de Malvinas</t>
  </si>
  <si>
    <t>Mnauel</t>
  </si>
  <si>
    <t>Instituto Rdaiologico</t>
  </si>
  <si>
    <t>Maissonave Hugo</t>
  </si>
  <si>
    <t>Caja 18/11/2022</t>
  </si>
  <si>
    <t>Deposito Milagros Maneiro AMEX</t>
  </si>
  <si>
    <t>CU  $ -62.204,42</t>
  </si>
  <si>
    <t>CC $ 487.005,69</t>
  </si>
  <si>
    <t>Milgros Maneiro a Caja Chica</t>
  </si>
  <si>
    <t>Devolucion</t>
  </si>
  <si>
    <t>Caja Chica $ 2290</t>
  </si>
  <si>
    <t>Caja Cheque $ 262515</t>
  </si>
  <si>
    <t>Caja Grande $ 435000</t>
  </si>
  <si>
    <t>Preyra Ricardo</t>
  </si>
  <si>
    <t>Echeq Carrier Fueguina  - Pretemporada</t>
  </si>
  <si>
    <t>Saldo 10000.-</t>
  </si>
  <si>
    <t>Rifa Jubilados</t>
  </si>
  <si>
    <t>Caja Dolares u$s 1200</t>
  </si>
  <si>
    <t>Nasca</t>
  </si>
  <si>
    <t>Cambio Dolares u$s 3000 x 303</t>
  </si>
  <si>
    <t>Devolucion Pago Fcatura N 406</t>
  </si>
  <si>
    <t>Tucho Soule - Ruben Brosky</t>
  </si>
  <si>
    <t>Caja Dolares u$s 400 x 308</t>
  </si>
  <si>
    <t>Milagos Maneiro</t>
  </si>
  <si>
    <t>Nasca Srl</t>
  </si>
  <si>
    <t>Perla Cameroni</t>
  </si>
  <si>
    <t>La pampa N 5436 22/11</t>
  </si>
  <si>
    <t>Caja Cheques</t>
  </si>
  <si>
    <t>Telefonica Octubre</t>
  </si>
  <si>
    <t>Triangular TSA - Echeq Cuatro Huellas</t>
  </si>
  <si>
    <t>Echeq $ 99275</t>
  </si>
  <si>
    <t xml:space="preserve">Caja Cheque </t>
  </si>
  <si>
    <t>Caja Dolares u$s 1600</t>
  </si>
  <si>
    <t>Caja Chica $ 33200</t>
  </si>
  <si>
    <t>CC $ 80.546,30 + Falta 207.515,00</t>
  </si>
  <si>
    <t>Caja 25/11/2022</t>
  </si>
  <si>
    <t>Chirrus - Pilas</t>
  </si>
  <si>
    <t>Olguin Lazaro</t>
  </si>
  <si>
    <t>Saul Arcicchi - Javier Roth</t>
  </si>
  <si>
    <t>97873.66</t>
  </si>
  <si>
    <t>Particular JMM - Cuota Sep</t>
  </si>
  <si>
    <t>Encendedor</t>
  </si>
  <si>
    <t>Soldadura Termobaño - Celina Loug</t>
  </si>
  <si>
    <t>Celina Louge</t>
  </si>
  <si>
    <t>Repuestos Fernandez</t>
  </si>
  <si>
    <t xml:space="preserve"> Gaston Veterinario</t>
  </si>
  <si>
    <t>Vehiuclos</t>
  </si>
  <si>
    <t>Echeq Carrier Fueguina SRL</t>
  </si>
  <si>
    <t>Caja 30/11/2022</t>
  </si>
  <si>
    <t>Caja Chica $ 35040</t>
  </si>
  <si>
    <t>CU  $ -62.207,72</t>
  </si>
  <si>
    <t>CC $ 76.225,45</t>
  </si>
  <si>
    <t>Echeq $ 556000</t>
  </si>
  <si>
    <t>DICIEMBRE</t>
  </si>
  <si>
    <t> 7932.71</t>
  </si>
  <si>
    <t>Diale Ferreteria</t>
  </si>
  <si>
    <t>Escribania Bras</t>
  </si>
  <si>
    <t>Martin Cristiani</t>
  </si>
  <si>
    <t>Caja 02/12/2022</t>
  </si>
  <si>
    <t>CC $ 46.051,11</t>
  </si>
  <si>
    <t>Echeq $ 132000</t>
  </si>
  <si>
    <t>Caja Chica $ 29400</t>
  </si>
  <si>
    <t>Ferreteria Daile</t>
  </si>
  <si>
    <t>Echeq La Nueva Radio</t>
  </si>
  <si>
    <t>Soldador - Intercambiador Roth</t>
  </si>
  <si>
    <t>Christiani Martin 02/12/2022</t>
  </si>
  <si>
    <t>Municipalidad de Coronel Suarez</t>
  </si>
  <si>
    <t xml:space="preserve">ARBA </t>
  </si>
  <si>
    <t>Impuesto Credito</t>
  </si>
  <si>
    <t>Veta Mostrador</t>
  </si>
  <si>
    <t>CU  $ -70.022,34</t>
  </si>
  <si>
    <t>Caja Grande $ 200000</t>
  </si>
  <si>
    <t>Echeq $ 105600</t>
  </si>
  <si>
    <t>Caja Chica $ 2200</t>
  </si>
  <si>
    <t>Caja 07/12/2022</t>
  </si>
  <si>
    <t>CC $ 1632968,74</t>
  </si>
  <si>
    <t>Prestamo Cuota 09-12</t>
  </si>
  <si>
    <t>Particulares JMM</t>
  </si>
  <si>
    <t>Fiat Car</t>
  </si>
  <si>
    <t>VJMMM</t>
  </si>
  <si>
    <t>Hermosilla</t>
  </si>
  <si>
    <t>Camara de Comercio Publicidad Dar de Nuevo</t>
  </si>
  <si>
    <t>Convenio Tarjeta VIVE</t>
  </si>
  <si>
    <t>Bauer</t>
  </si>
  <si>
    <t>Limpieza Maria Verdugo</t>
  </si>
  <si>
    <t>Victor Alarcia</t>
  </si>
  <si>
    <t>Le Supermercado</t>
  </si>
  <si>
    <t>Santanderrio N 2589 14/12 $ 212500 - 14/01 $ 306600</t>
  </si>
  <si>
    <t>NOV</t>
  </si>
  <si>
    <t>Brodski</t>
  </si>
  <si>
    <t>Nacsa SRL - Blanco</t>
  </si>
  <si>
    <t>A favor $ 3700</t>
  </si>
  <si>
    <t>AriCar</t>
  </si>
  <si>
    <t xml:space="preserve">Santander N 983 19/12 - N 982 14/01 - N 985 14/02
N 986 14/03 $ 87650 </t>
  </si>
  <si>
    <t>Azcona Fernando - Torres del Sur</t>
  </si>
  <si>
    <t>Hemser Hernan</t>
  </si>
  <si>
    <t>Bunker Black</t>
  </si>
  <si>
    <t>Echeq Martin Christiani</t>
  </si>
  <si>
    <t>Totaline Carrier SRL</t>
  </si>
  <si>
    <t>JS Lubricar</t>
  </si>
  <si>
    <t>Comision Leandro Kesller</t>
  </si>
  <si>
    <t>Jose Luis Agenetti</t>
  </si>
  <si>
    <t>Comisso Federico</t>
  </si>
  <si>
    <t>Midea 3000 Fc + Instalacion</t>
  </si>
  <si>
    <t>Tanque de Expansion</t>
  </si>
  <si>
    <t>Bunker Blanco</t>
  </si>
  <si>
    <t>Bunker Negro</t>
  </si>
  <si>
    <t>Galicia N 8413 $ 178580 12/12</t>
  </si>
  <si>
    <t>Caja 16/12/2022</t>
  </si>
  <si>
    <t>Caja Cheque $ 613200</t>
  </si>
  <si>
    <t>Caja Grande $ 1020000</t>
  </si>
  <si>
    <t>Extraccion CC</t>
  </si>
  <si>
    <t>Caja Dolres</t>
  </si>
  <si>
    <t>Caja Dolares u$s 1800</t>
  </si>
  <si>
    <t>Coop Electrica San Jose</t>
  </si>
  <si>
    <t>Gregorio Aberastury</t>
  </si>
  <si>
    <t>Whurth</t>
  </si>
  <si>
    <t>Sueldos + Aguinaldo Manuel Toloza</t>
  </si>
  <si>
    <t>Sueldos + Aguinaldo Damian Centonze</t>
  </si>
  <si>
    <t>Sueldos + Aguinaldo Milagros Maneiro</t>
  </si>
  <si>
    <t>Sueldos + Aguinaldo Maneiro Jose Manuel</t>
  </si>
  <si>
    <t>Caja Chica $ 41450</t>
  </si>
  <si>
    <t>IIBB Cuota N 6</t>
  </si>
  <si>
    <t xml:space="preserve">Sociedad Rural </t>
  </si>
  <si>
    <t>CU  $ -150.000,00</t>
  </si>
  <si>
    <t>CC $ 1.432.362,25</t>
  </si>
  <si>
    <t xml:space="preserve">Carrier Fueguina </t>
  </si>
  <si>
    <t>Maria Valeria Roth</t>
  </si>
  <si>
    <t>Regalo Cristian Hait</t>
  </si>
  <si>
    <t>Viaticos Pringles</t>
  </si>
  <si>
    <t>Prov N 4296 9-01 $ 10000 - Prov N 4297  30/01 $ 128000</t>
  </si>
  <si>
    <t>Adelanto Sueldo Milagros Maneiro</t>
  </si>
  <si>
    <t>Extraccion CC Compra Dolares</t>
  </si>
  <si>
    <t>Dolares</t>
  </si>
  <si>
    <t>Compra Dolares x $ 330</t>
  </si>
  <si>
    <t>Almuerzon x 2</t>
  </si>
  <si>
    <t>Pereyra</t>
  </si>
  <si>
    <t>Silvana Pach</t>
  </si>
  <si>
    <t>Cooperativa Obrera - Navidad</t>
  </si>
  <si>
    <t>Ferreteria Servi Maq - arreglo taladro</t>
  </si>
  <si>
    <t>Amex - Medife</t>
  </si>
  <si>
    <t>Transferencia CC a CU - Pago VISA</t>
  </si>
  <si>
    <t>Extraccion CC - Dolares x 329</t>
  </si>
  <si>
    <t>Instalacion Maria Valeria Roth</t>
  </si>
  <si>
    <t>Triangular TSA</t>
  </si>
  <si>
    <t>Particular</t>
  </si>
  <si>
    <t>Caja Dolares u$s 26000</t>
  </si>
  <si>
    <t>Caja Cheque $ 647900</t>
  </si>
  <si>
    <t>Caja 23/12/2022</t>
  </si>
  <si>
    <t>Telefonica Noviembre</t>
  </si>
  <si>
    <t>Caja Chica $ 13300</t>
  </si>
  <si>
    <t>Seguro de Accidentes Personales</t>
  </si>
  <si>
    <t>Echeq LNR</t>
  </si>
  <si>
    <t> 67.390,00</t>
  </si>
  <si>
    <t>Echeq Carrier Fueguina</t>
  </si>
  <si>
    <t>Comision de Cuenta CC</t>
  </si>
  <si>
    <t>Hosital Italiano</t>
  </si>
  <si>
    <t>Caja 30/12/2022</t>
  </si>
  <si>
    <t>Caja Grande $ 700000</t>
  </si>
  <si>
    <t>CU  $ -106.436,04</t>
  </si>
  <si>
    <t>CC $ 710.986,23</t>
  </si>
  <si>
    <t>Echeq $ 92260</t>
  </si>
  <si>
    <t>Caja Chica $ 73000</t>
  </si>
  <si>
    <t>Vehiulos</t>
  </si>
  <si>
    <t>Prestamo 10/12</t>
  </si>
  <si>
    <t>Particular Servicios</t>
  </si>
  <si>
    <t>Echeq Hermosilla Repuestos</t>
  </si>
  <si>
    <t>Jorge Lopez</t>
  </si>
  <si>
    <t>Aricar Electrica</t>
  </si>
  <si>
    <t>Harriot</t>
  </si>
  <si>
    <t xml:space="preserve">Martin Chritiani </t>
  </si>
  <si>
    <t>Lona - Pereyra</t>
  </si>
  <si>
    <t>R1 Bahia Blanca</t>
  </si>
  <si>
    <t>Particular Nutricionista JMM</t>
  </si>
  <si>
    <t>Ago - Sep</t>
  </si>
  <si>
    <t>Intereses Monotributo</t>
  </si>
  <si>
    <t>May - Sep</t>
  </si>
  <si>
    <t xml:space="preserve">Deposito Cheque </t>
  </si>
  <si>
    <t>Fotocpias</t>
  </si>
  <si>
    <t>Limpieza Cristina</t>
  </si>
  <si>
    <t>Caja Cheque $ 435400</t>
  </si>
  <si>
    <t>Caja Grande $ 600000</t>
  </si>
  <si>
    <t>Caja Chica $ 33750</t>
  </si>
  <si>
    <t>CC $ 566.081,20</t>
  </si>
  <si>
    <t>Echeq $</t>
  </si>
  <si>
    <t>Caja 06/01/2023</t>
  </si>
  <si>
    <t>Echeq Carrier Fueguina - Pretemporada</t>
  </si>
  <si>
    <t>Transferecia CC a CU</t>
  </si>
  <si>
    <t>Rifa Bombero</t>
  </si>
  <si>
    <t>10/4/2023 N 2300</t>
  </si>
  <si>
    <t>Aluerzo x 2</t>
  </si>
  <si>
    <t>Ferreteria Pringles</t>
  </si>
  <si>
    <t>Repuesto Vehiuclo Strada</t>
  </si>
  <si>
    <t>Cuatro Huellas</t>
  </si>
  <si>
    <t>Norberto Parra</t>
  </si>
  <si>
    <t>Coop - Lavadina</t>
  </si>
  <si>
    <t>Cuota Camara de Cormercio</t>
  </si>
  <si>
    <t>EDES - Dic</t>
  </si>
  <si>
    <t>Centro de Compras</t>
  </si>
  <si>
    <t>Nativa - JMM</t>
  </si>
  <si>
    <t>Cristina Torres - Limpieza</t>
  </si>
  <si>
    <t>Tomas Village</t>
  </si>
  <si>
    <t>Sueldo Milagros Maneiro - Amex</t>
  </si>
  <si>
    <t>25-01 $6500- 10/02 $ 6500 -10/03 $ 6700</t>
  </si>
  <si>
    <t>Oscar - Materiales AA</t>
  </si>
  <si>
    <t>Caja Chica $ 33800</t>
  </si>
  <si>
    <t>Caja Dolares u$s 2600</t>
  </si>
  <si>
    <t>CC $ 592.670,24</t>
  </si>
  <si>
    <t>CU  $ -115.516,27</t>
  </si>
  <si>
    <t>Caja 13/01/2023</t>
  </si>
  <si>
    <t>Hiperfumeria Café</t>
  </si>
  <si>
    <t>T Nativa</t>
  </si>
  <si>
    <t>Servi Maq</t>
  </si>
  <si>
    <t>Echeq LNR 13/01</t>
  </si>
  <si>
    <t>Echeq Hermosilla 13/01</t>
  </si>
  <si>
    <t>Herramienta</t>
  </si>
  <si>
    <t>La Norteña</t>
  </si>
  <si>
    <t>Alan Schneider</t>
  </si>
  <si>
    <t>Multa Captur</t>
  </si>
  <si>
    <t>Omar Roth</t>
  </si>
  <si>
    <t>Elba Lazaro</t>
  </si>
  <si>
    <t>Rodriguez Jorge</t>
  </si>
  <si>
    <t>Galicia N 5263 14/02/2023</t>
  </si>
  <si>
    <t>8970,-</t>
  </si>
  <si>
    <t>Prov N 95254297 30/01 Roth Javier</t>
  </si>
  <si>
    <t>Hospital Huanguelen</t>
  </si>
  <si>
    <t>Village Tomas</t>
  </si>
  <si>
    <t>La Nueva Radio CS</t>
  </si>
  <si>
    <t>Imprenta Nuevo Dia</t>
  </si>
  <si>
    <t>Cuota 1</t>
  </si>
  <si>
    <t>Deposito Cheque CC</t>
  </si>
  <si>
    <t>Echeq Carrier Fueguina Pretemporada 18/01</t>
  </si>
  <si>
    <t>Contadora Elisa Guede</t>
  </si>
  <si>
    <t>Caja Efectivo $ 146900,-</t>
  </si>
  <si>
    <t>Varela Raul</t>
  </si>
  <si>
    <t>Sueldo Jose Manuel</t>
  </si>
  <si>
    <t>Caja 20/01/2023</t>
  </si>
  <si>
    <t>CC $ 452.100,60</t>
  </si>
  <si>
    <t>Caja Chica $ 83200</t>
  </si>
  <si>
    <t>Caja Cheque $ 306600</t>
  </si>
  <si>
    <t>Omar Roth - Limpieza</t>
  </si>
  <si>
    <t xml:space="preserve">Echeq Carrier Fueguina Pretemporada </t>
  </si>
  <si>
    <t>Traingular SA</t>
  </si>
  <si>
    <t>Contadora</t>
  </si>
  <si>
    <t>Limpieza Cristina Torres</t>
  </si>
  <si>
    <t>23/01/023</t>
  </si>
  <si>
    <t>Martin Rabella</t>
  </si>
  <si>
    <t>Tanque de PVC</t>
  </si>
  <si>
    <t>Almuerzo x 2 - Huanguelen</t>
  </si>
  <si>
    <t>ARBA - Anticipo Plan de Pagos</t>
  </si>
  <si>
    <t>Navarro SA</t>
  </si>
  <si>
    <t>Echeq Carrier Fueguina 25/01</t>
  </si>
  <si>
    <t>Telefonica Diciembre</t>
  </si>
  <si>
    <t>Particular JMM - VISA</t>
  </si>
  <si>
    <t>Partiuclar JMM - AMEX</t>
  </si>
  <si>
    <t>Prestamo 11/12</t>
  </si>
  <si>
    <t>Caja Dolares u$s 2400</t>
  </si>
  <si>
    <t>Caja 27/01/2023</t>
  </si>
  <si>
    <t>Centro Residentes</t>
  </si>
  <si>
    <t>Vta u$s 200 x 377 = 75400</t>
  </si>
  <si>
    <t>Grisman Mecanico</t>
  </si>
  <si>
    <t xml:space="preserve">Cristian </t>
  </si>
  <si>
    <t>Seguro de Accdentes</t>
  </si>
  <si>
    <t>Impuestos Comision de Cuenta CC</t>
  </si>
  <si>
    <t>Caja de Seguridad IVA</t>
  </si>
  <si>
    <t>Retencion IIBB</t>
  </si>
  <si>
    <t>Echeq Rowa - LNR</t>
  </si>
  <si>
    <t>Cooperativa Limpieza</t>
  </si>
  <si>
    <t>Mirtha Citadini</t>
  </si>
  <si>
    <t>Caja 31/01/2023</t>
  </si>
  <si>
    <t>Natalia Ferrarrio</t>
  </si>
  <si>
    <t>Echeq Pretemoporada</t>
  </si>
  <si>
    <t xml:space="preserve">Cheque Debitado </t>
  </si>
  <si>
    <t>Facundo Fabre</t>
  </si>
  <si>
    <t> 5.000,00</t>
  </si>
  <si>
    <t> 6.710,00</t>
  </si>
  <si>
    <t>Echeq Imprenta</t>
  </si>
  <si>
    <t> 29400,00</t>
  </si>
  <si>
    <t>Gaston Alberdi</t>
  </si>
  <si>
    <t>Susana Pogost</t>
  </si>
  <si>
    <t>Diego Schmith</t>
  </si>
  <si>
    <t>Marcenac Roberto</t>
  </si>
  <si>
    <t>Cheque Claudio Rossolen</t>
  </si>
  <si>
    <t>Cavallieri - Susana Pogost</t>
  </si>
  <si>
    <t>Caja Cheque $ 28580</t>
  </si>
  <si>
    <t>Caja Grande $ 500000 ( + 100.000 JMM )</t>
  </si>
  <si>
    <t>Caja Chica $ 39500</t>
  </si>
  <si>
    <t>CC $ 582530,45</t>
  </si>
  <si>
    <t>Caja Chica $ 31500</t>
  </si>
  <si>
    <t>CC $ 262.567,72</t>
  </si>
  <si>
    <t>Caja Grande $ 600000 ( + 100.000,- JMM )</t>
  </si>
  <si>
    <t>CC $ 165.410,64</t>
  </si>
  <si>
    <t>Caja Chica $ 7100</t>
  </si>
  <si>
    <t>Caja 03/02/2023</t>
  </si>
  <si>
    <t>Rifa ByN</t>
  </si>
  <si>
    <t>Publciidad</t>
  </si>
  <si>
    <t>Diego Schmidth</t>
  </si>
  <si>
    <t>Cooperativa Obrera café + azucar</t>
  </si>
  <si>
    <t>Impuetsos</t>
  </si>
  <si>
    <t>Oscar Raffo</t>
  </si>
  <si>
    <t>Tomas Village y Celeste</t>
  </si>
  <si>
    <t>Nativa</t>
  </si>
  <si>
    <t xml:space="preserve">Barri Cosmi - Distribuidora </t>
  </si>
  <si>
    <t>Santanderrio N 2612 $ 70000 08/02 - N 2639 $ 136000
8/03 - N 2640 $ 67500 08/04</t>
  </si>
  <si>
    <t>Juan Carlos Harriot</t>
  </si>
  <si>
    <t>Karina Rolhaiser</t>
  </si>
  <si>
    <t>Caja Cheque $ 802.080 ( dev Raffo $ 133,000 - Dp $ 70,000</t>
  </si>
  <si>
    <t>Caja 10/02/2023</t>
  </si>
  <si>
    <t>10/02/203</t>
  </si>
  <si>
    <t>CU  $ -150.060,00</t>
  </si>
  <si>
    <t>Bedoureth Emme</t>
  </si>
  <si>
    <t>Caja Chica $ 37.200</t>
  </si>
  <si>
    <t>CC $ 39250,13</t>
  </si>
  <si>
    <t>Debito Camara de Comercio</t>
  </si>
  <si>
    <t> 6050,00</t>
  </si>
  <si>
    <t>Supermercado Asia</t>
  </si>
  <si>
    <t>Rolahiser Karina</t>
  </si>
  <si>
    <t>Camuzzi 12/01</t>
  </si>
  <si>
    <t>Movistar Feb</t>
  </si>
  <si>
    <t>Edes Enero</t>
  </si>
  <si>
    <t>VTV</t>
  </si>
  <si>
    <t>Migliavaca Fernando</t>
  </si>
  <si>
    <t>Casa Gorbea</t>
  </si>
  <si>
    <t> 6500</t>
  </si>
  <si>
    <t>Compra Get Net</t>
  </si>
  <si>
    <t>Librereira Provincia</t>
  </si>
  <si>
    <t>Distribuidora MN</t>
  </si>
  <si>
    <t>Cralos Vicente Gonzalez</t>
  </si>
  <si>
    <t>Cheque Propios</t>
  </si>
  <si>
    <t>Ferretira Diale</t>
  </si>
  <si>
    <t>Caja 17/02/2023</t>
  </si>
  <si>
    <t>Hueguelen</t>
  </si>
  <si>
    <t>Caja Chica $ 38.100,-</t>
  </si>
  <si>
    <t>Echeq $144800</t>
  </si>
  <si>
    <t>Caja Cheque $ 703500 ( dev Raffo $ 113.000 )</t>
  </si>
  <si>
    <t>Caja Grande $ 862000</t>
  </si>
  <si>
    <t>CC $ 85.200,42</t>
  </si>
  <si>
    <t>CU  $ -149.018,00</t>
  </si>
  <si>
    <t>Distribuidora MNA</t>
  </si>
  <si>
    <t>Coop Hospital</t>
  </si>
  <si>
    <t>Motores Atlas</t>
  </si>
  <si>
    <t>Rifa B y N</t>
  </si>
  <si>
    <t>Gastos JMM</t>
  </si>
  <si>
    <t> 71322,00</t>
  </si>
  <si>
    <t>Marcelo Litre</t>
  </si>
  <si>
    <t>Servicie</t>
  </si>
  <si>
    <t>Medife Visa</t>
  </si>
  <si>
    <t>La Nueva Radio Suarez</t>
  </si>
  <si>
    <t xml:space="preserve">Prov 5309 21/04 Tamburi Gabriel </t>
  </si>
  <si>
    <t>Deposito CU - Visa</t>
  </si>
  <si>
    <t>Bertola Paulo</t>
  </si>
  <si>
    <t>Castellano Javier</t>
  </si>
  <si>
    <t>1 -Llave Rowa</t>
  </si>
  <si>
    <t>Analia Daher</t>
  </si>
  <si>
    <t>Placa</t>
  </si>
  <si>
    <t xml:space="preserve">N 2639 $ 136000 8/03 Santanderrio JC Harriot
Saldo 
</t>
  </si>
  <si>
    <t>Transferencia Milagros M - Monotributo Oct-Nov</t>
  </si>
  <si>
    <t>Seguro Personales</t>
  </si>
  <si>
    <t>Caja 24/02/2023</t>
  </si>
  <si>
    <t>Caja Chica $ 13400</t>
  </si>
  <si>
    <t>Caja Grande $ 500000</t>
  </si>
  <si>
    <t>Echeq $70000</t>
  </si>
  <si>
    <t>CC $ 34.121,27</t>
  </si>
  <si>
    <t>CU  $ -123.995,00</t>
  </si>
  <si>
    <t>Bonifacio</t>
  </si>
  <si>
    <t>Caja Cheque $ 250000 ( dev Raffo $ 113.000 )</t>
  </si>
  <si>
    <t>Raffo $ 250000 - Marina Harriot $ 67500 - Radio $ 40000</t>
  </si>
  <si>
    <t>Comisiones + Impuestos CC</t>
  </si>
  <si>
    <t>Maurel Franco - Araceli Platz</t>
  </si>
  <si>
    <t>Hojas Computadora</t>
  </si>
  <si>
    <t>Manuel Toloza - 4 hs Extras Huanguelen</t>
  </si>
  <si>
    <t>Damian Centinze - 4 hs Extras Huanguelen</t>
  </si>
  <si>
    <t>Carlos Vicente Gonzalez</t>
  </si>
  <si>
    <t>Instalaciones</t>
  </si>
  <si>
    <t xml:space="preserve">Alosgaray </t>
  </si>
  <si>
    <t>Camuzzi Gas Pampena</t>
  </si>
  <si>
    <t>Cambio  u$s 400 x 373</t>
  </si>
  <si>
    <t>Trangular SA</t>
  </si>
  <si>
    <t xml:space="preserve">Cambio  </t>
  </si>
  <si>
    <t>Devolucion Oscar Raffo - Endoso Punto Plac</t>
  </si>
  <si>
    <t>Seguros Nativa Fiorino - Strada</t>
  </si>
  <si>
    <t>Caja 28/02/2023</t>
  </si>
  <si>
    <t>Caja Chica $ 74400</t>
  </si>
  <si>
    <t xml:space="preserve">Echeq </t>
  </si>
  <si>
    <t>Caja Dolares u$s 2000</t>
  </si>
  <si>
    <t>Caja Cheque $ 250000 ( dev Raffo $ 43000 )</t>
  </si>
  <si>
    <t>CC $ 55.018,06</t>
  </si>
  <si>
    <t>Fernando</t>
  </si>
  <si>
    <t>Diego Trugillo</t>
  </si>
  <si>
    <t>Nasca SRL</t>
  </si>
  <si>
    <t>York - Jonshon Control</t>
  </si>
  <si>
    <t xml:space="preserve">Telefonica </t>
  </si>
  <si>
    <t>Enero</t>
  </si>
  <si>
    <t>Viaticos Almuerzo x 2</t>
  </si>
  <si>
    <t xml:space="preserve">Paulo Bertola </t>
  </si>
  <si>
    <t>Gina Migliavaca</t>
  </si>
  <si>
    <t>Visa Black JMM</t>
  </si>
  <si>
    <t>Braso</t>
  </si>
  <si>
    <t xml:space="preserve">Tarjeta Nativa </t>
  </si>
  <si>
    <t>Trajeta</t>
  </si>
  <si>
    <t>Oscar Raffo - Devolucion</t>
  </si>
  <si>
    <t>Caja 03/03/2023</t>
  </si>
  <si>
    <t>Caja Grande $ 696200</t>
  </si>
  <si>
    <t>CC $ 465855,39</t>
  </si>
  <si>
    <t>Caja Chica $ 5700</t>
  </si>
  <si>
    <t>El Turista</t>
  </si>
  <si>
    <t>EDES - Febrero</t>
  </si>
  <si>
    <t>Tiro Federal - Manuel Toloza</t>
  </si>
  <si>
    <t xml:space="preserve">Almuerzo x 2 </t>
  </si>
  <si>
    <t>Combustible Fiorino - Bonifacio</t>
  </si>
  <si>
    <t>Sellado</t>
  </si>
  <si>
    <t>Hoffman Carlos</t>
  </si>
  <si>
    <t>Agropecuaria Don Jose</t>
  </si>
  <si>
    <t>Interes Monotributo Milagros Maneiro</t>
  </si>
  <si>
    <t>Goyeneche Escapes</t>
  </si>
  <si>
    <t>Josi de Lusarreta</t>
  </si>
  <si>
    <t>Hernan Litera - Sensor Delia Weis</t>
  </si>
  <si>
    <t>Carlos Luengo</t>
  </si>
  <si>
    <t>Cuno SRL</t>
  </si>
  <si>
    <t>Peben SRL - 2 Calefactores GOODMAN</t>
  </si>
  <si>
    <t>Lambrech</t>
  </si>
  <si>
    <t>Maura Lefevre</t>
  </si>
  <si>
    <t>Medicos</t>
  </si>
  <si>
    <t>Gomeria Captur</t>
  </si>
  <si>
    <t> 21797,44</t>
  </si>
  <si>
    <t>Caja 10/03/2023</t>
  </si>
  <si>
    <t>CC $ 1.286.754,04</t>
  </si>
  <si>
    <t>CU  $ -134.983,23</t>
  </si>
  <si>
    <t>Caja Grande $ 350000</t>
  </si>
  <si>
    <t> 5901,12</t>
  </si>
  <si>
    <t>Lucio Burgath</t>
  </si>
  <si>
    <t>Carlos Gallardo</t>
  </si>
  <si>
    <t>Tarjeta AMEX</t>
  </si>
  <si>
    <t>Tarjeta VISA</t>
  </si>
  <si>
    <t>Tarjeta AMEX Milagros Maneiro</t>
  </si>
  <si>
    <t xml:space="preserve">Movistar </t>
  </si>
  <si>
    <t>Cheque Rifa Jubilados</t>
  </si>
  <si>
    <t> 5000,00</t>
  </si>
  <si>
    <t>20 - Elmentos Diamente 2 - Blister 2 - Con LL y D 4 - N y C</t>
  </si>
  <si>
    <t>Pulverizaciones SRL - Materiales Calefaccion</t>
  </si>
  <si>
    <t>04/04 Galicia N 0900</t>
  </si>
  <si>
    <t>Certificado Declaracion</t>
  </si>
  <si>
    <t>Martin Rubio</t>
  </si>
  <si>
    <t>8 - Elementos 1 - Blister  2 - NyC 1-Conj de llave y detentor</t>
  </si>
  <si>
    <t>Caja 17/03/2023</t>
  </si>
  <si>
    <t>Caja Cheque $ 202300</t>
  </si>
  <si>
    <t>CC $ 532.584,05</t>
  </si>
  <si>
    <t>Sueldo Diaman Centonze</t>
  </si>
  <si>
    <t>Amuerzos x 3 dias $ 3155</t>
  </si>
  <si>
    <t>Alicia Hein</t>
  </si>
  <si>
    <t>Caja Chica $ 13500</t>
  </si>
  <si>
    <t>Harisur</t>
  </si>
  <si>
    <r>
      <t xml:space="preserve">04/04 Galicia N 0900 </t>
    </r>
    <r>
      <rPr>
        <i/>
        <sz val="11"/>
        <color rgb="FFFF0000"/>
        <rFont val="Calibri"/>
        <family val="2"/>
        <scheme val="minor"/>
      </rPr>
      <t>Saldo a Favor $ 3574,90</t>
    </r>
  </si>
  <si>
    <t>Vta turcas 2300 FC</t>
  </si>
  <si>
    <t>Tomocom - Instituto Radiologico</t>
  </si>
  <si>
    <t>Marcelo Pereyra</t>
  </si>
  <si>
    <t>Valvula</t>
  </si>
  <si>
    <t>Puerto Digital - Tonner</t>
  </si>
  <si>
    <t>2 Conj de llave y detentor 4 - Niples y Campanas</t>
  </si>
  <si>
    <t>Coop Obrera - Limpieza</t>
  </si>
  <si>
    <t>Agua Pura 240 lts 35 lts</t>
  </si>
  <si>
    <t>Llevar 400 pesos</t>
  </si>
  <si>
    <t>Carlos Losa</t>
  </si>
  <si>
    <t>Ferretrria Furland</t>
  </si>
  <si>
    <t>Niemela</t>
  </si>
  <si>
    <t>Cooperativa Limpieza Casa Particular</t>
  </si>
  <si>
    <t>Cavalieri - Marcelo Pereyra</t>
  </si>
  <si>
    <t>Seguros de accidentes personales</t>
  </si>
  <si>
    <t> 5614,27</t>
  </si>
  <si>
    <t>Triangular - Carlos Losa</t>
  </si>
  <si>
    <t>Martin Christiani</t>
  </si>
  <si>
    <t>18/04 - 25/04- 02/05-09/05- 
16/05-23/05-30/05-06-06-13/06-20/6 $ 33.080.-</t>
  </si>
  <si>
    <t>Caja 23/03/2023</t>
  </si>
  <si>
    <t>Caja Chica $ 42900</t>
  </si>
  <si>
    <t>Caja Grande $ 300000</t>
  </si>
  <si>
    <t>CC $ 706.899,78</t>
  </si>
  <si>
    <t>Echeq $ 330800</t>
  </si>
  <si>
    <t>CU  $ 134.983,23</t>
  </si>
  <si>
    <t>Distribuirdorea MN</t>
  </si>
  <si>
    <t>Caja Cheque $ 174800</t>
  </si>
  <si>
    <t>Gastos Particulares JMM</t>
  </si>
  <si>
    <t>Losa Carlos</t>
  </si>
  <si>
    <t>Devolcuion Pago Factura N 414 - M.Guamini</t>
  </si>
  <si>
    <t xml:space="preserve">Ferreteria </t>
  </si>
  <si>
    <t>Sonia De Bary</t>
  </si>
  <si>
    <t>Silvia Lusarreta</t>
  </si>
  <si>
    <t>Maria Fhur</t>
  </si>
  <si>
    <t>Caja Efcetivo</t>
  </si>
  <si>
    <t>Visa Blanck - Medife Milagros Maneiro</t>
  </si>
  <si>
    <t>Echeq Terceos</t>
  </si>
  <si>
    <t>Echeq Propios</t>
  </si>
  <si>
    <t>Prov 4813 $ 43300</t>
  </si>
  <si>
    <t>Mercedes Pugliese</t>
  </si>
  <si>
    <t>Plan de Sauld - Hospital Italiano</t>
  </si>
  <si>
    <t>Sueldo Milagros Maneiro - AMEX</t>
  </si>
  <si>
    <t>Librería - Shop Center</t>
  </si>
  <si>
    <t>Aricar Electricidad</t>
  </si>
  <si>
    <t>Comision Milagros Maneiro - AMEX</t>
  </si>
  <si>
    <t> 16/05/2023</t>
  </si>
  <si>
    <t>Elena Magariños</t>
  </si>
  <si>
    <t xml:space="preserve">Bomberos </t>
  </si>
  <si>
    <t>Sueldo Jose Manuel Maneiro 17/03</t>
  </si>
  <si>
    <t>Caja 31/03/2023</t>
  </si>
  <si>
    <t>Echeq $ 198480</t>
  </si>
  <si>
    <t>Caja Cheque $ 43300</t>
  </si>
  <si>
    <t>CC $ 942156,44</t>
  </si>
  <si>
    <t>CU  $ -134.874,63</t>
  </si>
  <si>
    <t>Extraccion Sueldo JMM</t>
  </si>
  <si>
    <t>Bodiño Alberto</t>
  </si>
  <si>
    <t>Rowa - Factura 835 Bomba Hospital</t>
  </si>
  <si>
    <t xml:space="preserve">18-04 / 03-05 / 18-05 / 02-06 $ 14.750.- </t>
  </si>
  <si>
    <t>Estudio Sarchi</t>
  </si>
  <si>
    <t>Santos Verduleria</t>
  </si>
  <si>
    <t>Lecointre Sergio Daniel</t>
  </si>
  <si>
    <t>Seguro de Nativa - Fiorino</t>
  </si>
  <si>
    <t>Seguro de vida - Strada</t>
  </si>
  <si>
    <t>Seguro de - Captur</t>
  </si>
  <si>
    <t>Arba IIBB 01-06</t>
  </si>
  <si>
    <t>Arba</t>
  </si>
  <si>
    <t>La Pampa N 5751 8/04 De Lusarreta Edgardo</t>
  </si>
  <si>
    <t>Martin Christiani 16/05</t>
  </si>
  <si>
    <t>ENPA Saldo $ 35057,20</t>
  </si>
  <si>
    <t>Parquero</t>
  </si>
  <si>
    <t>Nielema El Mirador</t>
  </si>
  <si>
    <t>Agua Destilada</t>
  </si>
  <si>
    <t>La reja</t>
  </si>
  <si>
    <t>Soldadura - Maissonave</t>
  </si>
  <si>
    <t> 61760,00</t>
  </si>
  <si>
    <t>Agua Destilada - 240 lts</t>
  </si>
  <si>
    <t>Echeq Carrier Triangular</t>
  </si>
  <si>
    <t>Triangualar SA</t>
  </si>
  <si>
    <t>Juan Carlos Martinez - Comision</t>
  </si>
  <si>
    <t>Sueldo Milagros Maneiro - VISA</t>
  </si>
  <si>
    <t>Caja 06/04/2023</t>
  </si>
  <si>
    <t>CC $ 883.479,75</t>
  </si>
  <si>
    <t>Caja Cheque $ 327099,98</t>
  </si>
  <si>
    <t>Echeq $ 165400</t>
  </si>
  <si>
    <t>Caja Chica $ 40460</t>
  </si>
  <si>
    <t> 5840,00</t>
  </si>
  <si>
    <t>Paricular</t>
  </si>
  <si>
    <t xml:space="preserve">La Pampa N 5751 8/04 De Lusarreta Edgardo
</t>
  </si>
  <si>
    <t>Carrier Fueguina SRL</t>
  </si>
  <si>
    <t>Julian Casas</t>
  </si>
  <si>
    <t>Marcelo Grisman</t>
  </si>
  <si>
    <t>Graciela Anca</t>
  </si>
  <si>
    <t>Peben SRL</t>
  </si>
  <si>
    <t>13/04 $ 92500 - 13/05 $ 92500</t>
  </si>
  <si>
    <t>Rowa - Factura 636 Hospital 7/1</t>
  </si>
  <si>
    <t>Rowa - Factura 636 Hospital 7/2</t>
  </si>
  <si>
    <t>Diego Gaham</t>
  </si>
  <si>
    <t>Hernandez</t>
  </si>
  <si>
    <t>Cooperativa Hospital</t>
  </si>
  <si>
    <t>Donacion Comedor Espirtud Santo</t>
  </si>
  <si>
    <t>Donacion</t>
  </si>
  <si>
    <t>Teatro Guamini</t>
  </si>
  <si>
    <t>31/03 Nacion N 9081 Tucker e Iriarte</t>
  </si>
  <si>
    <t>30/04 Prov N 4813 Litre Marcelo</t>
  </si>
  <si>
    <t>14/04 Santander N 1214 Aguer Diego</t>
  </si>
  <si>
    <t>Farmacia Jaime</t>
  </si>
  <si>
    <t>Angelina Ferrario</t>
  </si>
  <si>
    <t>6 - Grampas y Tarugos</t>
  </si>
  <si>
    <t>Roberto</t>
  </si>
  <si>
    <t>Mostrar</t>
  </si>
  <si>
    <t>Besagonil</t>
  </si>
  <si>
    <t>Alarcia Victor</t>
  </si>
  <si>
    <t>E&amp;L tursimo</t>
  </si>
  <si>
    <t>CC $ 1.772.371,27</t>
  </si>
  <si>
    <t>CU  $ -150000</t>
  </si>
  <si>
    <t>Echeq $ 257900</t>
  </si>
  <si>
    <t>Caja 14/04/2023</t>
  </si>
  <si>
    <t>Caja Cheque $ 291630,38</t>
  </si>
  <si>
    <t>Caja Chica $ 29680</t>
  </si>
  <si>
    <t>EDES - Marzo</t>
  </si>
  <si>
    <t>Gaston Purvis</t>
  </si>
  <si>
    <t>Caja Efecivo</t>
  </si>
  <si>
    <t>Gasto</t>
  </si>
  <si>
    <t>Tarjeta Navita</t>
  </si>
  <si>
    <t>Tarjetas</t>
  </si>
  <si>
    <t>ABC Bolsas</t>
  </si>
  <si>
    <t>AFIP - Moratoria</t>
  </si>
  <si>
    <t>Impuestos Trasnferencia</t>
  </si>
  <si>
    <t>Fabian Kees</t>
  </si>
  <si>
    <t>Rubes Brosky u$s 500 x 409</t>
  </si>
  <si>
    <t>Supermercado Café y Azucar</t>
  </si>
  <si>
    <t>Cavalieri - Brosky Ruben</t>
  </si>
  <si>
    <t>Zilio</t>
  </si>
  <si>
    <t>Arba IIBB 02-06</t>
  </si>
  <si>
    <t>Visa - Monotributo</t>
  </si>
  <si>
    <t>Damian</t>
  </si>
  <si>
    <t>18/42023</t>
  </si>
  <si>
    <t>Termocupla 40 cm Zilio</t>
  </si>
  <si>
    <t>Norma Tempel</t>
  </si>
  <si>
    <t>Prov N 4310 $ 34717 02/05 - 17/05 - 02/06</t>
  </si>
  <si>
    <t>Hernan Literas</t>
  </si>
  <si>
    <t>Lies Julio</t>
  </si>
  <si>
    <t>Nacion N 9533 06/05 $ 50000 - N 9534 03/05 $ 30000</t>
  </si>
  <si>
    <t>Diego Graham</t>
  </si>
  <si>
    <t>Damian Combustible</t>
  </si>
  <si>
    <t xml:space="preserve">Caja Echeq </t>
  </si>
  <si>
    <t xml:space="preserve">Martin Chritiani 23/05-30/05- 06/06 $ 33080 </t>
  </si>
  <si>
    <t>Motores Junin</t>
  </si>
  <si>
    <t>Ulmann</t>
  </si>
  <si>
    <t>Milla Neumaticos</t>
  </si>
  <si>
    <t>Irkua SA - Isa</t>
  </si>
  <si>
    <t>Sueldo Damian Centonze 28/04</t>
  </si>
  <si>
    <t>Sueldo Damian Centonze 21/04</t>
  </si>
  <si>
    <t>E &amp; L Turmiso</t>
  </si>
  <si>
    <t>Echeq Triangular</t>
  </si>
  <si>
    <t>Escuela N 9</t>
  </si>
  <si>
    <t>Liliana Chiaparra</t>
  </si>
  <si>
    <t>Bilbao Juan Carlos</t>
  </si>
  <si>
    <t> 6739,37</t>
  </si>
  <si>
    <t xml:space="preserve">25/04 N 4960 </t>
  </si>
  <si>
    <t>Sandra Rausch</t>
  </si>
  <si>
    <t>Caja Efectiva</t>
  </si>
  <si>
    <t>Alferez Benjamin</t>
  </si>
  <si>
    <t>13/05 $ 24000 - 19/05 $ 24000 -26/05 $ 24500</t>
  </si>
  <si>
    <t>Trasnporte</t>
  </si>
  <si>
    <t xml:space="preserve">Rubes Brosky </t>
  </si>
  <si>
    <t>107139.85</t>
  </si>
  <si>
    <t>Hospital Italiano Febrero</t>
  </si>
  <si>
    <t>Combustible Fironi</t>
  </si>
  <si>
    <t>Almuerzos</t>
  </si>
  <si>
    <t>Hops Huanguelen</t>
  </si>
  <si>
    <t>Almuerzo</t>
  </si>
  <si>
    <t>Zilio Eduardo</t>
  </si>
  <si>
    <t>Galicia N 6292 28/04</t>
  </si>
  <si>
    <t>Ullaman Luis</t>
  </si>
  <si>
    <t>Caja 28/04/2023</t>
  </si>
  <si>
    <t>Caja Cheque $ 290744,32</t>
  </si>
  <si>
    <t>CC $ 1.513.642,09</t>
  </si>
  <si>
    <t>Echeq $ 158660</t>
  </si>
  <si>
    <t>Transferencia a Fondo de Inversion</t>
  </si>
  <si>
    <t>Fondo Comun de Inversion</t>
  </si>
  <si>
    <t>Inversion</t>
  </si>
  <si>
    <t>El Cencerro</t>
  </si>
  <si>
    <t>Juan Carlos Sauer</t>
  </si>
  <si>
    <t>Diego Aguer</t>
  </si>
  <si>
    <t>Bco Nacion N 478 15/05</t>
  </si>
  <si>
    <t>Lupias - Reparacion Tiro Federal</t>
  </si>
  <si>
    <t>Caja 5/05/2023</t>
  </si>
  <si>
    <t>Caja Cheque $ 344844,32</t>
  </si>
  <si>
    <t>ARBA - Feb</t>
  </si>
  <si>
    <t>Fondo Inversion $ 803.160,51</t>
  </si>
  <si>
    <t>CC $ 459.462,49</t>
  </si>
  <si>
    <t>Caja Chica $ 46600</t>
  </si>
  <si>
    <t>Sueldo Maneiro Jose</t>
  </si>
  <si>
    <t>Sueldo Damian Centoze</t>
  </si>
  <si>
    <t>Caja Grande $ 25000</t>
  </si>
  <si>
    <t>Heranan Literas</t>
  </si>
  <si>
    <t>Trasneferencia</t>
  </si>
  <si>
    <t>Hugo Shorh</t>
  </si>
  <si>
    <t>IIBB - Cuota 03-06</t>
  </si>
  <si>
    <t>Nacion N 478 $ 54100 15/5 - Prov N 4310 $ 34717 2/6
4/6 Macro 9119 $ 85366,66</t>
  </si>
  <si>
    <t>Panaderia El Crisol</t>
  </si>
  <si>
    <t>Corro Alicia</t>
  </si>
  <si>
    <t>Agustin Fernnadez</t>
  </si>
  <si>
    <t>Lucrecia Zaballa</t>
  </si>
  <si>
    <t>Tranferencia CU a CC - Cubrir Comisiones</t>
  </si>
  <si>
    <t>bancos</t>
  </si>
  <si>
    <t>Maisonnave Hermosilla</t>
  </si>
  <si>
    <t>Juan Benger</t>
  </si>
  <si>
    <t>Vta Materiales Piso Radiante</t>
  </si>
  <si>
    <t>Concejo Escolar Escuela Nº 9</t>
  </si>
  <si>
    <t>Concejo Escolar Escuela Nº 10</t>
  </si>
  <si>
    <t>Tresa Louge</t>
  </si>
  <si>
    <t xml:space="preserve">Carlos Fama </t>
  </si>
  <si>
    <t>Edes - Abril</t>
  </si>
  <si>
    <t>Diale Ferrteria</t>
  </si>
  <si>
    <t>Gastos Aguer</t>
  </si>
  <si>
    <t>Agua destilada</t>
  </si>
  <si>
    <t>Comision Julio Kraff</t>
  </si>
  <si>
    <t>Chiaparra Liliana</t>
  </si>
  <si>
    <t>Cochico</t>
  </si>
  <si>
    <t>Tiro Patriotico</t>
  </si>
  <si>
    <t>Lorena Roth</t>
  </si>
  <si>
    <t>Caja 12/05/2023</t>
  </si>
  <si>
    <t>Caja Grande $ 1450000</t>
  </si>
  <si>
    <t>Caja Cheque $ 120083</t>
  </si>
  <si>
    <t>Caja Chica $ 53500</t>
  </si>
  <si>
    <t>Fondo Inversion $ 814.595,55</t>
  </si>
  <si>
    <t>Echeq $ 153460</t>
  </si>
  <si>
    <t>Christiani Martin</t>
  </si>
  <si>
    <t>CC $ 602062,38</t>
  </si>
  <si>
    <t>CU  $ -150360</t>
  </si>
  <si>
    <t>Caja Dolares u$s 2500</t>
  </si>
  <si>
    <t xml:space="preserve">Distribuidora Ferreteria </t>
  </si>
  <si>
    <t>Sandra Shabb</t>
  </si>
  <si>
    <t>Araya Jose</t>
  </si>
  <si>
    <t>Caja Efectico</t>
  </si>
  <si>
    <t>Transferencia de CC a CU</t>
  </si>
  <si>
    <t>Guillermo Dotta</t>
  </si>
  <si>
    <t>Comision Guamini</t>
  </si>
  <si>
    <t>Gasts</t>
  </si>
  <si>
    <t>Echeq Carrier SRL</t>
  </si>
  <si>
    <t>Rtenecion Municipaidad CS</t>
  </si>
  <si>
    <t>Bco Macro N 9118 Lecontre 04/05</t>
  </si>
  <si>
    <t>Zaballa Lucrecia</t>
  </si>
  <si>
    <t>Almuerzo x 6</t>
  </si>
  <si>
    <t>Limpieza Elena</t>
  </si>
  <si>
    <t>Martin Christiani 22/05-01/06/09-06</t>
  </si>
  <si>
    <t>Tomocom</t>
  </si>
  <si>
    <t>Devlucion Pago Centro Residentes</t>
  </si>
  <si>
    <t>Sofi Fortunatto</t>
  </si>
  <si>
    <t>Hospital Italiano Marzo</t>
  </si>
  <si>
    <t>Telefonica Abril</t>
  </si>
  <si>
    <t>Terviarizacion</t>
  </si>
  <si>
    <t>Caja 19/05/2023</t>
  </si>
  <si>
    <t>Caja Chica $ 9100</t>
  </si>
  <si>
    <t>Echeq $ 66160</t>
  </si>
  <si>
    <t>Caja Cheque $ 34717</t>
  </si>
  <si>
    <t>Caja Grande $ 400000 + $ 700031</t>
  </si>
  <si>
    <t>CU  $ -148396</t>
  </si>
  <si>
    <t>CC $ 915203,57</t>
  </si>
  <si>
    <t>Fondo Inversion $ 826.374,92</t>
  </si>
  <si>
    <t>Comisiones Milagros Maneiro</t>
  </si>
  <si>
    <t>Comisiones</t>
  </si>
  <si>
    <t>Barri Cosmi - Librería</t>
  </si>
  <si>
    <t>Insdutria Bellmor</t>
  </si>
  <si>
    <t>Cerrajeria</t>
  </si>
  <si>
    <t>Raffo</t>
  </si>
  <si>
    <t>Municpalidad de Carhue</t>
  </si>
  <si>
    <t>Sandra Schab</t>
  </si>
  <si>
    <t>POMSA</t>
  </si>
  <si>
    <t>Nacion N 4876 28/5</t>
  </si>
  <si>
    <t>Cavalierri</t>
  </si>
  <si>
    <t>Isabel Cook - Marcos Cavaghna</t>
  </si>
  <si>
    <t>Instituto N 48</t>
  </si>
  <si>
    <t>Cheuqes</t>
  </si>
  <si>
    <t>Nativa Seguros Fiorino - Strada</t>
  </si>
  <si>
    <t xml:space="preserve">Limpieza </t>
  </si>
  <si>
    <t>Martin Aguer</t>
  </si>
  <si>
    <t>Iurska</t>
  </si>
  <si>
    <t>Carlos Gallarado</t>
  </si>
  <si>
    <t>Café - Cooperativa</t>
  </si>
  <si>
    <t>JMM - Ursucapion</t>
  </si>
  <si>
    <t>Relay La Barraca</t>
  </si>
  <si>
    <t>Luis Favre</t>
  </si>
  <si>
    <t>Borzori Federico</t>
  </si>
  <si>
    <t>Trajeta Visa Pyme</t>
  </si>
  <si>
    <t>Cheque Debitado</t>
  </si>
  <si>
    <t>10/06 -17/06 - 24/06 - 01/07 $ 6050</t>
  </si>
  <si>
    <t>Juicio Superintendencia de Riesgo de Trabajo</t>
  </si>
  <si>
    <t>Juicios</t>
  </si>
  <si>
    <t>Miguel Acebal</t>
  </si>
  <si>
    <t>Hernan Plaqueta - Valentina</t>
  </si>
  <si>
    <t>Valvula y Plaqueta Centro Cultural</t>
  </si>
  <si>
    <t>Junio</t>
  </si>
  <si>
    <t>Caja Grande $ 1100000</t>
  </si>
  <si>
    <t>Caja Cheque $ 130300</t>
  </si>
  <si>
    <t>Caja 09/06/2023</t>
  </si>
  <si>
    <t>Caja Chica $ 11000</t>
  </si>
  <si>
    <t>CC $ 544.621,66</t>
  </si>
  <si>
    <t>CU  $ -161.665,49</t>
  </si>
  <si>
    <t>Echeq $ 44000</t>
  </si>
  <si>
    <t>Carlos Rodriguez</t>
  </si>
  <si>
    <t>EDES - Mayo</t>
  </si>
  <si>
    <t>Movistar JUNIO</t>
  </si>
  <si>
    <t>Campanini</t>
  </si>
  <si>
    <t>Hospital Municipal</t>
  </si>
  <si>
    <t>AVAP - Motor Brosky</t>
  </si>
  <si>
    <t>Motores Junin  - Motor Brosky</t>
  </si>
  <si>
    <t>Celeste Dewald</t>
  </si>
  <si>
    <t>Jose Risueño</t>
  </si>
  <si>
    <t>Corro</t>
  </si>
  <si>
    <t>Limpieza Helena</t>
  </si>
  <si>
    <t>Taller Camara de Comercio</t>
  </si>
  <si>
    <t>Pago Tarjeta VISA Black</t>
  </si>
  <si>
    <t>Prov 1407 08/23 Bertolami Cerieales</t>
  </si>
  <si>
    <t>Contadora Elisa Guede - Enero y Febrero</t>
  </si>
  <si>
    <t>De Victoria - Podada</t>
  </si>
  <si>
    <t>Caja 16/06/2023</t>
  </si>
  <si>
    <t>Caja Cheque $</t>
  </si>
  <si>
    <t>Faltante</t>
  </si>
  <si>
    <t>Caja Grande $ 900000 FALTANTE $ 10000</t>
  </si>
  <si>
    <t>Caja Chica $ 63500</t>
  </si>
  <si>
    <t>Gastos Particulares</t>
  </si>
  <si>
    <t>CC $ 293.584,97</t>
  </si>
  <si>
    <t>Fondo Inversion $ 877.169,25</t>
  </si>
  <si>
    <t xml:space="preserve">Comision Garipe </t>
  </si>
  <si>
    <t>Transposte</t>
  </si>
  <si>
    <t>Raul Sauer</t>
  </si>
  <si>
    <t>Maria Sackmann - Pedro Perego</t>
  </si>
  <si>
    <t>Debito CC</t>
  </si>
  <si>
    <t>Credito Fondos de Inversion</t>
  </si>
  <si>
    <t>FI</t>
  </si>
  <si>
    <t>Suedo</t>
  </si>
  <si>
    <t>Agua destila 240 lts</t>
  </si>
  <si>
    <t>Seguros de vida</t>
  </si>
  <si>
    <t>Seguro de accidentes personales</t>
  </si>
  <si>
    <t>Patentes Strada - Fiorino</t>
  </si>
  <si>
    <t>Ruben Brosky - Motor Calefactor</t>
  </si>
  <si>
    <t>Camuzzi Mayo</t>
  </si>
  <si>
    <t>Telefonica Mayo</t>
  </si>
  <si>
    <t>Henrich Emiliano</t>
  </si>
  <si>
    <t>Caja 23/06/2023</t>
  </si>
  <si>
    <t>CC $ 201.234,79</t>
  </si>
  <si>
    <t>CU  $ 150.360,00</t>
  </si>
  <si>
    <t>Fondo Inversion $ 1.090.955,09</t>
  </si>
  <si>
    <t>Caja Grande $ 1.000.000 FALTANTE $ 10000</t>
  </si>
  <si>
    <t>Caja Chica $ 7500</t>
  </si>
  <si>
    <t>Asociaicon Coop Hospital San Martin</t>
  </si>
  <si>
    <t>Tarjeta VISA Platinum</t>
  </si>
  <si>
    <t>Marcos Araya</t>
  </si>
  <si>
    <t>Descubierto CU</t>
  </si>
  <si>
    <t>La nueva radio</t>
  </si>
  <si>
    <t>Polpor</t>
  </si>
  <si>
    <t>Dewald Miguel Angel</t>
  </si>
  <si>
    <t>Prov N 4088 14/08 - N 4087 30/07 - N 4086 15/07 - 
N 4085 N 4085 $ 724590.-</t>
  </si>
  <si>
    <t>Iruko SA - Isa Lizaso</t>
  </si>
  <si>
    <t>Transporte TAS - Surrey 3000 FC e Instalacion</t>
  </si>
  <si>
    <t>Pago Trasnporte TAS</t>
  </si>
  <si>
    <t>Santiago Lusarreta</t>
  </si>
  <si>
    <t>Caja Grande $ 950.000 FALTANTE $ 10000</t>
  </si>
  <si>
    <t>CU  $ 1.393.632,40</t>
  </si>
  <si>
    <t>CC $ 247.631,99</t>
  </si>
  <si>
    <t>Fondo Inversion $ 1.107.326,87</t>
  </si>
  <si>
    <t>Caja Chica $ 27500</t>
  </si>
  <si>
    <t>Caja 30/06/2023</t>
  </si>
  <si>
    <t>Caja Cheque $ 724590</t>
  </si>
  <si>
    <t>Elisa Matiti</t>
  </si>
  <si>
    <t>Servcie</t>
  </si>
  <si>
    <t>Fotocopias</t>
  </si>
  <si>
    <t>Farmacia de La Ciudad</t>
  </si>
  <si>
    <t>Tito Orliaq</t>
  </si>
  <si>
    <t>STM</t>
  </si>
  <si>
    <t>EDES - JUNIO</t>
  </si>
  <si>
    <t xml:space="preserve">CC </t>
  </si>
  <si>
    <t>EDES Milagros Maneiro</t>
  </si>
  <si>
    <t>Diego Ravoletti</t>
  </si>
  <si>
    <t>Sebastian</t>
  </si>
  <si>
    <t>1 - Tanque PVC</t>
  </si>
  <si>
    <t>Recmil</t>
  </si>
  <si>
    <t>Tanque PVC 35 lts</t>
  </si>
  <si>
    <t>Nacion N 494 11-07</t>
  </si>
  <si>
    <t>Gastos Fotocopias</t>
  </si>
  <si>
    <t>Movistar JULIO</t>
  </si>
  <si>
    <t>Caja 07/07/2023</t>
  </si>
  <si>
    <t>CU  $ 678.161,38</t>
  </si>
  <si>
    <t xml:space="preserve">Caja Chica $ 78950 </t>
  </si>
  <si>
    <t>Caja Cheque $ 731980</t>
  </si>
  <si>
    <t>CC $ 291.975,12</t>
  </si>
  <si>
    <t>Terciazacion</t>
  </si>
  <si>
    <t>u$s x 487 $ 1217500</t>
  </si>
  <si>
    <t>Fondo Inversion $ 1.124.117,34</t>
  </si>
  <si>
    <t>Total $ 3563208,72</t>
  </si>
  <si>
    <t>TOTAL $ 4780708,72</t>
  </si>
  <si>
    <t>Cheque Tacos - Poda de plantas</t>
  </si>
  <si>
    <t xml:space="preserve">Parroquia Espartillar </t>
  </si>
  <si>
    <t>Nasca SRL - Split 6000 FC</t>
  </si>
  <si>
    <t>La Barraca Coronel Suarez</t>
  </si>
  <si>
    <t>Mario Bath</t>
  </si>
  <si>
    <t>Jardin Maternal Hijitus</t>
  </si>
  <si>
    <t xml:space="preserve">Muscardidolo Armando - Service Bosh </t>
  </si>
  <si>
    <t xml:space="preserve">Librería Losno </t>
  </si>
  <si>
    <t>Trajeta VISA</t>
  </si>
  <si>
    <t>Arba Patente Captur</t>
  </si>
  <si>
    <t>Prov N 8469 14-07 $ 46400 - N 8460 $ 458752 13/07 - N 8461
$ 458752 18/07 - N 8462 $ 917503 23/07 - N8463 $ 917503 3/08
N 8464 $ 917503 13/08 - N 8465 $ 917503 23/08 - N 8466 $ 917503
3/09 - N 8467 $ 917503 13/9 Ricardo Eberts Ricardo SRL</t>
  </si>
  <si>
    <t>Ricardo Ebertz</t>
  </si>
  <si>
    <t>La Puntual</t>
  </si>
  <si>
    <t>Leonardi Alejandro</t>
  </si>
  <si>
    <t>Carrier SRL - Ricardo Elbertz</t>
  </si>
  <si>
    <t>Niemela SA</t>
  </si>
  <si>
    <t>Municipalidad Guamini</t>
  </si>
  <si>
    <t>Caja 14/07/2023</t>
  </si>
  <si>
    <t>Prov N 9604 20-07</t>
  </si>
  <si>
    <t>Talledo Fernando</t>
  </si>
  <si>
    <t>Donacion Espiritud Santo</t>
  </si>
  <si>
    <t>CC $ 691.937,86</t>
  </si>
  <si>
    <t>CU  $ 178.176,84</t>
  </si>
  <si>
    <t>Fondo Inversion $ 1.141.736,15</t>
  </si>
  <si>
    <t>Caja Cheque $ 2.860.509</t>
  </si>
  <si>
    <t>Caja Chica $ 30.800</t>
  </si>
  <si>
    <t>Total $ 5.853.159,85</t>
  </si>
  <si>
    <t>u$s x 1.295.000</t>
  </si>
  <si>
    <t>TOTAL $ 7.148.159,85.-</t>
  </si>
  <si>
    <t>Imprenta Bustamente</t>
  </si>
  <si>
    <t>Hijos Felice y Magno</t>
  </si>
  <si>
    <t>Lucia Vega</t>
  </si>
  <si>
    <t>De Lusarreta Santiago</t>
  </si>
  <si>
    <t xml:space="preserve">Prov N 8469 14-07 $ 46400 </t>
  </si>
  <si>
    <t>Arcuchi Sarro Cero</t>
  </si>
  <si>
    <t>Sodadura Intercambiador</t>
  </si>
  <si>
    <t>Picadas Liga de Madres</t>
  </si>
  <si>
    <t>Cargil</t>
  </si>
  <si>
    <t>Bomberos Voluntarios Agost - Sep</t>
  </si>
  <si>
    <t>Jose Molinari</t>
  </si>
  <si>
    <t xml:space="preserve">Serranias de Lolen </t>
  </si>
  <si>
    <t>Caja 21/07/2023</t>
  </si>
  <si>
    <t>Prov N 9604 20-07 CENU SA - Talledo</t>
  </si>
  <si>
    <t xml:space="preserve">Elevate 20/7 -04/08 - 21/8 - 04/09-20/09 </t>
  </si>
  <si>
    <t>1283016.69</t>
  </si>
  <si>
    <t>Acuaterm - Caldaia</t>
  </si>
  <si>
    <t>Serranias Lolen</t>
  </si>
  <si>
    <t>$ 205750 - Caja Grande $ 150.000,-</t>
  </si>
  <si>
    <t>Caja Cheque $ 1.835.006</t>
  </si>
  <si>
    <t>Echeq $ 869.720</t>
  </si>
  <si>
    <t>Caja Grande $ 1.683.500 FALTANTE $ 10000</t>
  </si>
  <si>
    <t>Fondo Inversion $ 1.159.350,51</t>
  </si>
  <si>
    <t xml:space="preserve">Total $ </t>
  </si>
  <si>
    <t>CC $ 1.545.623,06  -Centro Residenetes</t>
  </si>
  <si>
    <t>u$s x 1.307.500</t>
  </si>
  <si>
    <t>Caja Chica $ 5.000</t>
  </si>
  <si>
    <t>TOTAL $ 8.578.876,41</t>
  </si>
  <si>
    <t>Combustible Fuorino</t>
  </si>
  <si>
    <t xml:space="preserve">Prov N 8462 13-07 </t>
  </si>
  <si>
    <t>Devolucion Centro Residentes</t>
  </si>
  <si>
    <t>Chiatelino Diego</t>
  </si>
  <si>
    <t>Maurin Claudia</t>
  </si>
  <si>
    <t>Soceidad Italian y Tiro Patriotico</t>
  </si>
  <si>
    <t>Bomba Rowa</t>
  </si>
  <si>
    <t>Seguros Vida y Accidentes Personales</t>
  </si>
  <si>
    <t>Vta control remoto</t>
  </si>
  <si>
    <t>Esther Borsella</t>
  </si>
  <si>
    <t>Marta Di Fiori</t>
  </si>
  <si>
    <t>Marcelo Schawb</t>
  </si>
  <si>
    <t>Elisa Guede - Marzo y Abril</t>
  </si>
  <si>
    <t>Consultora Agropurio Sur</t>
  </si>
  <si>
    <t>Sumninox</t>
  </si>
  <si>
    <t>Caja Grande $ 100.000,-</t>
  </si>
  <si>
    <t>Caja Efctivo</t>
  </si>
  <si>
    <t>Publicidad La Nueva Radio - Junio</t>
  </si>
  <si>
    <t>Aceite Fiorino</t>
  </si>
  <si>
    <t xml:space="preserve">Caja </t>
  </si>
  <si>
    <t>Gutierrez Carlitos</t>
  </si>
  <si>
    <t>Caja 28/07/2023</t>
  </si>
  <si>
    <t>Fondo Inversion $ 1.176.950,47</t>
  </si>
  <si>
    <t>CC $ 1.233.543,07</t>
  </si>
  <si>
    <t>u$s x 1.377.500</t>
  </si>
  <si>
    <t>Caja Chica $ 13.400</t>
  </si>
  <si>
    <t>Caja Grande $ 1.573.500 FALTANTE $ 10000</t>
  </si>
  <si>
    <t>Echeq $ 1.034.120</t>
  </si>
  <si>
    <t>TOTAL $ 8.422.195,61</t>
  </si>
  <si>
    <t>Cine Italia</t>
  </si>
  <si>
    <t>Osvaldo Walter</t>
  </si>
  <si>
    <t>Echeq Carrier Fueguina Pretemporada</t>
  </si>
  <si>
    <t>Seguro Captur</t>
  </si>
  <si>
    <t>Seguro Fiorino y Strada</t>
  </si>
  <si>
    <t>Pretemporada</t>
  </si>
  <si>
    <t>16061.40</t>
  </si>
  <si>
    <t>EDES - JULIO</t>
  </si>
  <si>
    <t>Foto Crecer</t>
  </si>
  <si>
    <t>Gomeria</t>
  </si>
  <si>
    <t>Gatsos</t>
  </si>
  <si>
    <t>Caja 31/07/2023</t>
  </si>
  <si>
    <t>CajaEfectivo</t>
  </si>
  <si>
    <t>Consumas</t>
  </si>
  <si>
    <t>Cheque Tacos</t>
  </si>
  <si>
    <t>Marta Di Firoi</t>
  </si>
  <si>
    <t>Ricardo Stretemberger</t>
  </si>
  <si>
    <t>Librería Icono</t>
  </si>
  <si>
    <t>Ari Card</t>
  </si>
  <si>
    <t>Comision Julio Krafff¡</t>
  </si>
  <si>
    <t>Berg Fernnada</t>
  </si>
  <si>
    <t>2 - Conj de llave y detentor</t>
  </si>
  <si>
    <t>Caja 4/08/2023</t>
  </si>
  <si>
    <t>Pizzas Faca</t>
  </si>
  <si>
    <t>CC $ 763.542,64</t>
  </si>
  <si>
    <t>Caja Chica $ 106.800</t>
  </si>
  <si>
    <t>Carrier Fueguina Pretemporada</t>
  </si>
  <si>
    <t>Pretemporad</t>
  </si>
  <si>
    <t>Fondo Inversion $ 1.197.447,90</t>
  </si>
  <si>
    <t>u$s x 1.422.500</t>
  </si>
  <si>
    <t>TOTAL $ 7.946.693.38</t>
  </si>
  <si>
    <t>Centro de Dia $ 19.270.-</t>
  </si>
  <si>
    <t>VISA Black</t>
  </si>
  <si>
    <t>Movistar Agosto</t>
  </si>
  <si>
    <t>Camuzzi Julio</t>
  </si>
  <si>
    <t>Escribania Mayo</t>
  </si>
  <si>
    <t>Carrier Fueguina Pretemporada Dif</t>
  </si>
  <si>
    <t>Elisa Guede - Mayo y Junio</t>
  </si>
  <si>
    <t>Ester Borsella</t>
  </si>
  <si>
    <t>Brane</t>
  </si>
  <si>
    <t>Caja 11/08/2023</t>
  </si>
  <si>
    <t>Fondo Inversion $  1.213.491,63</t>
  </si>
  <si>
    <t>CU  $ 140.322,35</t>
  </si>
  <si>
    <t>CC $ 1.055.248,76</t>
  </si>
  <si>
    <t>Caja Chica $ 140.000</t>
  </si>
  <si>
    <t>u$s x 1.487.500</t>
  </si>
  <si>
    <t>TOTAL $ 8.314.788,74</t>
  </si>
  <si>
    <t>Lavado Fiorino</t>
  </si>
  <si>
    <t>Fabian Kess</t>
  </si>
  <si>
    <t>Hugo Campanini</t>
  </si>
  <si>
    <t>Plazo Fijo</t>
  </si>
  <si>
    <t xml:space="preserve">Plazo Fijo Maneiro </t>
  </si>
  <si>
    <t>Silvina Seijo</t>
  </si>
  <si>
    <t>Tornillos</t>
  </si>
  <si>
    <t>R1 Consecionario</t>
  </si>
  <si>
    <t>Prisma Comercios</t>
  </si>
  <si>
    <t>Centro Residentes Casbas</t>
  </si>
  <si>
    <t>Alicia Corro Malbran</t>
  </si>
  <si>
    <t>Tomauno - Cine Italia</t>
  </si>
  <si>
    <t>Caja 18/08/2023</t>
  </si>
  <si>
    <t>Partiuclar JMM - Gomas Kaptur</t>
  </si>
  <si>
    <t>31-08 $ 36000 N 2382 - 14-09 $ 36364 N 2383 -28-09 $ 36500 
N 2384 - 13-10 $ 36500 N 2385</t>
  </si>
  <si>
    <t>u$s x 1.775.000</t>
  </si>
  <si>
    <t>Plazo Fijo $ 732.968,295</t>
  </si>
  <si>
    <t>Echeq $ 434.860</t>
  </si>
  <si>
    <t>CC $ 620.606.14</t>
  </si>
  <si>
    <t>Caja Chica $ 106.850</t>
  </si>
  <si>
    <t>TOTAL $ 6.985.972.685</t>
  </si>
  <si>
    <t>Felice y Magno Aceite</t>
  </si>
  <si>
    <t>Almuerzos x 2</t>
  </si>
  <si>
    <t>Echeq Carrier Fueguenia - Pretemporada</t>
  </si>
  <si>
    <t>Seguros Accidentes Personales</t>
  </si>
  <si>
    <t xml:space="preserve">Service </t>
  </si>
  <si>
    <t>Service Pendiente de Dev Centro Residentes</t>
  </si>
  <si>
    <t>Donacion Comedor</t>
  </si>
  <si>
    <t>Caja Grande $ 1.283.500 FALTANTE $ 10000</t>
  </si>
  <si>
    <t>Caja Cheque $ 917.506 3/09</t>
  </si>
  <si>
    <t>Echeq $ 434.860 20/09</t>
  </si>
  <si>
    <t>Escribani Mayo</t>
  </si>
  <si>
    <t>Caja Chica $ 7.800</t>
  </si>
  <si>
    <t>Plazo Fijo $ 748.931,63</t>
  </si>
  <si>
    <t>u$s x 1.800.000</t>
  </si>
  <si>
    <t>TOTAL $ 7.412.901,95</t>
  </si>
  <si>
    <t>CC $ 1.162.476,07 + Cheque Acreeditar $ 917506 (sumado T)</t>
  </si>
  <si>
    <t>131221.95</t>
  </si>
  <si>
    <t>T Visa Black</t>
  </si>
  <si>
    <t>Benger Juan - Presupuesto Calefaccion</t>
  </si>
  <si>
    <t xml:space="preserve">Benger Juan </t>
  </si>
  <si>
    <t>Carlos Lupias</t>
  </si>
  <si>
    <t>ARBA Plan de Pagos Cuota 5 - 6</t>
  </si>
  <si>
    <t>Vta Benger</t>
  </si>
  <si>
    <t>Julio Kraff - Benger</t>
  </si>
  <si>
    <t>Maneiro Milagros - Benger</t>
  </si>
  <si>
    <t>Comision de Mantenimiento</t>
  </si>
  <si>
    <t>Monotributo JUNIO - Milagros Maneiro</t>
  </si>
  <si>
    <t>Consejo Consejo</t>
  </si>
  <si>
    <t>Partiuclar - Camuzzi</t>
  </si>
  <si>
    <t>Elisa Guede - Contadora</t>
  </si>
  <si>
    <t>Milla</t>
  </si>
  <si>
    <t>Cheque Milla</t>
  </si>
  <si>
    <t>Echeq Pretemporada</t>
  </si>
  <si>
    <t>Eugenio Danuncio</t>
  </si>
  <si>
    <t>Combustible Fiorno</t>
  </si>
  <si>
    <t>Caja Grande $ 2.263.500 FALTANTE $ 10000</t>
  </si>
  <si>
    <t>Plazo Fijo $ 765.243,50</t>
  </si>
  <si>
    <t>CC $ 1.523.594,30</t>
  </si>
  <si>
    <t>u$s x 1.812.500</t>
  </si>
  <si>
    <t>Caja Chica $ 16.000</t>
  </si>
  <si>
    <t>TOTAL $ 9.686.026,15</t>
  </si>
  <si>
    <t>Bolsas y Trapo de Piso</t>
  </si>
  <si>
    <t>Masa</t>
  </si>
  <si>
    <t>E&amp;L Turismo</t>
  </si>
  <si>
    <t>Asociaicon Tiro Patrotico</t>
  </si>
  <si>
    <t>EDES - Agosto</t>
  </si>
  <si>
    <t>N 2248 7/9 Jose Carlos Bilbao</t>
  </si>
  <si>
    <t>Bilbao Jose Carlos</t>
  </si>
  <si>
    <t>Atalaya</t>
  </si>
  <si>
    <t xml:space="preserve">Combustubile </t>
  </si>
  <si>
    <t>Devolucion JMM</t>
  </si>
  <si>
    <t>Vheiculos</t>
  </si>
  <si>
    <t>Claudio Rossen</t>
  </si>
  <si>
    <t>Multa JMM</t>
  </si>
  <si>
    <t>Caja Dolares u$s 3500</t>
  </si>
  <si>
    <t>Plazo Fijo $ 1.006.171,69</t>
  </si>
  <si>
    <t>Plazo Fijo $ 774.059,12 Venc 14/9</t>
  </si>
  <si>
    <t>Caja Cheque $ 75510</t>
  </si>
  <si>
    <t>CC $ 1.285.292,94</t>
  </si>
  <si>
    <t>u$s x 2.502.500</t>
  </si>
  <si>
    <t>Caja Chica $ 67.800</t>
  </si>
  <si>
    <t>Caja Grande $ 1.550.000 FALTANTE $ 10000</t>
  </si>
  <si>
    <t>TOTAL $ 7.836.516,10</t>
  </si>
  <si>
    <t>Ferrteria</t>
  </si>
  <si>
    <t> 20594,05</t>
  </si>
  <si>
    <t>Publicidad Maria Jose Lopez</t>
  </si>
  <si>
    <t>Patente Captur - Sep 2023</t>
  </si>
  <si>
    <t>Jose Luis Pomies</t>
  </si>
  <si>
    <t>Comision Oscar Raffo</t>
  </si>
  <si>
    <t>Ruben Rollhaiser</t>
  </si>
  <si>
    <t>Pago VISA Black</t>
  </si>
  <si>
    <t>Saldo JM $ 12000</t>
  </si>
  <si>
    <t>Combustibke</t>
  </si>
  <si>
    <t>Gastos Limpieza</t>
  </si>
  <si>
    <t>Marta Sadoski</t>
  </si>
  <si>
    <t>Bomberos Pago Todo 2023</t>
  </si>
  <si>
    <t>International Trends</t>
  </si>
  <si>
    <t>Caja Chica $ 91.000</t>
  </si>
  <si>
    <t>Plazo Fijo $ 1.028.074,09 9/10</t>
  </si>
  <si>
    <t>Plazo Fijo $ 1.308.011,231 7/10</t>
  </si>
  <si>
    <t>CU  $ 42.824,25</t>
  </si>
  <si>
    <t>CC $ 1.098.366,28</t>
  </si>
  <si>
    <t>Caja Grande $ 1.614.000 FALTANTE $ 10000</t>
  </si>
  <si>
    <t>TOTAL $ 7.684.755.85</t>
  </si>
  <si>
    <t>Ertmantraut Nestor</t>
  </si>
  <si>
    <t>Wagner Daniel</t>
  </si>
  <si>
    <t>Asersur Madera</t>
  </si>
  <si>
    <t xml:space="preserve">Prisma </t>
  </si>
  <si>
    <t>Javier Roth - Salerno</t>
  </si>
  <si>
    <t>Bco Nacion N 6219 14/10</t>
  </si>
  <si>
    <t>Saldo $ 155.168,36</t>
  </si>
  <si>
    <t>Plazo Fijo $ 1.336.441,33 17/10</t>
  </si>
  <si>
    <t>Plazo Fijo $ 1.050.453,26 9/10</t>
  </si>
  <si>
    <t>Caja Grande $ 1.400.000 FALTANTE $ 10000</t>
  </si>
  <si>
    <t>u$s x 659.500</t>
  </si>
  <si>
    <t>CC $ 1.087.779,25</t>
  </si>
  <si>
    <t>Caja Chica $</t>
  </si>
  <si>
    <t>TOTAL $ 5.579.998,09</t>
  </si>
  <si>
    <t>Caja Dolares u$s 900 ( Prestamo Milagros u$s 2.600 )</t>
  </si>
  <si>
    <t>Combustibles</t>
  </si>
  <si>
    <t>Impuestos y Tasas Municipales</t>
  </si>
  <si>
    <t xml:space="preserve">Visa </t>
  </si>
  <si>
    <t>AMEX</t>
  </si>
  <si>
    <t>Daniel Wagner - Instalacion</t>
  </si>
  <si>
    <t>SAIMA SA</t>
  </si>
  <si>
    <t>ROWA</t>
  </si>
  <si>
    <t>Hojas Impresora</t>
  </si>
  <si>
    <t>Lee</t>
  </si>
  <si>
    <t>Macro N 3074 30/09 $ 370.000 N 3075 14/10 N $ 374705</t>
  </si>
  <si>
    <t>Plazo Fijo $ 1.073.319,59 9/10</t>
  </si>
  <si>
    <t>Plazo Fijo $ 1.365.489,36 17/10</t>
  </si>
  <si>
    <t>u$s x 700.800</t>
  </si>
  <si>
    <t>CU  $ 38.724,25</t>
  </si>
  <si>
    <t>Caja Cheque $ 744705</t>
  </si>
  <si>
    <t>CC $ 618.279,75</t>
  </si>
  <si>
    <t>Caja Chica $ 4.000</t>
  </si>
  <si>
    <t>Caja Grande $ 1.100.000 FALTANTE $ 10000</t>
  </si>
  <si>
    <t>TOTAL $ 5.645.317,95</t>
  </si>
  <si>
    <t>Gregorio Aberasturi</t>
  </si>
  <si>
    <t>Refrigeraciones Bahia</t>
  </si>
  <si>
    <t>Nacion N 5146 $ 96724 10/10 - Prov N 9428 $ 100000 11/10 -
Prov N 0912 $ 12776 06/10 - Credicoop N 7682 $ 43500 10/10
Nacion N 2154 $ 151000 09/10</t>
  </si>
  <si>
    <t>La Nueva radio</t>
  </si>
  <si>
    <t>Cablevision</t>
  </si>
  <si>
    <t xml:space="preserve">Nacion N 5146 $ 96724 10/10
Prov N 9428 $ 100000 11/10
</t>
  </si>
  <si>
    <t>Ricardo Schwindth</t>
  </si>
  <si>
    <t>Santiago Resnicoff</t>
  </si>
  <si>
    <t>Limpieza Personal</t>
  </si>
  <si>
    <t>Sueldo Maneiro Jose Manuel</t>
  </si>
  <si>
    <t>Plazo Fijo $ 1.096.683,67 9/10</t>
  </si>
  <si>
    <t>Plazo Fijo $ 1.395.168,76 17/10</t>
  </si>
  <si>
    <t>u$s x 783000</t>
  </si>
  <si>
    <t>CC $ 375.283,96</t>
  </si>
  <si>
    <t>Caja Cheque $ 12776</t>
  </si>
  <si>
    <t>Cheque Porpio</t>
  </si>
  <si>
    <t xml:space="preserve">Bco Macro N 3074 $ 370000 30/09 - Bco Nacion N 2154 
$ 151000 09/10 - Bco Nacion N 5146 $ 96724 10/10 - Bco
Credicoop N 7682 $ 43500 10/10 -Bco Macro N 3075 $ 374705
14/10 - Bco Nacion N 1438 $ 379300 27/10 - </t>
  </si>
  <si>
    <t>Bco Santanderrio N 2387 $ 23971 20-11</t>
  </si>
  <si>
    <t>Marianela Cruz</t>
  </si>
  <si>
    <t>Caja Chica $ 26.300</t>
  </si>
  <si>
    <t>Caja Grande $ 2.600.000 FALTANTE $ 10000</t>
  </si>
  <si>
    <t>TOTAL $ 6.327.936,89</t>
  </si>
  <si>
    <t>Camuzzi JMM</t>
  </si>
  <si>
    <t>Li</t>
  </si>
  <si>
    <t>Ferreteria Distribuidora</t>
  </si>
  <si>
    <t>12560 Mili</t>
  </si>
  <si>
    <t>Asoc. Tiro Patriotico</t>
  </si>
  <si>
    <t xml:space="preserve">Bco Nacion N 94 18/10 </t>
  </si>
  <si>
    <t>Chiaparra Lilian</t>
  </si>
  <si>
    <t>La Catalina - Gonzalo Marcos</t>
  </si>
  <si>
    <t>Caldera Riello</t>
  </si>
  <si>
    <t>Intrenational Tren</t>
  </si>
  <si>
    <t>2 - Split Midea 3000</t>
  </si>
  <si>
    <t>Ventas</t>
  </si>
  <si>
    <t>Caja Cheque $ 622.376</t>
  </si>
  <si>
    <t>Plazo Fijo $ 1.421.121,16 17/10</t>
  </si>
  <si>
    <t>Plazo Fijo $ 1.113.660,58 8/11</t>
  </si>
  <si>
    <t>u$s x 855.000</t>
  </si>
  <si>
    <t>Caja Grande $ 2.400.000 FALTANTE $ 10000</t>
  </si>
  <si>
    <t>Caja Chica $ 700</t>
  </si>
  <si>
    <t>CU  $ 5.636,21</t>
  </si>
  <si>
    <t>CC $ 524.686,26</t>
  </si>
  <si>
    <t>TOTAL $ 6.949.180,21</t>
  </si>
  <si>
    <t>Partiuclar</t>
  </si>
  <si>
    <t>Cooperativa Obra</t>
  </si>
  <si>
    <t>Patricia Scaffener</t>
  </si>
  <si>
    <t xml:space="preserve">Marcelo Pardo </t>
  </si>
  <si>
    <t>Ana Ecaide</t>
  </si>
  <si>
    <t>Eceq Rowa</t>
  </si>
  <si>
    <t>Plazo Fijo $ 1.141.492,77 8/11</t>
  </si>
  <si>
    <t>Plazo Fijo $ 1.419.499,87 16/11</t>
  </si>
  <si>
    <t>CC $ 298.963,12</t>
  </si>
  <si>
    <t>CU  $ 5.631,84</t>
  </si>
  <si>
    <t>Caja Grande $ 2.100.000 FALTANTE $ 10000</t>
  </si>
  <si>
    <t>Caja Dolares u$s 1.800 ( Prestamo Milagros u$s 2.600 )</t>
  </si>
  <si>
    <t>Caja Cheque $ 12.776</t>
  </si>
  <si>
    <t>u$s x 2.070.000</t>
  </si>
  <si>
    <t>Sueldo Milaros Maneiro</t>
  </si>
  <si>
    <t>TOTAL $ 7.93.363,36</t>
  </si>
  <si>
    <t>Caja Chica $ 45.000</t>
  </si>
  <si>
    <t>Marcelo Pardo</t>
  </si>
  <si>
    <t>Eceq Pretemporada Carrier Fueuina</t>
  </si>
  <si>
    <t>Lucio Burart</t>
  </si>
  <si>
    <t>Caja Ceque</t>
  </si>
  <si>
    <t xml:space="preserve">Bco Credicoop N 2386 23/10 Kramer Romina </t>
  </si>
  <si>
    <t xml:space="preserve">Le </t>
  </si>
  <si>
    <t>Ceque</t>
  </si>
  <si>
    <t>Seuro de Accidentes Personales</t>
  </si>
  <si>
    <t>Camuzzi - Sep</t>
  </si>
  <si>
    <t>Atlas Electronica</t>
  </si>
  <si>
    <t>Soule</t>
  </si>
  <si>
    <t>Emmanuel otfrit</t>
  </si>
  <si>
    <t>Adelanto Damian Centoze</t>
  </si>
  <si>
    <t>Eceq</t>
  </si>
  <si>
    <t>Mario Sensi</t>
  </si>
  <si>
    <t>27/20/2023</t>
  </si>
  <si>
    <t>CC $ 360.195,67</t>
  </si>
  <si>
    <t>Plazo Fijo $ 1.166.415,95 8/11</t>
  </si>
  <si>
    <t>Plazo Fijo $ 1.454.280,46 16/11</t>
  </si>
  <si>
    <t>u$s x 1.782.000</t>
  </si>
  <si>
    <t>Caja Chica $ 21.000</t>
  </si>
  <si>
    <t>Caja Grande $ 2.421.800 FALTANTE $ 10000</t>
  </si>
  <si>
    <t>Carrier Fueuina</t>
  </si>
  <si>
    <t>TOTAL $ 7.211.023,92</t>
  </si>
  <si>
    <t>Plan de Salud</t>
  </si>
  <si>
    <t>Barbara Reuera - Adelanto Diseño</t>
  </si>
  <si>
    <t xml:space="preserve">Venciemientos </t>
  </si>
  <si>
    <t xml:space="preserve">Coop </t>
  </si>
  <si>
    <t>Carrier Fueuina P</t>
  </si>
  <si>
    <t>Preteporada</t>
  </si>
  <si>
    <t>Viaticos Obra Plaza de Ayala</t>
  </si>
  <si>
    <t>Seguros Comercio</t>
  </si>
  <si>
    <t>Elena Limpieza</t>
  </si>
  <si>
    <t>Soldadura</t>
  </si>
  <si>
    <t>Ezequiel T</t>
  </si>
  <si>
    <t>JMM - Cablevision</t>
  </si>
  <si>
    <t>93000 Caja Efectivo</t>
  </si>
  <si>
    <t>San Cabao SA - Debora F u$s 2000 x 900</t>
  </si>
  <si>
    <t xml:space="preserve">San Cabao SA - Debora F </t>
  </si>
  <si>
    <t>CC $ 1.034.180,02</t>
  </si>
  <si>
    <t>Caja Chica $ 54.000</t>
  </si>
  <si>
    <t>Caja Grande $ 1.600.000 FALTANTE $ 10000</t>
  </si>
  <si>
    <t>Caja Dolares u$s 3.800 ( Prestamo Milagros u$s 2.600 )</t>
  </si>
  <si>
    <t>Plazo Fijo $ 1.191.883,28 8/11</t>
  </si>
  <si>
    <t>Plazo Fijo $ 1.489.913,25 16/11</t>
  </si>
  <si>
    <t>u$s x 3.439.000</t>
  </si>
  <si>
    <t>TOTAL $ 8.814.608,39</t>
  </si>
  <si>
    <t>Prorveedores</t>
  </si>
  <si>
    <t>Veiculos</t>
  </si>
  <si>
    <t>Rodrigo Haffner</t>
  </si>
  <si>
    <t xml:space="preserve">Plazo Fijo </t>
  </si>
  <si>
    <t>Intereses</t>
  </si>
  <si>
    <t xml:space="preserve">Elisa Guede  </t>
  </si>
  <si>
    <t>A -S</t>
  </si>
  <si>
    <t>Kinesiologia</t>
  </si>
  <si>
    <t>Coop Obra</t>
  </si>
  <si>
    <t>Limpienza Elenea</t>
  </si>
  <si>
    <t>Pilas</t>
  </si>
  <si>
    <t>Poximix</t>
  </si>
  <si>
    <t>Seguro de Comercio</t>
  </si>
  <si>
    <t>Caja Chica $ 38.000</t>
  </si>
  <si>
    <t>Echeq ROWA</t>
  </si>
  <si>
    <t>Cubre Volante Strada</t>
  </si>
  <si>
    <t>Julio Kraff</t>
  </si>
  <si>
    <t xml:space="preserve">Ansal </t>
  </si>
  <si>
    <t>EDES - JMM</t>
  </si>
  <si>
    <t>San Cabao SA</t>
  </si>
  <si>
    <t>Enrique Pezzatti</t>
  </si>
  <si>
    <t xml:space="preserve">Preyra Braian </t>
  </si>
  <si>
    <t>16/112023</t>
  </si>
  <si>
    <t>Comision Milgaros Maneiro - Neumaticos</t>
  </si>
  <si>
    <t>Coopertiva Obrera</t>
  </si>
  <si>
    <t>Pintureria</t>
  </si>
  <si>
    <t>Caja Grande $ 2.150.000 FALTANTE $ 10000</t>
  </si>
  <si>
    <t xml:space="preserve">Plazo Fijo $1.600.000 </t>
  </si>
  <si>
    <t>u$s x 3.610.000</t>
  </si>
  <si>
    <t>CC $ 2.426.776</t>
  </si>
  <si>
    <t>Caja Chica $ 37.000</t>
  </si>
  <si>
    <t>La Duquesita</t>
  </si>
  <si>
    <t>Neumaticos - Donato</t>
  </si>
  <si>
    <t>Neumaticos - Milagros Maneiro</t>
  </si>
  <si>
    <t>Literas Hiteras</t>
  </si>
  <si>
    <t>Telefonica Oct</t>
  </si>
  <si>
    <t>Comision Cristian</t>
  </si>
  <si>
    <t>Caja Chica $ 12.000</t>
  </si>
  <si>
    <t>Caja Grande $ 2.055.000 FALTANTE $ 10000</t>
  </si>
  <si>
    <t>u$s x 3.800.000</t>
  </si>
  <si>
    <t>JMM Particular</t>
  </si>
  <si>
    <t>Limpieza Elenena</t>
  </si>
  <si>
    <t>Maria Fuhr</t>
  </si>
  <si>
    <t>Ayudante x 2 dias</t>
  </si>
  <si>
    <t>182911.83</t>
  </si>
  <si>
    <t>El Camaleon</t>
  </si>
  <si>
    <t>Instituto</t>
  </si>
  <si>
    <t>Bco Nacion N 3903 17/11 Schawb Aneles</t>
  </si>
  <si>
    <t xml:space="preserve">Javier Roth </t>
  </si>
  <si>
    <t xml:space="preserve">Auxiliar </t>
  </si>
  <si>
    <t>Cheque Carrier Fueguina</t>
  </si>
  <si>
    <t>Cheque ROWA</t>
  </si>
  <si>
    <t>Cheque BUNKER</t>
  </si>
  <si>
    <t xml:space="preserve">VISA BLACK </t>
  </si>
  <si>
    <t>Comida</t>
  </si>
  <si>
    <t>Coop Agricola</t>
  </si>
  <si>
    <t>Combustible Fiorino - Cochico</t>
  </si>
  <si>
    <t>Jauregui Facundo</t>
  </si>
  <si>
    <t>Comision Clering</t>
  </si>
  <si>
    <t>Midea 3000 FC ON OFF</t>
  </si>
  <si>
    <t>JMM - Viaje</t>
  </si>
  <si>
    <t xml:space="preserve">Edes </t>
  </si>
  <si>
    <t>Guardon Javier</t>
  </si>
  <si>
    <t>Refrieraciones B</t>
  </si>
  <si>
    <t>San Luis Vaijes</t>
  </si>
  <si>
    <t xml:space="preserve">Bunker </t>
  </si>
  <si>
    <t>2 - Split Surrey 3000 FC</t>
  </si>
  <si>
    <t>7006.5</t>
  </si>
  <si>
    <t>Santanderrio N 0159 28/12</t>
  </si>
  <si>
    <t>Monotributo Milagros Maneiro 07-23</t>
  </si>
  <si>
    <t>Barbara Reguera</t>
  </si>
  <si>
    <t>Caja Grande $ 1.400.000.-FALTANTE $ 10000</t>
  </si>
  <si>
    <t>CC $</t>
  </si>
  <si>
    <t xml:space="preserve">Caja Chica $ 86000 - Sueldos Damian </t>
  </si>
  <si>
    <t>Seguro Fiorino</t>
  </si>
  <si>
    <t>Seguro Strada</t>
  </si>
  <si>
    <t>Municipaidad Coronel Suarez</t>
  </si>
  <si>
    <t xml:space="preserve">Comubistible </t>
  </si>
  <si>
    <t>Sierra</t>
  </si>
  <si>
    <t>Amuerzo x dos</t>
  </si>
  <si>
    <t>Ruben Eleno</t>
  </si>
  <si>
    <t>Tagle Ezequiel</t>
  </si>
  <si>
    <t>Bary</t>
  </si>
  <si>
    <t>Almuerzo x 2</t>
  </si>
  <si>
    <t>Caja Grande $ 1.200.000.-FALTANTE $ 10000</t>
  </si>
  <si>
    <t>Caja Cheque $ 384.300</t>
  </si>
  <si>
    <t>CC $ 1.040.980,96</t>
  </si>
  <si>
    <t>CU  $ 4.145,93</t>
  </si>
  <si>
    <t>Eleno Ruben</t>
  </si>
  <si>
    <t>Triagnular</t>
  </si>
  <si>
    <t>Echeq Bunker</t>
  </si>
  <si>
    <t>Refrigeraciones Bahia Blanca</t>
  </si>
  <si>
    <t>CL Viajes Bhia</t>
  </si>
  <si>
    <t>Comision Milagros Maneio</t>
  </si>
  <si>
    <t>Inversiones</t>
  </si>
  <si>
    <t>Alfonso Paleo</t>
  </si>
  <si>
    <t>Alberto Aldarez</t>
  </si>
  <si>
    <t>Crecer</t>
  </si>
  <si>
    <t>Monotirbuto Maneiro Mili 8 -23</t>
  </si>
  <si>
    <t>Perla Soler</t>
  </si>
  <si>
    <t>Servico</t>
  </si>
  <si>
    <t>Parque de Paz</t>
  </si>
  <si>
    <t>Alfoso Paleo</t>
  </si>
  <si>
    <t>Parque de Paz - hasta 02/04/2024</t>
  </si>
  <si>
    <t>JMM - Cooperativa</t>
  </si>
  <si>
    <t>ABC Distribucion</t>
  </si>
  <si>
    <t>Oscar Romero</t>
  </si>
  <si>
    <t>Premio Manuel Toloza</t>
  </si>
  <si>
    <t>Regalo Milagros Maneiro</t>
  </si>
  <si>
    <t>Weimann Miguel</t>
  </si>
  <si>
    <t>Guillermo Colombini</t>
  </si>
  <si>
    <t>Agroservicios EL Sauce</t>
  </si>
  <si>
    <t>Plaza hnos</t>
  </si>
  <si>
    <t>Saldado 2023</t>
  </si>
  <si>
    <t>Santiago Donato</t>
  </si>
  <si>
    <t>Repuesto -</t>
  </si>
  <si>
    <t>Limpieza Elenea</t>
  </si>
  <si>
    <t>Comubistible Fiorino</t>
  </si>
  <si>
    <t>Cheques Debitados</t>
  </si>
  <si>
    <t>Julio Aguirre</t>
  </si>
  <si>
    <t xml:space="preserve">Caja Grande $ </t>
  </si>
  <si>
    <t xml:space="preserve">u$s x </t>
  </si>
  <si>
    <t>Mario Destree</t>
  </si>
  <si>
    <t>Omar Romero</t>
  </si>
  <si>
    <t>Miguel Wiemann</t>
  </si>
  <si>
    <t>Cheques Milla - Santi Donato</t>
  </si>
  <si>
    <t>Juan Meier</t>
  </si>
  <si>
    <t>Santiago Favre</t>
  </si>
  <si>
    <t>Sueldo Leonel Araya</t>
  </si>
  <si>
    <t>Rifa Equinoterapia</t>
  </si>
  <si>
    <t>10207.95</t>
  </si>
  <si>
    <t>CC $ 2.591.238,10</t>
  </si>
  <si>
    <t>CU  $ 932,78</t>
  </si>
  <si>
    <t>Caja Chica $ 39.500</t>
  </si>
  <si>
    <t>u$s x 3.819.000</t>
  </si>
  <si>
    <t>Caja Grande $ 200.000</t>
  </si>
  <si>
    <t>$ 6.650.670,88.-</t>
  </si>
  <si>
    <t>Cheque Pretemporada</t>
  </si>
  <si>
    <t>Julio Auguirre</t>
  </si>
  <si>
    <t>VISA BLACK</t>
  </si>
  <si>
    <t>Muncipalidad de Guamini</t>
  </si>
  <si>
    <t>Mariano Casal</t>
  </si>
  <si>
    <t>Centro de compras</t>
  </si>
  <si>
    <t xml:space="preserve">Cheques </t>
  </si>
  <si>
    <t>Inmobiliario</t>
  </si>
  <si>
    <t>024 - 2338</t>
  </si>
  <si>
    <t>024 - 8049</t>
  </si>
  <si>
    <t>024-23891</t>
  </si>
  <si>
    <t>V65</t>
  </si>
  <si>
    <t>V61</t>
  </si>
  <si>
    <t>Parabolico</t>
  </si>
  <si>
    <t>Instituto Rodiologico</t>
  </si>
  <si>
    <t>Seguro Comercio</t>
  </si>
  <si>
    <t>Hernan Literas - Silvia Heffner</t>
  </si>
  <si>
    <t>ARBA IIBB - Anticipo</t>
  </si>
  <si>
    <t>Coop obrera</t>
  </si>
  <si>
    <t>Silvia Heffner</t>
  </si>
  <si>
    <t>Eduardo Bras</t>
  </si>
  <si>
    <t>Cheque ByN</t>
  </si>
  <si>
    <t>Insutria Bellmor</t>
  </si>
  <si>
    <t>Sueldo Maneiro Milagros</t>
  </si>
  <si>
    <t>Caja Chica $ 55.000</t>
  </si>
  <si>
    <t>CC $ 4.193.762,55</t>
  </si>
  <si>
    <t>CU  $ 547,85</t>
  </si>
  <si>
    <t>Sueldo  Leonel Araya</t>
  </si>
  <si>
    <t>u$s x 4.142.000</t>
  </si>
  <si>
    <t xml:space="preserve">JMM - Mirador Sierra </t>
  </si>
  <si>
    <t>JMM - Coop</t>
  </si>
  <si>
    <t>JMM- Combustible Captur</t>
  </si>
  <si>
    <t>Gomez Segundo</t>
  </si>
  <si>
    <t>14846.85</t>
  </si>
  <si>
    <t>Telefonica - DIC</t>
  </si>
  <si>
    <t>R1 Consecionaria</t>
  </si>
  <si>
    <t>Caja De Seguridad</t>
  </si>
  <si>
    <t>Servive</t>
  </si>
  <si>
    <t>Guillermo Suarez</t>
  </si>
  <si>
    <t>Electromecanica Mitre</t>
  </si>
  <si>
    <t>Hospital</t>
  </si>
  <si>
    <t>Caja Chica $ 80.200</t>
  </si>
  <si>
    <t>CC $ 3.934.574,06</t>
  </si>
  <si>
    <t>u$s x 4.408.000</t>
  </si>
  <si>
    <t>Bomberos</t>
  </si>
  <si>
    <t>Casa Silvia - Sonia de Bari</t>
  </si>
  <si>
    <t>Cooperativa San Martin  Café - Leche - Azucar</t>
  </si>
  <si>
    <t>23870.50</t>
  </si>
  <si>
    <t>CL Viajes</t>
  </si>
  <si>
    <t xml:space="preserve">Goyeneche </t>
  </si>
  <si>
    <t>Seguro Acc Personales</t>
  </si>
  <si>
    <t xml:space="preserve">Dos Santos </t>
  </si>
  <si>
    <t>Soc Rural</t>
  </si>
  <si>
    <t>Sueldo Leonesl Araya</t>
  </si>
  <si>
    <t>Fondo $ 1.002.292,22</t>
  </si>
  <si>
    <t>Italiano</t>
  </si>
  <si>
    <t>CC $ 3.045.218,01</t>
  </si>
  <si>
    <t xml:space="preserve">Hernan Literas </t>
  </si>
  <si>
    <t>14404.01</t>
  </si>
  <si>
    <t>17792.48</t>
  </si>
  <si>
    <t>Comision de Cuenta</t>
  </si>
  <si>
    <t>LNR - Publicidad Diciembre</t>
  </si>
  <si>
    <t>Neo</t>
  </si>
  <si>
    <t>Paula Desch</t>
  </si>
  <si>
    <t>Paisa - Capacitor</t>
  </si>
  <si>
    <t>Perfimet Aluminio</t>
  </si>
  <si>
    <t>Bco Nacion N 7329 10-02 $ 100.000 - N 730 $ 168.000 2-03</t>
  </si>
  <si>
    <t xml:space="preserve">Paula Desch Paisa </t>
  </si>
  <si>
    <t xml:space="preserve">Casa Silvia </t>
  </si>
  <si>
    <t>Caja Cheque $ 268.000</t>
  </si>
  <si>
    <t>Caja Grande $ 350.000</t>
  </si>
  <si>
    <t>Fondo $  1.016.085,85</t>
  </si>
  <si>
    <t>CC $ 2.729.622,56</t>
  </si>
  <si>
    <t>u$s x 4.332.000</t>
  </si>
  <si>
    <t>Fabre Ingnacion</t>
  </si>
  <si>
    <t>N 730 $ 168.000 2-03</t>
  </si>
  <si>
    <t>N 7329 10-02 $ 100.000</t>
  </si>
  <si>
    <t>Caja Chica $ 64.000</t>
  </si>
  <si>
    <t>Marcos Castreccini</t>
  </si>
  <si>
    <t>Gladys Ilesisas</t>
  </si>
  <si>
    <t>1 - Surrey 3000 On Off</t>
  </si>
  <si>
    <t>Patente</t>
  </si>
  <si>
    <t>Captur</t>
  </si>
  <si>
    <t>Fiorino</t>
  </si>
  <si>
    <t>Strada</t>
  </si>
  <si>
    <t>Caja Grande $ 700.000</t>
  </si>
  <si>
    <t>u$s x 4.256.000</t>
  </si>
  <si>
    <t>CC $ 2.620.731,34</t>
  </si>
  <si>
    <t>Fondo $  1.018.396,80</t>
  </si>
  <si>
    <t>Caja Chica $ 80.000</t>
  </si>
  <si>
    <t>Ciccioli - Materiales Piso Radiante</t>
  </si>
  <si>
    <t>IIBB Cuota 01/6</t>
  </si>
  <si>
    <t>Devolucion Sueldo Leonel Araya</t>
  </si>
  <si>
    <t xml:space="preserve">Equinoterapia </t>
  </si>
  <si>
    <t>Fondo $ 1.052.318,13</t>
  </si>
  <si>
    <t>u$s x 4.066.000</t>
  </si>
  <si>
    <t>Visa JMM</t>
  </si>
  <si>
    <t>CC $ 4.859.937,04</t>
  </si>
  <si>
    <t xml:space="preserve">Alquiler </t>
  </si>
  <si>
    <t>La Oxigena</t>
  </si>
  <si>
    <t>Lavado Camioneta</t>
  </si>
  <si>
    <t>Carmen Sieben</t>
  </si>
  <si>
    <t>Limpieza de Elena</t>
  </si>
  <si>
    <t>Bustamate Grafica</t>
  </si>
  <si>
    <t>Seguro Accidentes</t>
  </si>
  <si>
    <t>Sueldo Damian Centoza</t>
  </si>
  <si>
    <t>Hospital CS</t>
  </si>
  <si>
    <t>Marcelo Ariel Grisman</t>
  </si>
  <si>
    <t>Pigue</t>
  </si>
  <si>
    <t>Fondo $ 1.069.502,27</t>
  </si>
  <si>
    <t>CC $ 3.291.598,69</t>
  </si>
  <si>
    <t>CU  $ -1.668,14</t>
  </si>
  <si>
    <t>u$s x 3.952.000</t>
  </si>
  <si>
    <t>Caja Chica $ 50.000</t>
  </si>
  <si>
    <t>Movistar Telefonica</t>
  </si>
  <si>
    <t>Laura Bauer</t>
  </si>
  <si>
    <t>Estacion Uno - Garrafa de Gas</t>
  </si>
  <si>
    <t>Probveedores</t>
  </si>
  <si>
    <t>Transferencia CC</t>
  </si>
  <si>
    <t>Transferencia CU</t>
  </si>
  <si>
    <t>Coperativa Electrica</t>
  </si>
  <si>
    <t>218363.52</t>
  </si>
  <si>
    <t>JMM - Hospital Italiano</t>
  </si>
  <si>
    <t>JMM - Combustible</t>
  </si>
  <si>
    <t>Sueldo Diamian Centonze</t>
  </si>
  <si>
    <t>CC $ 1.830.817,45</t>
  </si>
  <si>
    <t>Maldonado</t>
  </si>
  <si>
    <t>Fondo $ 1.086.864,99</t>
  </si>
  <si>
    <t>Caja Chica $ 33.800</t>
  </si>
  <si>
    <t>Caja Grande $ 600.000</t>
  </si>
  <si>
    <t>CU  $ 3.241,86</t>
  </si>
  <si>
    <t>$ 7.506.24,30</t>
  </si>
  <si>
    <t>Coop - Azucar</t>
  </si>
  <si>
    <t>Coop La Alianza</t>
  </si>
  <si>
    <t>Johonson Controls</t>
  </si>
  <si>
    <t>CC $ 2.502.016,73</t>
  </si>
  <si>
    <t>Caja Chica $ 277.000</t>
  </si>
  <si>
    <t>Eccheq Milla</t>
  </si>
  <si>
    <t>Eccheq Rowa</t>
  </si>
  <si>
    <t>Agua destilada x 240 lts $ 200</t>
  </si>
  <si>
    <t>Kess Hnos</t>
  </si>
  <si>
    <t xml:space="preserve">Herr Juan Santigao </t>
  </si>
  <si>
    <t>Bco La Pampa N 5335 $ 796500 15/3 - N 5336 $ 796500 30/3 - N 5337 $ 7965400 30/04 - Bco Prov 7242 $ 1365400 06/04</t>
  </si>
  <si>
    <t xml:space="preserve"> Bco Prov 7242 $ 1365400 06/03</t>
  </si>
  <si>
    <t>Ansal Refrieracion</t>
  </si>
  <si>
    <t>Sbarbati FyM</t>
  </si>
  <si>
    <t>Casa Silvia</t>
  </si>
  <si>
    <t>Leña</t>
  </si>
  <si>
    <t>Dario Bon</t>
  </si>
  <si>
    <t>Ferretria Furland</t>
  </si>
  <si>
    <t>AMMBA</t>
  </si>
  <si>
    <t>CU  $ 1.826,39</t>
  </si>
  <si>
    <t>CC $ 3.690.863,53</t>
  </si>
  <si>
    <t>Caja Chica $ 40.000</t>
  </si>
  <si>
    <t>Caja Grande $ 300.000</t>
  </si>
  <si>
    <t>Caja Cheque $ 796.400</t>
  </si>
  <si>
    <t>Fondo $ 1.104.875,17</t>
  </si>
  <si>
    <t>Cooperativa</t>
  </si>
  <si>
    <t>Milla  - Cheque</t>
  </si>
  <si>
    <t>La Estacion</t>
  </si>
  <si>
    <t>EDES Febrero</t>
  </si>
  <si>
    <t>Limpeiza Elena</t>
  </si>
  <si>
    <t>Davica</t>
  </si>
  <si>
    <t>Marcos Echeverria</t>
  </si>
  <si>
    <t xml:space="preserve">AFIP </t>
  </si>
  <si>
    <t xml:space="preserve">Maldonado </t>
  </si>
  <si>
    <t>AFIP  Milagros Maneiro</t>
  </si>
  <si>
    <t>Segundo Gomez</t>
  </si>
  <si>
    <t>Elisa Guede Enero - Febrero</t>
  </si>
  <si>
    <t>Cablevision JMM</t>
  </si>
  <si>
    <t>CU  $ -136.708,07</t>
  </si>
  <si>
    <t>CC $ 2.835.138,67</t>
  </si>
  <si>
    <t>Caja Chica $ 13.000</t>
  </si>
  <si>
    <t>Caja Cheque $ 842.100</t>
  </si>
  <si>
    <t>Fondo $ 1.137.996,73</t>
  </si>
  <si>
    <t>u$s x 3.724.000</t>
  </si>
  <si>
    <t>Seguro de Vida JMM</t>
  </si>
  <si>
    <t>Neubauer Avelino</t>
  </si>
  <si>
    <t>Bermejo Y Cia Srl 18/04</t>
  </si>
  <si>
    <t>18720.91</t>
  </si>
  <si>
    <t>JMM - Carnet</t>
  </si>
  <si>
    <t xml:space="preserve">Café </t>
  </si>
  <si>
    <t>Alumuerzo x 2 Raffo</t>
  </si>
  <si>
    <t>Combustible Raffo</t>
  </si>
  <si>
    <t>Viatcos</t>
  </si>
  <si>
    <t>Asociacion Española</t>
  </si>
  <si>
    <t>Dif Viaticos</t>
  </si>
  <si>
    <t>Telefonica Feb</t>
  </si>
  <si>
    <t>u$s x 3.648.000</t>
  </si>
  <si>
    <t>A favor + 500</t>
  </si>
  <si>
    <t>Italino</t>
  </si>
  <si>
    <t>Caja Grande $ 100.000</t>
  </si>
  <si>
    <t>Caja Chica $ 26.000</t>
  </si>
  <si>
    <t>Fondo $ 1.151.319,97</t>
  </si>
  <si>
    <t>CC $ 2.205.362,79</t>
  </si>
  <si>
    <t>Caja Cheque $ 4.634.700</t>
  </si>
  <si>
    <t>Sueldo Damian Centonze - Abril</t>
  </si>
  <si>
    <t>Coop Obrera JMM</t>
  </si>
  <si>
    <t>Nativa Seguro Captur</t>
  </si>
  <si>
    <t>Nativa Seguro Fiorino</t>
  </si>
  <si>
    <t>Nativa Seguro Strada</t>
  </si>
  <si>
    <t>Aguer Gaston</t>
  </si>
  <si>
    <t>Cristian Ortmann</t>
  </si>
  <si>
    <t>Ferrteria JAR</t>
  </si>
  <si>
    <t>Caja Dolares u$s 2.400 ( Prestamo Milagros u$s 2.600 )</t>
  </si>
  <si>
    <t>Caja Cheque $ 1.796.400</t>
  </si>
  <si>
    <t>Fondo $ 1.169.140,6</t>
  </si>
  <si>
    <t>Caja Chica $ 62.0000</t>
  </si>
  <si>
    <t>Resma Papel</t>
  </si>
  <si>
    <t>Goti Francisca</t>
  </si>
  <si>
    <t>Eduardo G</t>
  </si>
  <si>
    <t>Aguarras</t>
  </si>
  <si>
    <t>LNR - Publicidad Feb</t>
  </si>
  <si>
    <t>Equinoterapia</t>
  </si>
  <si>
    <t>Marcelo Schwab</t>
  </si>
  <si>
    <t>Daniel Culler</t>
  </si>
  <si>
    <t xml:space="preserve">Echeq ROWA 26 -03 </t>
  </si>
  <si>
    <t>Rodrigo Wesner - Agua Destilada</t>
  </si>
  <si>
    <t>Mariano Hagg</t>
  </si>
  <si>
    <t>Avelino Geronimo</t>
  </si>
  <si>
    <t>Macro N 5120 18-04</t>
  </si>
  <si>
    <t>Echeq Internional</t>
  </si>
  <si>
    <t>Centro ByN</t>
  </si>
  <si>
    <t>Pezzati</t>
  </si>
  <si>
    <t>Café y Azucar</t>
  </si>
  <si>
    <t>Isabel Cook</t>
  </si>
  <si>
    <t>ByN</t>
  </si>
  <si>
    <t>Caja Chica $ 33.000</t>
  </si>
  <si>
    <t>CC $ 400.000</t>
  </si>
  <si>
    <t>Caja Cheque $ 2.204.500</t>
  </si>
  <si>
    <t>Fondo $ 1.185.057,52</t>
  </si>
  <si>
    <t>Ledesma Arocena Ignacio</t>
  </si>
  <si>
    <t xml:space="preserve">Banco Prov N 88699 25/04 </t>
  </si>
  <si>
    <t>Julio Kraft</t>
  </si>
  <si>
    <t>Plaza</t>
  </si>
  <si>
    <t>Irma Pisano - Repuesto Quemadores</t>
  </si>
  <si>
    <t>Vta Mostrador  - Repuesto Orbis</t>
  </si>
  <si>
    <t xml:space="preserve">Bandeja </t>
  </si>
  <si>
    <t>Araya - Bilbao</t>
  </si>
  <si>
    <t>Carlos Rigoli</t>
  </si>
  <si>
    <t>120048, 80</t>
  </si>
  <si>
    <t>Bilbao - Araya</t>
  </si>
  <si>
    <t>Bilbao - Araya/ Hag</t>
  </si>
  <si>
    <t xml:space="preserve">Limpieza Elena </t>
  </si>
  <si>
    <t>La Maga</t>
  </si>
  <si>
    <t>Javier Sanchez</t>
  </si>
  <si>
    <t>Medife Milagros Maneiro</t>
  </si>
  <si>
    <t>Caja Chica $ 29.000</t>
  </si>
  <si>
    <t>Caja Cheque $ 3.460.500</t>
  </si>
  <si>
    <t>CC $ 1.609.013,28</t>
  </si>
  <si>
    <t>Fondo $ 1.199.483,28</t>
  </si>
  <si>
    <t>u$s x 2.352.000</t>
  </si>
  <si>
    <t>Municipalidad C.S.</t>
  </si>
  <si>
    <t>Publicidad Paleta</t>
  </si>
  <si>
    <t>Electronecanica Atlas</t>
  </si>
  <si>
    <t>Villareal Carlos Alberto</t>
  </si>
  <si>
    <t xml:space="preserve">Argro Cla Lauquen </t>
  </si>
  <si>
    <t>Ricardo Schwindt</t>
  </si>
  <si>
    <t xml:space="preserve">Santander N 108 $ 850.000 03-04 / N 109 01-06-2024 /N 111 05-06 / Galicia Nº 9308 $ 725132,43 09-04 / N 9421 $ 110000 10-04 /Macro N 7618 09-04 $ 489200 </t>
  </si>
  <si>
    <t>Carina Kees</t>
  </si>
  <si>
    <t>Plaza hons</t>
  </si>
  <si>
    <t>De los Angeles</t>
  </si>
  <si>
    <t>Edilicio</t>
  </si>
  <si>
    <t>Saldo $ 85.000.-</t>
  </si>
  <si>
    <t xml:space="preserve">Seguro Accidentes Vida </t>
  </si>
  <si>
    <t>Dario Roth</t>
  </si>
  <si>
    <t>Saldo $ 100,000,-</t>
  </si>
  <si>
    <t>Nora Laurenco</t>
  </si>
  <si>
    <t>10-05 Nievas</t>
  </si>
  <si>
    <t xml:space="preserve">Cooperadora Cooperadora </t>
  </si>
  <si>
    <t xml:space="preserve">Split Inverter 4500 FC </t>
  </si>
  <si>
    <t>Maisonnave Kloster</t>
  </si>
  <si>
    <t>Pampa N 4837 $ 110000 30/04 Palosci Alicia - Santander N 4424 $ 870000 Larumbe Alberto</t>
  </si>
  <si>
    <t>Echeq International Trends</t>
  </si>
  <si>
    <t>Elisa Contador</t>
  </si>
  <si>
    <t>Conatdora</t>
  </si>
  <si>
    <t>Estudio Maisonnave Kloster</t>
  </si>
  <si>
    <t>Fernandez H</t>
  </si>
  <si>
    <t xml:space="preserve">Pintor </t>
  </si>
  <si>
    <t>Caja Grande $ 2.800.000</t>
  </si>
  <si>
    <t>Caja Cheque $1.707.330</t>
  </si>
  <si>
    <t>Caja Chica $ 52.200</t>
  </si>
  <si>
    <t>CU  $ -159.503,09</t>
  </si>
  <si>
    <t>CC $ 3.128.032,72</t>
  </si>
  <si>
    <t>u$s x 2.424.000</t>
  </si>
  <si>
    <t>Fondo $ 1.213.524,89</t>
  </si>
  <si>
    <t>Comison</t>
  </si>
  <si>
    <t>Santanderrio N 82134424 26-04-2024 Larumbe Alberto</t>
  </si>
  <si>
    <t>Ferreteri Diale</t>
  </si>
  <si>
    <t>Ferreteria San Martin</t>
  </si>
  <si>
    <t>JMM - Italiano</t>
  </si>
  <si>
    <t>Publicidadad LNR</t>
  </si>
  <si>
    <t xml:space="preserve">Mostrador </t>
  </si>
  <si>
    <t>Miguel Weimann</t>
  </si>
  <si>
    <t>2/5/,2024</t>
  </si>
  <si>
    <t>Fernandez Horacio</t>
  </si>
  <si>
    <t>Caja Chica $ 440.000</t>
  </si>
  <si>
    <t>Tefelenica Marzo - Abril</t>
  </si>
  <si>
    <t>Servicos</t>
  </si>
  <si>
    <t>Durañona</t>
  </si>
  <si>
    <t>Venta</t>
  </si>
  <si>
    <t>Nievas Monica</t>
  </si>
  <si>
    <t>Bomberos Mayo Junio</t>
  </si>
  <si>
    <t>Seguros Accidentes</t>
  </si>
  <si>
    <t>Cable</t>
  </si>
  <si>
    <t>Agua Destilada $ 250</t>
  </si>
  <si>
    <t>Uriarte Luis Maria</t>
  </si>
  <si>
    <t xml:space="preserve">Split Inverter 5500 FC </t>
  </si>
  <si>
    <t>Limepiza Elena</t>
  </si>
  <si>
    <t xml:space="preserve">Limpiador </t>
  </si>
  <si>
    <t>Saldo 70.300.-</t>
  </si>
  <si>
    <t>Euguenio Danuncio</t>
  </si>
  <si>
    <t>CC $ 3.090.574,11</t>
  </si>
  <si>
    <t>CU  $ -178.842,72</t>
  </si>
  <si>
    <t>Fondo $ 1.235.694,01</t>
  </si>
  <si>
    <t>Caja Cheque $ 210.000</t>
  </si>
  <si>
    <t>Caja Dolares u$s 900  ( Prestamo Milagros u$s 2.600 )</t>
  </si>
  <si>
    <t>u$s x 909.000</t>
  </si>
  <si>
    <t>Caja Chica $ 184.600</t>
  </si>
  <si>
    <t>Falta 10/5</t>
  </si>
  <si>
    <t xml:space="preserve">Seguro Comercio </t>
  </si>
  <si>
    <t>AFIP - 931 Damian C.</t>
  </si>
  <si>
    <t>Perosnal</t>
  </si>
  <si>
    <t>ARBA - Patente JMM</t>
  </si>
  <si>
    <t>Patriotico</t>
  </si>
  <si>
    <t>EDES Abril</t>
  </si>
  <si>
    <t>Gasteneguy Hnos</t>
  </si>
  <si>
    <t>Galicia N 9720 3/06 Matin y Alonso</t>
  </si>
  <si>
    <t>Galicia N 9721 3/06 Martin y Alonso</t>
  </si>
  <si>
    <t>Weiman</t>
  </si>
  <si>
    <t>Intercambiador Goti</t>
  </si>
  <si>
    <t>Saul Arcucci</t>
  </si>
  <si>
    <t>Bco. Prov N 6989 23/05 $ 68217 Giorgi Susana - Bco. prov N 6987 22/05 $ 33429 Giorgi Susana - Galicia 0173 $ 62310,59 Arabare SA - Prov N 1574 $ 20742 23/05 Vicente Danie - Bco Nacion N 61118 $ 100000 18/05 Poggiolo Oscar</t>
  </si>
  <si>
    <t>Transporte TAS Devolcion</t>
  </si>
  <si>
    <t>Pampa N 8727 25/04 De Lusarreta Edgardo</t>
  </si>
  <si>
    <t>Sueldo Damien Centonze</t>
  </si>
  <si>
    <t>Neira, Maria del Carmen 16/05 $ 1000000 - 28/5 $ 1710000</t>
  </si>
  <si>
    <t>Cambio TAS + Gasteneuy Martin y Alonso</t>
  </si>
  <si>
    <t>Ermandraut</t>
  </si>
  <si>
    <t>Limpiea Elena</t>
  </si>
  <si>
    <t>Neira, Maria del Carmen 28/5 $ 1710000</t>
  </si>
  <si>
    <t xml:space="preserve">Maissonave </t>
  </si>
  <si>
    <t>Intalacion</t>
  </si>
  <si>
    <t>P930749</t>
  </si>
  <si>
    <t>Francisco Fuhur</t>
  </si>
  <si>
    <t>6 - Diamante 1 - Blister</t>
  </si>
  <si>
    <t>Neria - Abogada Sociedad</t>
  </si>
  <si>
    <t>Publicidad Paleta Mauro Sosa</t>
  </si>
  <si>
    <t>Neubauer Aurelio</t>
  </si>
  <si>
    <t>Macro N 6976 $ 124800 17/05</t>
  </si>
  <si>
    <t>Estrada</t>
  </si>
  <si>
    <t>Francisca Goti</t>
  </si>
  <si>
    <t>Cradys</t>
  </si>
  <si>
    <t>Juzgado de Faltas</t>
  </si>
  <si>
    <t>Sociedad</t>
  </si>
  <si>
    <t>Saldo $ 33.250.-</t>
  </si>
  <si>
    <t>Elena Magariño</t>
  </si>
  <si>
    <t>Hospital Damian Centonze</t>
  </si>
  <si>
    <t>Electronica Atlas</t>
  </si>
  <si>
    <t>Bco Nacion 8335 20/05 Andueza Bruno</t>
  </si>
  <si>
    <t>Asociacion Club Germano</t>
  </si>
  <si>
    <t>Cerdeira Heber</t>
  </si>
  <si>
    <t>1 - Termostato Alre Mecabico</t>
  </si>
  <si>
    <t xml:space="preserve">Medico </t>
  </si>
  <si>
    <t>12/07 - 22/07</t>
  </si>
  <si>
    <t>Ines Mordeglia</t>
  </si>
  <si>
    <t>Denuncia CURRIER - Maneiro Milagros</t>
  </si>
  <si>
    <t xml:space="preserve">Visa CURSO </t>
  </si>
  <si>
    <t>Seguro de Vivienda</t>
  </si>
  <si>
    <t>Jose Gimenez</t>
  </si>
  <si>
    <t>Echeq $ 1.000.000 16/06 Venc.</t>
  </si>
  <si>
    <t>Extraccion</t>
  </si>
  <si>
    <t>Caja Chica $ 26.750</t>
  </si>
  <si>
    <t>Fondo $ 1.257.755</t>
  </si>
  <si>
    <t>u$s x 1.440.000</t>
  </si>
  <si>
    <t>CC $ 3.783.016,74</t>
  </si>
  <si>
    <t>Caja Grande $ 2.550.000 + $ 200.000,-</t>
  </si>
  <si>
    <t>JMM - Italiano MARZO</t>
  </si>
  <si>
    <t>Cerrajeria - Porton</t>
  </si>
  <si>
    <t>Consejo Escolar - Retenciones e Impuestos</t>
  </si>
  <si>
    <t>International Tren - IIBB</t>
  </si>
  <si>
    <t>Echeq Intrenational Trend</t>
  </si>
  <si>
    <t>Coop Obrera Café - Azucar y Leche</t>
  </si>
  <si>
    <t>Lona - Zilio</t>
  </si>
  <si>
    <t>1 - Filtro Pleno AA</t>
  </si>
  <si>
    <t>Impuestos CC</t>
  </si>
  <si>
    <t>Bco Prov N 5953 29/06</t>
  </si>
  <si>
    <t>Combustibl Fiorino</t>
  </si>
  <si>
    <t>Gladys Hermosilla - Paisa</t>
  </si>
  <si>
    <t>Repuesto $ 27.500 Paisa</t>
  </si>
  <si>
    <t>06-06 -2024/ 10-06-2024</t>
  </si>
  <si>
    <t>Blanco y Negro Publicidad</t>
  </si>
  <si>
    <t xml:space="preserve"> 2407 $ 30000 30/06 - 2408 $ 30000 15/07 - 2409 $ 30000 03/08 - 2410 $ 30000 17/08 - 2412 07/07 $ 30000 - 2411 $ 30000 30/7</t>
  </si>
  <si>
    <t>Juan Carlos Garcia</t>
  </si>
  <si>
    <t>Cheque $ 760.800,-</t>
  </si>
  <si>
    <t>Caja Grande $ 2.400.000 + $ 200.000,-</t>
  </si>
  <si>
    <t>CC $ 4.946.355,36</t>
  </si>
  <si>
    <t>Fondo $ 1.265.031,71</t>
  </si>
  <si>
    <t>Caja Chica $ 25.000</t>
  </si>
  <si>
    <t>u$s x 1.062.000</t>
  </si>
  <si>
    <t>$ 10.280.344.35</t>
  </si>
  <si>
    <t>Mastercard</t>
  </si>
  <si>
    <t>Edes - JMM</t>
  </si>
  <si>
    <t xml:space="preserve">Dimo </t>
  </si>
  <si>
    <t>Tecnoclima</t>
  </si>
  <si>
    <t>Villareal</t>
  </si>
  <si>
    <t>Comustible</t>
  </si>
  <si>
    <t>700 dolares en caja</t>
  </si>
  <si>
    <t xml:space="preserve">Nacion N 1173 06-06 </t>
  </si>
  <si>
    <t>Publicidad Pelota Paleta</t>
  </si>
  <si>
    <t>Nacion N 5931 21-06-2024</t>
  </si>
  <si>
    <t>Marcelo Espil - Liliana Arias</t>
  </si>
  <si>
    <t>Dario TAS</t>
  </si>
  <si>
    <t>4 -Elementos Diamante  - 1 Blister</t>
  </si>
  <si>
    <t>Puan</t>
  </si>
  <si>
    <t>Cheque $ 6.689.400</t>
  </si>
  <si>
    <t>Caja Grande $ 2.240.000 + $ 200.000,-</t>
  </si>
  <si>
    <t>CC $ 4.285.525,76</t>
  </si>
  <si>
    <t>CU  $ -197.915,38</t>
  </si>
  <si>
    <t>Caja Dolares u$s 600  ( Prestamo Milagros u$s 2.600 )</t>
  </si>
  <si>
    <t>Fondo $  1.273.103,85</t>
  </si>
  <si>
    <t>u$s x 672.000</t>
  </si>
  <si>
    <t>Caja Chica $ 42.200</t>
  </si>
  <si>
    <t>Caritas</t>
  </si>
  <si>
    <t>Colecta</t>
  </si>
  <si>
    <t>Seguro San Cristobal</t>
  </si>
  <si>
    <t>Visa Black - CURSO</t>
  </si>
  <si>
    <t>Dimo Narbartz</t>
  </si>
  <si>
    <t xml:space="preserve">Cooperativa Obrera - Limpieza </t>
  </si>
  <si>
    <t>Cooperativa Obrera - Azucar</t>
  </si>
  <si>
    <t>$ 14350 MILI</t>
  </si>
  <si>
    <t>Rifa</t>
  </si>
  <si>
    <t>Caja Efectvio</t>
  </si>
  <si>
    <t>AFIP 931</t>
  </si>
  <si>
    <t>Garrote Gustavo</t>
  </si>
  <si>
    <t>27100.99</t>
  </si>
  <si>
    <t>Bco Prov N 5953 29/06 Javier Roth</t>
  </si>
  <si>
    <t>Tarnsporte TAS Saldo $ 331.923,06</t>
  </si>
  <si>
    <t>Jose Luis Gimenez</t>
  </si>
  <si>
    <t>Obra Araya - Bilabo</t>
  </si>
  <si>
    <t>Ferreteria Furand</t>
  </si>
  <si>
    <t xml:space="preserve">Literas </t>
  </si>
  <si>
    <t>Reparacion Placas</t>
  </si>
  <si>
    <t>Caja Grande $ 1.820.000 + $ 200.000,-</t>
  </si>
  <si>
    <t>Cheque $ 5.928.600</t>
  </si>
  <si>
    <t>Fondo $  1.281.151,96</t>
  </si>
  <si>
    <t>u$s x 735.000</t>
  </si>
  <si>
    <t>CC $ 4.456.601,36</t>
  </si>
  <si>
    <t>Eduardo Zilio</t>
  </si>
  <si>
    <t>39664.7</t>
  </si>
  <si>
    <t>Cooperativa - Cif</t>
  </si>
  <si>
    <t>Cooperativa - Limpieza</t>
  </si>
  <si>
    <t>Normita Tempel</t>
  </si>
  <si>
    <t>Echeq $ 451.800</t>
  </si>
  <si>
    <t>CC $ 3.926.158,84</t>
  </si>
  <si>
    <t>Caja Chica $ 6.400</t>
  </si>
  <si>
    <t>Caja Grande $ 1.400.000 + $ 200.000,-</t>
  </si>
  <si>
    <t>Fondo $   1.286.868,97</t>
  </si>
  <si>
    <t>u$s x 750.000</t>
  </si>
  <si>
    <t> 27000,00</t>
  </si>
  <si>
    <t>Camuzzi MAYO</t>
  </si>
  <si>
    <t xml:space="preserve">Viatcios </t>
  </si>
  <si>
    <t>Marcos - Diego</t>
  </si>
  <si>
    <t>Daniel Caspintheira</t>
  </si>
  <si>
    <t>Combustible Captura</t>
  </si>
  <si>
    <t xml:space="preserve">Dario </t>
  </si>
  <si>
    <t>Tarjeta Visa JMM</t>
  </si>
  <si>
    <t>Edificio</t>
  </si>
  <si>
    <t>Estancia Las Marias</t>
  </si>
  <si>
    <t>Ines Goñi</t>
  </si>
  <si>
    <t>Forte Card</t>
  </si>
  <si>
    <t xml:space="preserve">Seguro Accidentes </t>
  </si>
  <si>
    <t>LNR - Mayo</t>
  </si>
  <si>
    <t>Atlas Electrodomestico</t>
  </si>
  <si>
    <t>Caja Grande $ 2.600.000</t>
  </si>
  <si>
    <t>Caja Dolares u$s 700  ( Prestamo Milagros u$s 2.600 )</t>
  </si>
  <si>
    <t>Caja Chica $ 68.000</t>
  </si>
  <si>
    <t>Cheque $ 5.440.800</t>
  </si>
  <si>
    <t>Fondo $ 1.297.270,45</t>
  </si>
  <si>
    <t>u$s x 934.500</t>
  </si>
  <si>
    <t>CC $ 4.400.636,70</t>
  </si>
  <si>
    <t>Monotributo Abril - Mayo</t>
  </si>
  <si>
    <t>Bilbao Araya</t>
  </si>
  <si>
    <t>Saul Arcuchi</t>
  </si>
  <si>
    <t>Marcelo Espil</t>
  </si>
  <si>
    <t>ByN Publicidad</t>
  </si>
  <si>
    <t> 39986,00</t>
  </si>
  <si>
    <t>Publicidad ByN</t>
  </si>
  <si>
    <t>Cambio Cheque</t>
  </si>
  <si>
    <t>JMM - Dolares</t>
  </si>
  <si>
    <t>JMM - Compra Dolares</t>
  </si>
  <si>
    <t>Varela Zingueria</t>
  </si>
  <si>
    <t>Creceer</t>
  </si>
  <si>
    <t>Libra Aliniaciones</t>
  </si>
  <si>
    <t>Saldo $ 50000</t>
  </si>
  <si>
    <t>Seguro Comercio San Critobal</t>
  </si>
  <si>
    <t>Municipalidad De Coronel Suarez</t>
  </si>
  <si>
    <t>Mauricio Sarti</t>
  </si>
  <si>
    <t>Cuotas</t>
  </si>
  <si>
    <t>Limpieza Elna</t>
  </si>
  <si>
    <t>Alberdi - Harriot</t>
  </si>
  <si>
    <t>AFIP 931 - Damian Centonze</t>
  </si>
  <si>
    <t xml:space="preserve">Carlos </t>
  </si>
  <si>
    <t>Fondo $ 1.314.025,07</t>
  </si>
  <si>
    <t>Caja Dolares   ( Prestamo Milagros u$s 2.600 )</t>
  </si>
  <si>
    <t>CC $ 3.773.356,44</t>
  </si>
  <si>
    <t>Cheque $ 326.000</t>
  </si>
  <si>
    <t>Caja Grande $ 3.400.000</t>
  </si>
  <si>
    <t>Caja Chica $ 75.000</t>
  </si>
  <si>
    <t>CU  $</t>
  </si>
  <si>
    <t>8.888.3815.51</t>
  </si>
  <si>
    <t>Fotocopias Planos</t>
  </si>
  <si>
    <t>Arreglo Herramientas</t>
  </si>
  <si>
    <t>EDES Villegas</t>
  </si>
  <si>
    <t>EDES JMM</t>
  </si>
  <si>
    <t>Cesar Heguilein</t>
  </si>
  <si>
    <t>Susana Lopez</t>
  </si>
  <si>
    <t>Pisano Irma</t>
  </si>
  <si>
    <t>Arreglo Intercambiador</t>
  </si>
  <si>
    <t>Mariel Schwinth</t>
  </si>
  <si>
    <t xml:space="preserve">Escuela N1 </t>
  </si>
  <si>
    <t>CC $ 3.174.565,66</t>
  </si>
  <si>
    <t>Fondo $ 1.322.555,83</t>
  </si>
  <si>
    <t xml:space="preserve">Cheque $ </t>
  </si>
  <si>
    <t>Caja Grande $ 3.000.000</t>
  </si>
  <si>
    <t>Caja Chica $ 60.000</t>
  </si>
  <si>
    <t>Tramite Bco</t>
  </si>
  <si>
    <t xml:space="preserve">Repuestos Fiorino </t>
  </si>
  <si>
    <t>Fama Carlos</t>
  </si>
  <si>
    <t>Cub Germano</t>
  </si>
  <si>
    <t>A. Don Jose</t>
  </si>
  <si>
    <t>Liliana Lopez</t>
  </si>
  <si>
    <t>Nacion N 2168 07/08</t>
  </si>
  <si>
    <t>Francisco Quiroga</t>
  </si>
  <si>
    <t>Electro Centro</t>
  </si>
  <si>
    <t>Matias Chiodi</t>
  </si>
  <si>
    <t>Gastos Purvis</t>
  </si>
  <si>
    <t>Marcelo Spil</t>
  </si>
  <si>
    <t> 9.861,51</t>
  </si>
  <si>
    <t>Lorena Rtoh</t>
  </si>
  <si>
    <t>Clinica Coronel Suarez</t>
  </si>
  <si>
    <t>Pago Cheque</t>
  </si>
  <si>
    <t>Rafael De Luca</t>
  </si>
  <si>
    <t>Echeq $ 436.000</t>
  </si>
  <si>
    <t>CC $ 2.894.654,48</t>
  </si>
  <si>
    <t>Caja Grande $ 2.700.000</t>
  </si>
  <si>
    <t>Fondo $ 1.331.335,50</t>
  </si>
  <si>
    <t>Cheque $ 150.000</t>
  </si>
  <si>
    <t>Caja Chica $ 68.500</t>
  </si>
  <si>
    <t>$ 7.580.489.98</t>
  </si>
  <si>
    <t>Supermercado  Café y Stevia</t>
  </si>
  <si>
    <t>Braian Tourn</t>
  </si>
  <si>
    <t>1 - Elemento Diamante 500</t>
  </si>
  <si>
    <t>Herman Literas</t>
  </si>
  <si>
    <t>Instituto Radiolo - Tomocom</t>
  </si>
  <si>
    <t>Ricardo Eber</t>
  </si>
  <si>
    <t>Instlacion</t>
  </si>
  <si>
    <t xml:space="preserve">Patagonia 9723 20-07 </t>
  </si>
  <si>
    <t>02-09 716475 / 01-10 716475 / 01 - 11 716475</t>
  </si>
  <si>
    <t>CC $ 4.379.270,53</t>
  </si>
  <si>
    <t>Fondo $ 1.339.023,60</t>
  </si>
  <si>
    <t>Caja Dolares 1000 ( Prestamo Milagros u$s 2.600 )</t>
  </si>
  <si>
    <t>Echeq $ 2.614.425</t>
  </si>
  <si>
    <t xml:space="preserve">$ </t>
  </si>
  <si>
    <t>Caja Grande $ 3.600.000</t>
  </si>
  <si>
    <t>u$s x 1.335.000</t>
  </si>
  <si>
    <t>Caja Chica $ 27.500</t>
  </si>
  <si>
    <t xml:space="preserve">Carrier </t>
  </si>
  <si>
    <t>Cuno</t>
  </si>
  <si>
    <t>Chiodi</t>
  </si>
  <si>
    <t>CC $ 3.625.364,62</t>
  </si>
  <si>
    <t>Fondo $ 1.340.310,01</t>
  </si>
  <si>
    <t>$ 11.795099.63</t>
  </si>
  <si>
    <t>Literas</t>
  </si>
  <si>
    <t> 1186301,21</t>
  </si>
  <si>
    <t>Municipalidad de Lamadrid</t>
  </si>
  <si>
    <t>Belen R</t>
  </si>
  <si>
    <t>Mario Bartz</t>
  </si>
  <si>
    <t>Caja Chica $ 96.000</t>
  </si>
  <si>
    <t>Caja Grande $ 2.5000.000</t>
  </si>
  <si>
    <t>Echeq $ 3.489.425</t>
  </si>
  <si>
    <t>Fondo $ 1.349.492,34</t>
  </si>
  <si>
    <t>CC $ 3.299.514,25</t>
  </si>
  <si>
    <t>u$s x 1.330.000</t>
  </si>
  <si>
    <t>301758.67</t>
  </si>
  <si>
    <t>AFIP - 931</t>
  </si>
  <si>
    <t>Echeq - Cavallieri</t>
  </si>
  <si>
    <t>Rigoli</t>
  </si>
  <si>
    <t>Marria Nelida Risueño</t>
  </si>
  <si>
    <t>Regiani Belen</t>
  </si>
  <si>
    <t>Liliana Arias</t>
  </si>
  <si>
    <t>Daniel Castinheira</t>
  </si>
  <si>
    <t>Carrier F.</t>
  </si>
  <si>
    <t>15/10 - 29/10- 15/11 -27/11 -15/12 - 27/12 $ 130720</t>
  </si>
  <si>
    <t xml:space="preserve"> Propios</t>
  </si>
  <si>
    <t>CC $ 2.595.784,19</t>
  </si>
  <si>
    <t>Caja Grande $ 4.100.000</t>
  </si>
  <si>
    <t>Echeq $ 218.750,00</t>
  </si>
  <si>
    <t>Fondo $ 1.360.045,90</t>
  </si>
  <si>
    <t>u$s x 1.290.000</t>
  </si>
  <si>
    <t>Maria Jose Gaitan</t>
  </si>
  <si>
    <t>Baño</t>
  </si>
  <si>
    <t>Johnson Controls</t>
  </si>
  <si>
    <t>Licitacion</t>
  </si>
  <si>
    <t>Marta Anzotegui</t>
  </si>
  <si>
    <t>Terciariazacion</t>
  </si>
  <si>
    <t>Combbustible</t>
  </si>
  <si>
    <t>Dif $ 355.400 20/8/2024 u$s 4600</t>
  </si>
  <si>
    <t>Imp Ley - ARBA 117.537,6</t>
  </si>
  <si>
    <t>Imp Ley - ARBA 67734,50</t>
  </si>
  <si>
    <t xml:space="preserve">Kess </t>
  </si>
  <si>
    <t>Molinari</t>
  </si>
  <si>
    <t xml:space="preserve">Marina </t>
  </si>
  <si>
    <t>Vta Tanque PVC</t>
  </si>
  <si>
    <t xml:space="preserve">Seguro </t>
  </si>
  <si>
    <t>San Luis Viajes</t>
  </si>
  <si>
    <t>Gallegos Adrian</t>
  </si>
  <si>
    <t>CC $ 2.859.591,98</t>
  </si>
  <si>
    <t>Echeq $ 656.250</t>
  </si>
  <si>
    <t>Caja Grande $ 4.000.000</t>
  </si>
  <si>
    <t>u$s x 1.310.000</t>
  </si>
  <si>
    <t>Supermercado Café + Stevia</t>
  </si>
  <si>
    <t>Aberasturi Greogorio</t>
  </si>
  <si>
    <t>Martin Ferreyra</t>
  </si>
  <si>
    <t>Almagro Refri.</t>
  </si>
  <si>
    <t>Saldo $ 1,264,142,16</t>
  </si>
  <si>
    <t>Mauricio Cucco</t>
  </si>
  <si>
    <t xml:space="preserve">Chirrus </t>
  </si>
  <si>
    <t>CREUS</t>
  </si>
  <si>
    <t>Cardys</t>
  </si>
  <si>
    <t>Jardinero</t>
  </si>
  <si>
    <t>Publicidad LNR</t>
  </si>
  <si>
    <t>Vta Niples</t>
  </si>
  <si>
    <t>CC $ 2.382.476,77</t>
  </si>
  <si>
    <t>Fondo $ 1.378.856,19</t>
  </si>
  <si>
    <t>Facturas</t>
  </si>
  <si>
    <t>Liliana Chiodi</t>
  </si>
  <si>
    <t>Municipalidad Huanguelen</t>
  </si>
  <si>
    <t>Fondo de Reparo</t>
  </si>
  <si>
    <t>Arq Ana Rosa Echeverria</t>
  </si>
  <si>
    <t>Cabana San Maron</t>
  </si>
  <si>
    <t>Escuela Nº 7</t>
  </si>
  <si>
    <t>Fondo $ 1.387.057,68</t>
  </si>
  <si>
    <t>Echeq $ 218.750</t>
  </si>
  <si>
    <t>Caja Grande $ 2.500.000</t>
  </si>
  <si>
    <t>YPF</t>
  </si>
  <si>
    <t>CC $ 2.766.969,24</t>
  </si>
  <si>
    <t>Caja Chica $ 7000</t>
  </si>
  <si>
    <t>Bonifcacio</t>
  </si>
  <si>
    <t>Sucesion Jose Luis Guisilieri</t>
  </si>
  <si>
    <t>15/9/2024 Galicia Nº 9354</t>
  </si>
  <si>
    <t>Viatcios Bonifcacio</t>
  </si>
  <si>
    <t>ARBA Patente JMM</t>
  </si>
  <si>
    <t>Fiar Card</t>
  </si>
  <si>
    <t>Publicidad Blanco y Negro</t>
  </si>
  <si>
    <t xml:space="preserve">Asociacion </t>
  </si>
  <si>
    <t>Chiaparra A</t>
  </si>
  <si>
    <t xml:space="preserve">Compra dolres x $ 1280.- </t>
  </si>
  <si>
    <t>Paulo Bertola</t>
  </si>
  <si>
    <t>Capacitor - Motores Junin</t>
  </si>
  <si>
    <t>CC $ 3.074.557,17</t>
  </si>
  <si>
    <t>Fondo $ 1.396.281,36</t>
  </si>
  <si>
    <t>u$s x 1.280.000</t>
  </si>
  <si>
    <t>Caja Chica $ 81.000</t>
  </si>
  <si>
    <t>Caja Grande $ 1.000.000</t>
  </si>
  <si>
    <t>Ansal R</t>
  </si>
  <si>
    <t>AFIP - 913</t>
  </si>
  <si>
    <t>Acquaterm SRL</t>
  </si>
  <si>
    <t>Ciroc</t>
  </si>
  <si>
    <t>Municipalidad Coronel Suarez CREUS</t>
  </si>
  <si>
    <t>Retenciones IIBB</t>
  </si>
  <si>
    <t>Infires SA</t>
  </si>
  <si>
    <t>La libreria la Roca</t>
  </si>
  <si>
    <t>CC $ 11.410.312,72</t>
  </si>
  <si>
    <t>Caja Chica $ 120000</t>
  </si>
  <si>
    <t>244.424.-</t>
  </si>
  <si>
    <t>Gomez Videla Teresa</t>
  </si>
  <si>
    <t>Viaticos Sierra de La Ventana</t>
  </si>
  <si>
    <t>Daniel Castinehira</t>
  </si>
  <si>
    <t>El Redondo  Nancy Canale</t>
  </si>
  <si>
    <t>Caja $1.500.000,-</t>
  </si>
  <si>
    <t>Carrier F</t>
  </si>
  <si>
    <t>Comision Bahia</t>
  </si>
  <si>
    <t>Combustible Sierra</t>
  </si>
  <si>
    <t>CC $ 9.484.754,81</t>
  </si>
  <si>
    <t>Fondo $ 1.421.160,66</t>
  </si>
  <si>
    <t>Caja Grande $ 910.000</t>
  </si>
  <si>
    <t>u$s x 1.255.0000</t>
  </si>
  <si>
    <t>JADAMAR</t>
  </si>
  <si>
    <t>Horacio Fernandez</t>
  </si>
  <si>
    <t>Telefonica - Septiembre</t>
  </si>
  <si>
    <t>Palacio Horacio</t>
  </si>
  <si>
    <t>Viatcios Sierra</t>
  </si>
  <si>
    <t>Café + Azucar</t>
  </si>
  <si>
    <t>Medife</t>
  </si>
  <si>
    <t>Bustamante Imprenta</t>
  </si>
  <si>
    <t>CC $ 9.112.616,85</t>
  </si>
  <si>
    <t>Fondo $ 1.425.442,59</t>
  </si>
  <si>
    <t>Caja Chica $ 20.000</t>
  </si>
  <si>
    <t>Teresa Gomez Videla</t>
  </si>
  <si>
    <t xml:space="preserve">Biagioli </t>
  </si>
  <si>
    <t>Coopertiva Obra</t>
  </si>
  <si>
    <t>Viatcios Sonia de Bary</t>
  </si>
  <si>
    <t>Prov 1709 07-11 Marcos Araya</t>
  </si>
  <si>
    <t>Publicidad Mauro Sosa</t>
  </si>
  <si>
    <t>Caja Grande $ 470.000</t>
  </si>
  <si>
    <t>Cheque $ 268.000</t>
  </si>
  <si>
    <t>CC $ 10.767.520,03</t>
  </si>
  <si>
    <t>u$s x 1.100.000</t>
  </si>
  <si>
    <t>Asamble Camara de Comercio</t>
  </si>
  <si>
    <t>Autogena</t>
  </si>
  <si>
    <t>AFIP - Mis Facilidades</t>
  </si>
  <si>
    <t>Oscar Arzer - Ropa</t>
  </si>
  <si>
    <t xml:space="preserve">30 -10 Nº  615516 -11 Nº 6156 $ 860.000 - 16 - 12 Nº 6157 $ 860.000 - 16 - 01 Nº 6158 - 16-02 Nº 6155 $ 860.000 - </t>
  </si>
  <si>
    <t>De Victoria Juan Carlos</t>
  </si>
  <si>
    <t>Limpieza Elena - patio</t>
  </si>
  <si>
    <t>Galicia N 2510 29/10</t>
  </si>
  <si>
    <t>Trapo de Pisa y Rejilla</t>
  </si>
  <si>
    <t>Cheque $ 860.000</t>
  </si>
  <si>
    <t>Fondo $ 1.445.549,56</t>
  </si>
  <si>
    <t>CC $ 10.920.637,03</t>
  </si>
  <si>
    <t>Caja Chica $ 42.000 ( -$ 30.000 Damian )</t>
  </si>
  <si>
    <t xml:space="preserve">Pretemporada </t>
  </si>
  <si>
    <t>Cinta s/adesivo</t>
  </si>
  <si>
    <t>Manifestacion de Bienes</t>
  </si>
  <si>
    <t>Cinta Adesiva</t>
  </si>
  <si>
    <t>Ferreteria Furlad</t>
  </si>
  <si>
    <t>Seguro de Accidente Personales</t>
  </si>
  <si>
    <t>Elisa Guede Sep y Octubre</t>
  </si>
  <si>
    <t>Schwindt Ricardo</t>
  </si>
  <si>
    <t>Santanderrio N 0112 $ 500000 10-12-2024 - N 0115 $ 500000 10-01-25 - N 0114 10 - 02 -2024</t>
  </si>
  <si>
    <t>Schwindt Ricardo - Codo y Reja</t>
  </si>
  <si>
    <t>Fondo $  1.455.554,97</t>
  </si>
  <si>
    <t>Cheque $ 2.360.000</t>
  </si>
  <si>
    <t>Caja Chica $ 100.000 ( -$ 30.000 Damian )</t>
  </si>
  <si>
    <t>Caja Grande $ 1.400.000</t>
  </si>
  <si>
    <t>CC $ 8.991.163,06</t>
  </si>
  <si>
    <t>u$s x 1.200.000</t>
  </si>
  <si>
    <t>Carrier SRL - C</t>
  </si>
  <si>
    <t>Alejandra Distel</t>
  </si>
  <si>
    <t xml:space="preserve">Bco Pampa N 6056 28 - 10 / N 6057 </t>
  </si>
  <si>
    <t>Via Cargo</t>
  </si>
  <si>
    <t>AM Calzados</t>
  </si>
  <si>
    <t xml:space="preserve"> Echeq</t>
  </si>
  <si>
    <t>Carlos Alberdi</t>
  </si>
  <si>
    <t>Galicia N 8760 $ 1.716.000 30/10 N 8761 30/11 N 8762 30/12 N 8763 30-01 N 8764 01-03</t>
  </si>
  <si>
    <t>Biagioli</t>
  </si>
  <si>
    <t>30/10(2024</t>
  </si>
  <si>
    <t>Torres del Sur</t>
  </si>
  <si>
    <t>Santanderrio N 1114/16 $ 914425 29/11 - 30/12 - 30/01 - 28/02</t>
  </si>
  <si>
    <t>Visa - Italiano</t>
  </si>
  <si>
    <t>Mariano Galvan</t>
  </si>
  <si>
    <t>900 dolares</t>
  </si>
  <si>
    <t>Ansal Refrigeracion</t>
  </si>
  <si>
    <t>116980  a favor</t>
  </si>
  <si>
    <t>Publicdad LNR</t>
  </si>
  <si>
    <t>Cooperativa San Martin</t>
  </si>
  <si>
    <t>Caja Dolares 1900 ( Prestamo Milagros u$s 2.600 )</t>
  </si>
  <si>
    <t>Cheque $ 5.237.920</t>
  </si>
  <si>
    <t>CC $ 6.860.414,98</t>
  </si>
  <si>
    <t>Echeq $ 867.350</t>
  </si>
  <si>
    <t>u$s x 2.280.000</t>
  </si>
  <si>
    <t>Fondo $ 1.465.551,20</t>
  </si>
  <si>
    <t> 34.857,01</t>
  </si>
  <si>
    <t>Cesar Chiaparra</t>
  </si>
  <si>
    <t>Movistar Noviembre</t>
  </si>
  <si>
    <t>Plaqueta</t>
  </si>
  <si>
    <t>Caja Chica $ 183.000</t>
  </si>
  <si>
    <t>CC $ 7.362.619,77</t>
  </si>
  <si>
    <t>Echeq $ 281.710</t>
  </si>
  <si>
    <t>Cinta Isladora</t>
  </si>
  <si>
    <t>Fusibles</t>
  </si>
  <si>
    <t>Kohen Aberturas</t>
  </si>
  <si>
    <t>De Lusarreta Silvia</t>
  </si>
  <si>
    <t>Arba JMM</t>
  </si>
  <si>
    <t>Juan Carlos de Victoria</t>
  </si>
  <si>
    <t>Bco Nacion N 6160 11-12 Juan Carlos de Victoria</t>
  </si>
  <si>
    <t>Cheque Milgaros Maneiro</t>
  </si>
  <si>
    <t>Comsion</t>
  </si>
  <si>
    <t>Industri Bellmor</t>
  </si>
  <si>
    <t>Adento Damian</t>
  </si>
  <si>
    <t>RD Electricidad</t>
  </si>
  <si>
    <t>Motores Eletrocmecanica</t>
  </si>
  <si>
    <t>Carlos Piciarotti</t>
  </si>
  <si>
    <t>u$s 2800</t>
  </si>
  <si>
    <t>Mayo Daniel</t>
  </si>
  <si>
    <t>Fondo $ 1.483.983,70</t>
  </si>
  <si>
    <t>Caja Dolares 4700 ( Prestamo Milagros u$s 2.600 )</t>
  </si>
  <si>
    <t>u$s x 5.405.000</t>
  </si>
  <si>
    <t>Caja Chica $ 55000</t>
  </si>
  <si>
    <t>CC $ 6.482.047,11</t>
  </si>
  <si>
    <t>Combustible 308</t>
  </si>
  <si>
    <t>Ferreteriale Diale y Furland</t>
  </si>
  <si>
    <t>Bazar</t>
  </si>
  <si>
    <t>JMM - Bs As</t>
  </si>
  <si>
    <t>u$s 200</t>
  </si>
  <si>
    <t xml:space="preserve">Seguro de Accidentes </t>
  </si>
  <si>
    <t>Luis Luna</t>
  </si>
  <si>
    <t>Galvan Mariano</t>
  </si>
  <si>
    <t>AMEX JMM</t>
  </si>
  <si>
    <t>Visa Empresa</t>
  </si>
  <si>
    <t>Comision de CC</t>
  </si>
  <si>
    <t>Cristalsur</t>
  </si>
  <si>
    <t>Resma Hojas</t>
  </si>
  <si>
    <t>Fondo $ 1.502.343,40</t>
  </si>
  <si>
    <t>Cheque $ 5.457.195.57</t>
  </si>
  <si>
    <t>Caja Grande $350.000</t>
  </si>
  <si>
    <t>Caja Dolares 4900 ( Prestamo Milagros u$s 2.600 )</t>
  </si>
  <si>
    <t>u$s x 5.309.000</t>
  </si>
  <si>
    <t>Miguel Weimayer</t>
  </si>
  <si>
    <t>Vta 8 juntas</t>
  </si>
  <si>
    <t>Lucio Burdardt</t>
  </si>
  <si>
    <t>Martin Christini</t>
  </si>
  <si>
    <t>Camuzzi Noviembre</t>
  </si>
  <si>
    <t xml:space="preserve">Ferreteria Diale </t>
  </si>
  <si>
    <t>Roth</t>
  </si>
  <si>
    <t>Andres Garcia</t>
  </si>
  <si>
    <t>Caja Chica $ 97000</t>
  </si>
  <si>
    <t>Cheque $ 9191178,89</t>
  </si>
  <si>
    <t>Caja Grande $</t>
  </si>
  <si>
    <t>Fondo $ 1.511.498,75</t>
  </si>
  <si>
    <t>JMM - Viaje Retiro</t>
  </si>
  <si>
    <t xml:space="preserve">Impuestos Municipales </t>
  </si>
  <si>
    <t>Chirrus Dustribudiora</t>
  </si>
  <si>
    <t> 75639,87</t>
  </si>
  <si>
    <t>Combustible Forino</t>
  </si>
  <si>
    <t>Trevor Agro</t>
  </si>
  <si>
    <t>Daniel Mayo</t>
  </si>
  <si>
    <t>RD</t>
  </si>
  <si>
    <t>Juan Saldias</t>
  </si>
  <si>
    <t>Pretemporada Surrey</t>
  </si>
  <si>
    <t>Proveedotes</t>
  </si>
  <si>
    <t>Cambio Cheques</t>
  </si>
  <si>
    <t>AFIP - Honorarios</t>
  </si>
  <si>
    <t>Proeedores</t>
  </si>
  <si>
    <t> 394500</t>
  </si>
  <si>
    <t>JMM - Alquiler</t>
  </si>
  <si>
    <t xml:space="preserve">Jardin </t>
  </si>
  <si>
    <t>Pampa Nº 6058 28-12</t>
  </si>
  <si>
    <t xml:space="preserve">Luces </t>
  </si>
  <si>
    <t>Coperrativa Obbrera</t>
  </si>
  <si>
    <t>Accidentes Personales</t>
  </si>
  <si>
    <t>Cargil - Retenciones</t>
  </si>
  <si>
    <t>Pretemporada Carrier F</t>
  </si>
  <si>
    <t xml:space="preserve">Cooperativa </t>
  </si>
  <si>
    <t>Campo Nuevo</t>
  </si>
  <si>
    <t>Comision Milagros</t>
  </si>
  <si>
    <t>Luvy</t>
  </si>
  <si>
    <t>Compra Radia</t>
  </si>
  <si>
    <t>Triangular - Radiaores</t>
  </si>
  <si>
    <t>Herner</t>
  </si>
  <si>
    <t>Combustible Fiorino Sierra</t>
  </si>
  <si>
    <t>Viaticos - Sierra</t>
  </si>
  <si>
    <t>Hector Palacio</t>
  </si>
  <si>
    <t>Mecanico Milagros</t>
  </si>
  <si>
    <t>Omar Jauregui</t>
  </si>
  <si>
    <t xml:space="preserve">Trevor </t>
  </si>
  <si>
    <t>Combustible Fiorino Monte</t>
  </si>
  <si>
    <t>Claudio Diez</t>
  </si>
  <si>
    <t>Monin Alberdi</t>
  </si>
  <si>
    <t>Viatcios - Almuerzo Monte</t>
  </si>
  <si>
    <t>Viaticos - Cochera</t>
  </si>
  <si>
    <t>Fideli Pablo Martin</t>
  </si>
  <si>
    <t>LNR - Noviembre</t>
  </si>
  <si>
    <t>Fondo $ 1.554.077,35</t>
  </si>
  <si>
    <t>CC $ 6.565.901,87</t>
  </si>
  <si>
    <t>Caja Dolares 5000  ( Prestamo Milagros u$s 2.600 )</t>
  </si>
  <si>
    <t>Cheque $ 11069093</t>
  </si>
  <si>
    <t>Triangular - Radiadores</t>
  </si>
  <si>
    <t>Sociedad Rural C. Suarez</t>
  </si>
  <si>
    <t>Radiadores</t>
  </si>
  <si>
    <t> 636034,34</t>
  </si>
  <si>
    <t>Polifoam</t>
  </si>
  <si>
    <t>Caja Grande $ 1650000</t>
  </si>
  <si>
    <t>Cable Celular</t>
  </si>
  <si>
    <t>Insituto Rdaiologico</t>
  </si>
  <si>
    <t>Trevor 28-02</t>
  </si>
  <si>
    <t xml:space="preserve">Camara de Comercio </t>
  </si>
  <si>
    <t>EDES Dic</t>
  </si>
  <si>
    <t>Cooperativa obrera</t>
  </si>
  <si>
    <t>Combustible - Carhue</t>
  </si>
  <si>
    <t>Combustible Fiorino - Carhue</t>
  </si>
  <si>
    <t>Oxigeno</t>
  </si>
  <si>
    <t>Huang Qinghong</t>
  </si>
  <si>
    <t>Caja Chica $ 84.000</t>
  </si>
  <si>
    <t>Caja Grande $ 4.400.000</t>
  </si>
  <si>
    <t>CC $ 3.515.538,74</t>
  </si>
  <si>
    <t>Fondo $ 1.562.154,56</t>
  </si>
  <si>
    <t>Caja Dolares 4200 ( Prestamo Damian u$s Milagros u$s 2.600 )</t>
  </si>
  <si>
    <t>u$s x 5.103.000</t>
  </si>
  <si>
    <t>Favre Ignacio</t>
  </si>
  <si>
    <t>Jauregui</t>
  </si>
  <si>
    <t>Caño Cobre</t>
  </si>
  <si>
    <t>Combustible Carhue</t>
  </si>
  <si>
    <t xml:space="preserve">Almuerzo x  2 </t>
  </si>
  <si>
    <t xml:space="preserve">Prov 6159 16 - 02 - 2025 De Victoria </t>
  </si>
  <si>
    <t>Nancy Canale - El Redondo</t>
  </si>
  <si>
    <t>Combustible Fiorino Carhue</t>
  </si>
  <si>
    <t>Combustible Strada Carhe</t>
  </si>
  <si>
    <t>Combustible Strada Carhue</t>
  </si>
  <si>
    <t>Camuzzi - Nov</t>
  </si>
  <si>
    <t>Emmanuel Garcia - Ayudante</t>
  </si>
  <si>
    <t>Almuerzos x 3</t>
  </si>
  <si>
    <t>Ferrelec</t>
  </si>
  <si>
    <t>CC $ 1.623.408,55</t>
  </si>
  <si>
    <t>Caja Grande $ 3.900.000</t>
  </si>
  <si>
    <t>Cheque Fisicos $ 4.154.960 +  Echeq $ 3.704.218,85</t>
  </si>
  <si>
    <t>Fondo $ 1.570.332,49</t>
  </si>
  <si>
    <t>Caja Chica $ 17.000</t>
  </si>
  <si>
    <t>u$s x 5.040.000</t>
  </si>
  <si>
    <t>Total $ 20.009.9919,8</t>
  </si>
  <si>
    <t>Hijitus Guarderia</t>
  </si>
  <si>
    <t>Manuel Toloza  - Tiro Federal</t>
  </si>
  <si>
    <t>Dif Deposito CC a CU</t>
  </si>
  <si>
    <t>Telefonica - Diciembre</t>
  </si>
  <si>
    <t xml:space="preserve">Orbis </t>
  </si>
  <si>
    <t>Eugenia Kunz</t>
  </si>
  <si>
    <t>Carreir SRL - Recmil</t>
  </si>
  <si>
    <t>AM Calzado - Nuech</t>
  </si>
  <si>
    <t>30-01 Carlos Alberdi</t>
  </si>
  <si>
    <t>CC $ 4.076.983,32</t>
  </si>
  <si>
    <t>Caja Chica $ 90.000</t>
  </si>
  <si>
    <t>Caja Grande $ 5.500.000</t>
  </si>
  <si>
    <t>Cheque Fisicos $ 2.438.960  +  Echeq $ 3.648.328,85</t>
  </si>
  <si>
    <t>Total $ 22.274.604,66</t>
  </si>
  <si>
    <t>Motores Junin  - Capacitor MAYO</t>
  </si>
  <si>
    <t>Coop JMM</t>
  </si>
  <si>
    <t xml:space="preserve">JMM - Hotel </t>
  </si>
  <si>
    <t>LNR - Publicidad Dic</t>
  </si>
  <si>
    <t>Motores Junin - Capacitor Zarate</t>
  </si>
  <si>
    <t>Fasnet</t>
  </si>
  <si>
    <t>Elisa Guede - Oct Nov Dic 2024</t>
  </si>
  <si>
    <t>Edes - Enero</t>
  </si>
  <si>
    <t>Zarate</t>
  </si>
  <si>
    <t>Enchufe</t>
  </si>
  <si>
    <t>Tercearizacion</t>
  </si>
  <si>
    <t>Esther Nuesch</t>
  </si>
  <si>
    <t>Limpieza JMM</t>
  </si>
  <si>
    <t>Emanuel Ayudante</t>
  </si>
  <si>
    <t>Alberdi</t>
  </si>
  <si>
    <t>Martinez Contrucciones</t>
  </si>
  <si>
    <t>Agua Destilada x 300 lts</t>
  </si>
  <si>
    <t>Tercirizacion</t>
  </si>
  <si>
    <t>Efectivo</t>
  </si>
  <si>
    <t>Juan Kun</t>
  </si>
  <si>
    <t>Acebal Miguel</t>
  </si>
  <si>
    <t xml:space="preserve"> Carrier F</t>
  </si>
  <si>
    <t>Natalia Reisnicoff</t>
  </si>
  <si>
    <t>Caja Chica $ 107.000</t>
  </si>
  <si>
    <t>Caja Grande $ 2.400.000</t>
  </si>
  <si>
    <t>CC $ 896.822,82</t>
  </si>
  <si>
    <t>Carrie Fueguina</t>
  </si>
  <si>
    <t> 440214</t>
  </si>
  <si>
    <t> 25050</t>
  </si>
  <si>
    <t>Colossi - Murray</t>
  </si>
  <si>
    <t>Porpol</t>
  </si>
  <si>
    <t>Colossi Murray</t>
  </si>
  <si>
    <t>Precepcion IVA</t>
  </si>
  <si>
    <t>Banocos</t>
  </si>
  <si>
    <t>JMM - Camuzzi</t>
  </si>
  <si>
    <t>Deposio CC</t>
  </si>
  <si>
    <t>Comision Julio Kraft</t>
  </si>
  <si>
    <t>Triangular Radiadores</t>
  </si>
  <si>
    <t> 7530</t>
  </si>
  <si>
    <t>5//2025</t>
  </si>
  <si>
    <t>JMM - Kinesiologo</t>
  </si>
  <si>
    <t>Mendoza Javier</t>
  </si>
  <si>
    <t>AFIP 931 - Enero</t>
  </si>
  <si>
    <t>458046.73</t>
  </si>
  <si>
    <t>Camuzzi Dic - Enero</t>
  </si>
  <si>
    <t>EDES - Febreo</t>
  </si>
  <si>
    <t>Peronal</t>
  </si>
  <si>
    <t>Manuel Toloza - Tiro</t>
  </si>
  <si>
    <t xml:space="preserve">JMM Tiro - Soc Italiana </t>
  </si>
  <si>
    <t>Martin Bonnaterre</t>
  </si>
  <si>
    <t>Dir. Cultura y Educacion - CEC</t>
  </si>
  <si>
    <t>Coop. Hospital San Martin</t>
  </si>
  <si>
    <t>76680.02</t>
  </si>
  <si>
    <t>Comision Sergio - Obra Bonnaterre</t>
  </si>
  <si>
    <t>Cpmbustible</t>
  </si>
  <si>
    <t>Club El Progreso</t>
  </si>
  <si>
    <t>Bco Santanderrio N 6702 20-04 $320.000 - N 6703 $ 320.000 20 - 04 - N 6704 $ 310000 05-04</t>
  </si>
  <si>
    <t>Mauro Lauman</t>
  </si>
  <si>
    <t>Galicia N 8981 $ 500.000 10-03 / N 8980 $ 500.000 10-03</t>
  </si>
  <si>
    <t>Bonaterre</t>
  </si>
  <si>
    <t>Rubio Martin</t>
  </si>
  <si>
    <t>Repuesto Rowa</t>
  </si>
  <si>
    <t>Viaticos Carhue</t>
  </si>
  <si>
    <t>Roberto Garcia</t>
  </si>
  <si>
    <t xml:space="preserve">Cheque Fisicos $ </t>
  </si>
  <si>
    <t>Caja Grande $ 10.420.000</t>
  </si>
  <si>
    <t>1 - Termostato Estándar</t>
  </si>
  <si>
    <t>Leandro Perez</t>
  </si>
  <si>
    <t>Sericios</t>
  </si>
  <si>
    <t>Caldera Eco Nova 1,24 Fi</t>
  </si>
  <si>
    <t xml:space="preserve">Carrier F. </t>
  </si>
  <si>
    <t>Mi Pichon</t>
  </si>
  <si>
    <t>Rene Hippedinger</t>
  </si>
  <si>
    <t>Bomba 7/1 Plan Canje</t>
  </si>
  <si>
    <t>Seguro Nativa JMM</t>
  </si>
  <si>
    <t>Radidadores</t>
  </si>
  <si>
    <t>Pardo Marcelo - Placa</t>
  </si>
  <si>
    <t>Diego Aguer - Placa</t>
  </si>
  <si>
    <t>Prov N 0414 25-04 800.000 N 0415 24-05 800.000</t>
  </si>
  <si>
    <t>Cooperadora Hospital San Martin</t>
  </si>
  <si>
    <t>Triangular SA - Placa Pardo Aguer</t>
  </si>
  <si>
    <t>Viaticos Almuerzos</t>
  </si>
  <si>
    <t>Caja Chica $ 98.000</t>
  </si>
  <si>
    <t>Caja Grande $ 7.200.000</t>
  </si>
  <si>
    <t>Cheque Fisicos $ 2.211.000</t>
  </si>
  <si>
    <t>CC $ 506.489,56</t>
  </si>
  <si>
    <r>
      <t>CU  $ -</t>
    </r>
    <r>
      <rPr>
        <b/>
        <i/>
        <sz val="11"/>
        <color rgb="FFFF0000"/>
        <rFont val="Calibri"/>
        <family val="2"/>
        <scheme val="minor"/>
      </rPr>
      <t>1.711.437,2</t>
    </r>
  </si>
  <si>
    <t>Fondo $ 1.648.533,97</t>
  </si>
  <si>
    <t>Caja Dolares u$s 43000 ( Damian u$s 700 Milagros u$s 2.600 )</t>
  </si>
  <si>
    <t>u$s x 5.482.500</t>
  </si>
  <si>
    <t>Total $ 17.146.523,53</t>
  </si>
  <si>
    <t>Banco CU a CC</t>
  </si>
  <si>
    <t>Ignacio Herr</t>
  </si>
  <si>
    <t>Galicia N 8853 08/04 - N 8854 07/05 - N 8855 07/06 -N 8856 07/06 - N 88570 07/06</t>
  </si>
  <si>
    <t>Armando Vigatto</t>
  </si>
  <si>
    <t>Patente JMM</t>
  </si>
  <si>
    <t>Ruben Kurtz</t>
  </si>
  <si>
    <t>Bomba Rowa 7/1</t>
  </si>
  <si>
    <t>Electromecaica Atlas</t>
  </si>
  <si>
    <t>Marcel Schawb</t>
  </si>
  <si>
    <t>Biagioli Cachilo</t>
  </si>
  <si>
    <t>Pelonara - San carlos SA</t>
  </si>
  <si>
    <t>Olga Otero de Favre</t>
  </si>
  <si>
    <t>Motor Davica</t>
  </si>
  <si>
    <t>Placa Caldera Main</t>
  </si>
  <si>
    <t>Maria Rosa Neme</t>
  </si>
  <si>
    <t>Creecer Fotocopia</t>
  </si>
  <si>
    <t>JMM - Dr</t>
  </si>
  <si>
    <t>El soldador - Manometros</t>
  </si>
  <si>
    <t>Car</t>
  </si>
  <si>
    <t xml:space="preserve">Comisionista </t>
  </si>
  <si>
    <t>Placa Maria Rosa Neme</t>
  </si>
  <si>
    <t>Caldera Ruben Kurtz</t>
  </si>
  <si>
    <t>Maria Eiland</t>
  </si>
  <si>
    <t>Suedos Damian Centonze</t>
  </si>
  <si>
    <t>Jore Rios</t>
  </si>
  <si>
    <t>Mr Cavallieri</t>
  </si>
  <si>
    <t>Polifam</t>
  </si>
  <si>
    <t>Lucia V</t>
  </si>
  <si>
    <t>Caja $ 11.000.000.-</t>
  </si>
  <si>
    <t>SURSUM SA</t>
  </si>
  <si>
    <t xml:space="preserve">JMM </t>
  </si>
  <si>
    <t>Cristian Neubauer</t>
  </si>
  <si>
    <t>Coronel P.</t>
  </si>
  <si>
    <t>Ana Saunier  Diseño</t>
  </si>
  <si>
    <t>Daniela S. - Valvula</t>
  </si>
  <si>
    <t>Ornella Bachiera</t>
  </si>
  <si>
    <t>Diego Sc</t>
  </si>
  <si>
    <t xml:space="preserve">Ivan </t>
  </si>
  <si>
    <t>Bomba Rowa 7/1 - Plan Canje</t>
  </si>
  <si>
    <t>Graciela Gorbea</t>
  </si>
  <si>
    <t>Oscar Azer - Ropa</t>
  </si>
  <si>
    <t>Santander N 2527 $ 100.000 08-05 N 2558 $ 100.000 23-05</t>
  </si>
  <si>
    <t>Ledesma Arocena</t>
  </si>
  <si>
    <t>Rejas</t>
  </si>
  <si>
    <t>Marcos</t>
  </si>
  <si>
    <t>Neubauer</t>
  </si>
  <si>
    <t>Roth Javier Emilio</t>
  </si>
  <si>
    <t>Oscar Arzer</t>
  </si>
  <si>
    <t>Caja Chica $ 137.000</t>
  </si>
  <si>
    <t>Caja Grande $ 10.000.000</t>
  </si>
  <si>
    <t>Acebal M.</t>
  </si>
  <si>
    <t>Marcelo Padro</t>
  </si>
  <si>
    <t>Nacion N 4082 $ 523250 29-04 N 4083 28-05 N 4084 28-06 N 4085 28-07</t>
  </si>
  <si>
    <t>Daniel Cozzi</t>
  </si>
  <si>
    <t>Maria F.</t>
  </si>
  <si>
    <t>Alra - Compra Saveiro</t>
  </si>
  <si>
    <t>Combustibel Fiorino</t>
  </si>
  <si>
    <t>C.Pringles</t>
  </si>
  <si>
    <t>Arcuchi Saul</t>
  </si>
  <si>
    <t>Diego schmith</t>
  </si>
  <si>
    <t>Corralon Denk</t>
  </si>
  <si>
    <t>Saldo a Favor $ 4356,37</t>
  </si>
  <si>
    <t>Dario B</t>
  </si>
  <si>
    <t>LNR - Publicidad Marzo</t>
  </si>
  <si>
    <t>Arla - Saveiro</t>
  </si>
  <si>
    <t>Caja Grande $ 6.900.000</t>
  </si>
  <si>
    <t>CC $ 724.451,82</t>
  </si>
  <si>
    <t>Ecq $ 4.716.000</t>
  </si>
  <si>
    <t>Fondo $ 1.681.206,70</t>
  </si>
  <si>
    <t>Cheque Fisicos $ 2.621.000</t>
  </si>
  <si>
    <t>Caja Chica $ 18.000</t>
  </si>
  <si>
    <t>Marcos Rebolini</t>
  </si>
  <si>
    <t xml:space="preserve"> Aberastury Gregorio </t>
  </si>
  <si>
    <t>Ana Saunier</t>
  </si>
  <si>
    <t>Digital</t>
  </si>
  <si>
    <t>Schmith Diego</t>
  </si>
  <si>
    <t>Saldo $ 10502,08</t>
  </si>
  <si>
    <t>Victoria Giorgi</t>
  </si>
  <si>
    <t>Bco Nacion N 654082 29/04</t>
  </si>
  <si>
    <t>Miguel Bonaterre</t>
  </si>
  <si>
    <t>Miguel Bonaterre x u$s 10.000 x 1.150</t>
  </si>
  <si>
    <t>Mecanico Strada</t>
  </si>
  <si>
    <t>Turco Lopez</t>
  </si>
  <si>
    <t>Masionnae y Cia</t>
  </si>
  <si>
    <t>Telefonica Abril - Mayo</t>
  </si>
  <si>
    <t>Mendoza</t>
  </si>
  <si>
    <t>ANSAL</t>
  </si>
  <si>
    <t>R1</t>
  </si>
  <si>
    <t>Kurtuz Ruben</t>
  </si>
  <si>
    <t>Emanuel Garcia</t>
  </si>
  <si>
    <t>CC $ 1.058.577,94</t>
  </si>
  <si>
    <t>Caja Grande $ 5.100.000 + Bonaterre</t>
  </si>
  <si>
    <t xml:space="preserve">Obra </t>
  </si>
  <si>
    <t>Obra Cristian Neubauer</t>
  </si>
  <si>
    <t>Bonaterre u$s 2000 x 1135 = 2.270.000</t>
  </si>
  <si>
    <t>Pardo Marcelo  083 $ 523250 28-05 28-06-28-07 Herr 07/08 528000</t>
  </si>
  <si>
    <t>Comisiones Mila</t>
  </si>
  <si>
    <t>Carpinteria</t>
  </si>
  <si>
    <t>Obra Neubauer</t>
  </si>
  <si>
    <t>LNR - Abril</t>
  </si>
  <si>
    <t>Juliana Wagner</t>
  </si>
  <si>
    <t>Caja Chica $  37.000</t>
  </si>
  <si>
    <t>Caja Grande $  8.200.000</t>
  </si>
  <si>
    <t>Caja Dolares u$s 9.300 ( Damian u$s 700 Milagros u$s 2.600 )</t>
  </si>
  <si>
    <t>Fondo $ 1.698.474,35</t>
  </si>
  <si>
    <t>u$s x 10.462.500</t>
  </si>
  <si>
    <t>CC $  465.884,74</t>
  </si>
  <si>
    <t>CU  $  - 1.382.743,28</t>
  </si>
  <si>
    <t>Total $  24.746.531,07</t>
  </si>
  <si>
    <t>Intercambiador</t>
  </si>
  <si>
    <t>ARBA 1 - 06</t>
  </si>
  <si>
    <t>Mauricio Udi</t>
  </si>
  <si>
    <t>1 - Radiado de 7 elementos</t>
  </si>
  <si>
    <t>Nestor Ermandraut</t>
  </si>
  <si>
    <t>Litera - Placa</t>
  </si>
  <si>
    <t>Flete Motor Strada</t>
  </si>
  <si>
    <t>Caja  Efectivo</t>
  </si>
  <si>
    <t>Devolucion Saul</t>
  </si>
  <si>
    <t>Combustible Saveiro</t>
  </si>
  <si>
    <t xml:space="preserve">Viaticos x 2 </t>
  </si>
  <si>
    <t>Campo Nuevo Saldo $ 5.920.-</t>
  </si>
  <si>
    <t xml:space="preserve">Seguro de Vida </t>
  </si>
  <si>
    <t>Caja Chica $  76.000</t>
  </si>
  <si>
    <t>Caja Grande $  7.500.000</t>
  </si>
  <si>
    <t>Ecq $ 1.333.000</t>
  </si>
  <si>
    <t>CU  $  -1.718.723,28</t>
  </si>
  <si>
    <t>CC $  180.760,75</t>
  </si>
  <si>
    <t>Fondo $  1.706.562,05</t>
  </si>
  <si>
    <t xml:space="preserve">Total $  </t>
  </si>
  <si>
    <t xml:space="preserve">Ecq $ </t>
  </si>
  <si>
    <t>SIAU</t>
  </si>
  <si>
    <t>Reparacion</t>
  </si>
  <si>
    <t xml:space="preserve">Pardo </t>
  </si>
  <si>
    <t>Banco Nacion N 4104 15/06 $ 390000 - 15/07 390000</t>
  </si>
  <si>
    <t>ARBA Captur</t>
  </si>
  <si>
    <t>Firma D.</t>
  </si>
  <si>
    <t>Prestamos 1/48</t>
  </si>
  <si>
    <t>Prestamos</t>
  </si>
  <si>
    <t>Monotributo Enero - Feb</t>
  </si>
  <si>
    <t>Seguro Nativa Saveiro</t>
  </si>
  <si>
    <t>AFIP 931 - MARZO</t>
  </si>
  <si>
    <t>Lucia Carricajo</t>
  </si>
  <si>
    <t>Librería Rocca</t>
  </si>
  <si>
    <t>Caja Grande $  10.300.000</t>
  </si>
  <si>
    <t>Cheque Fisicos $  390.000</t>
  </si>
  <si>
    <t>Fondo $  1.715.656,72</t>
  </si>
  <si>
    <t>Comision Mili Maneiro</t>
  </si>
  <si>
    <t>Caja Chica $  53.000</t>
  </si>
  <si>
    <t>Plaza de Ayala Pilar</t>
  </si>
  <si>
    <t>Gustavo Ponce - Lamdrid</t>
  </si>
  <si>
    <t>6 Elementos de Radiador + 500</t>
  </si>
  <si>
    <t>Elisa Contadora</t>
  </si>
  <si>
    <t>Seguro Natva Captur</t>
  </si>
  <si>
    <t>Seguro Natva Fiorino</t>
  </si>
  <si>
    <t>Seguro Natva Strada</t>
  </si>
  <si>
    <t>3 - lementos diamante</t>
  </si>
  <si>
    <t>Triangular - Plaqueta Ponce</t>
  </si>
  <si>
    <t xml:space="preserve">Cooperadora del Hospital </t>
  </si>
  <si>
    <t>Delia Weiss</t>
  </si>
  <si>
    <t>JMM - Captur</t>
  </si>
  <si>
    <t>Combustible El Mastil</t>
  </si>
  <si>
    <t>Caja Chica $  85.000</t>
  </si>
  <si>
    <t>Caja Grande $  7.000.000</t>
  </si>
  <si>
    <t>Fondo $  1.723.833,01</t>
  </si>
  <si>
    <t>CC $  218.850</t>
  </si>
  <si>
    <t>CU  $  -1.738.568,29</t>
  </si>
  <si>
    <t>Orlando Wet</t>
  </si>
  <si>
    <t>Consejo Escolar Escuela N 1 - 12</t>
  </si>
  <si>
    <t>Malena Segons</t>
  </si>
  <si>
    <t>Barbara Reguera - Carteles</t>
  </si>
  <si>
    <t>VISA B</t>
  </si>
  <si>
    <t>9/6/202</t>
  </si>
  <si>
    <t>Susana Predismonidi</t>
  </si>
  <si>
    <t>Abigail Sandoval</t>
  </si>
  <si>
    <t>Diego Braun</t>
  </si>
  <si>
    <t>Combbustible JMM</t>
  </si>
  <si>
    <t>Viatcios Carhue</t>
  </si>
  <si>
    <t>Saldo $ 640.500</t>
  </si>
  <si>
    <t>Mauro Laumann</t>
  </si>
  <si>
    <t>Resma de Papel</t>
  </si>
  <si>
    <t>Caja Grande $  4.800.000</t>
  </si>
  <si>
    <t>Caja Chica $  .000</t>
  </si>
  <si>
    <t>Ecq $ 1.921.500</t>
  </si>
  <si>
    <t>CC $  124.026,38</t>
  </si>
  <si>
    <t>Saldo $ 8.000</t>
  </si>
  <si>
    <t>Nicolas Sabo</t>
  </si>
  <si>
    <t>Campo</t>
  </si>
  <si>
    <t>Combustile</t>
  </si>
  <si>
    <t>Maria Jose Cordero</t>
  </si>
  <si>
    <t>1 - Termobaño 800/500</t>
  </si>
  <si>
    <t>Elsa Cuño</t>
  </si>
  <si>
    <t>Maria Heiland</t>
  </si>
  <si>
    <t>Cajas</t>
  </si>
  <si>
    <t>Deposito a CC</t>
  </si>
  <si>
    <t>JMM -Alquiler</t>
  </si>
  <si>
    <t>Diego Perez</t>
  </si>
  <si>
    <t xml:space="preserve">Cambio dolares </t>
  </si>
  <si>
    <t>Carrier Fuguina</t>
  </si>
  <si>
    <t>Victor Ayende</t>
  </si>
  <si>
    <t>JMM - Visa Black</t>
  </si>
  <si>
    <t>Consignataria Nieva</t>
  </si>
  <si>
    <t>Mito Goti</t>
  </si>
  <si>
    <t>30634.51</t>
  </si>
  <si>
    <t>Comustible Captur</t>
  </si>
  <si>
    <t>Flavio Diez</t>
  </si>
  <si>
    <t>Cambio de termostato - traer termostato Viejo</t>
  </si>
  <si>
    <t>Gutierrez Cesar</t>
  </si>
  <si>
    <t>Lilia a Chiodi</t>
  </si>
  <si>
    <t>Lauman Mauro</t>
  </si>
  <si>
    <t>Rodrigo Gasteneguy</t>
  </si>
  <si>
    <t>Caja Grande $  6.900.000</t>
  </si>
  <si>
    <t>Caja Dolares u$s ( Damian u$s 700 Milagros u$s 2.600 )</t>
  </si>
  <si>
    <t>Ecq $ 1.897.280</t>
  </si>
  <si>
    <t>Cheque Fisicos $  444.300</t>
  </si>
  <si>
    <t xml:space="preserve">Fondo $  </t>
  </si>
  <si>
    <t>Francisca Gotti</t>
  </si>
  <si>
    <t>Serranias de Lolem</t>
  </si>
  <si>
    <t>Caldaia Caldera SL</t>
  </si>
  <si>
    <t>Remtios Bustamante</t>
  </si>
  <si>
    <t xml:space="preserve">Caja Chica $  </t>
  </si>
  <si>
    <t>Prestamo 2/48</t>
  </si>
  <si>
    <t>Formulario 931 - Abril</t>
  </si>
  <si>
    <t>Ferreteria Furlan</t>
  </si>
  <si>
    <t>Aporte</t>
  </si>
  <si>
    <t>LNR</t>
  </si>
  <si>
    <t>JMM Debitos</t>
  </si>
  <si>
    <t>Bancos Comision CC</t>
  </si>
  <si>
    <t>Aprox</t>
  </si>
  <si>
    <t>Seguro Nativa - Fiorino</t>
  </si>
  <si>
    <t>Seguro Nativa - Strada</t>
  </si>
  <si>
    <t>Seguro Nativa - Captur</t>
  </si>
  <si>
    <t>Comustile Fiorino</t>
  </si>
  <si>
    <t>Cambio dolares 1000x1200</t>
  </si>
  <si>
    <t xml:space="preserve">  </t>
  </si>
  <si>
    <t>Claduia Dietz</t>
  </si>
  <si>
    <t>Consejo Escolar Factura N 529 - 528</t>
  </si>
  <si>
    <t>Consejo Escolar Factura N 529 - 529</t>
  </si>
  <si>
    <t>Rios Jorge</t>
  </si>
  <si>
    <t>Camuzzi -Mayo</t>
  </si>
  <si>
    <t>Edes - Junio</t>
  </si>
  <si>
    <t>19660.64</t>
  </si>
  <si>
    <t>Movistar Fijo</t>
  </si>
  <si>
    <t>Gladys Iglesias</t>
  </si>
  <si>
    <t>Caja Grande $  4.700.000</t>
  </si>
  <si>
    <t>Caja Dolares u$s 4.250 ( Damian u$s 700 Milagros u$s 2.600 )</t>
  </si>
  <si>
    <t>Cheque Fisicos $  1.396.810</t>
  </si>
  <si>
    <t>CC $  2.164.789,66</t>
  </si>
  <si>
    <t>Fondo $  1.757.885,09</t>
  </si>
  <si>
    <t>u$s x 5.015.000</t>
  </si>
  <si>
    <t xml:space="preserve">CU  $  </t>
  </si>
  <si>
    <t xml:space="preserve">Garay </t>
  </si>
  <si>
    <t>Krieger</t>
  </si>
  <si>
    <t>Calmet Ana Maria</t>
  </si>
  <si>
    <t>Calefaccion</t>
  </si>
  <si>
    <t>SURREY 4500 FC</t>
  </si>
  <si>
    <t>Supermercado Monte Her</t>
  </si>
  <si>
    <t>MIDEA PT 18.000 FC</t>
  </si>
  <si>
    <t>LNR - Publicidad</t>
  </si>
  <si>
    <t>MASTER</t>
  </si>
  <si>
    <t>Impuesto Sello</t>
  </si>
  <si>
    <t>Termostato</t>
  </si>
  <si>
    <t>Ignitor Surrey</t>
  </si>
  <si>
    <t>Roberto Olmedo</t>
  </si>
  <si>
    <t>Kit de Instalacion - Pablo Biurrarena</t>
  </si>
  <si>
    <t>JMM - Mecanico</t>
  </si>
  <si>
    <t>Combbustibe</t>
  </si>
  <si>
    <t>Cheque Fisicos $  5.870.810</t>
  </si>
  <si>
    <t>u$s x 5.376.000</t>
  </si>
  <si>
    <t>CC $  2.021.742,05</t>
  </si>
  <si>
    <t>Teresa Videla</t>
  </si>
  <si>
    <t>Philipa SA</t>
  </si>
  <si>
    <t>Daniel Rondina</t>
  </si>
  <si>
    <t>ARBA IIBB 2/6</t>
  </si>
  <si>
    <t>Patente - Captur</t>
  </si>
  <si>
    <t>Soc Italiana</t>
  </si>
  <si>
    <t>ARBA - Patente Saveiro</t>
  </si>
  <si>
    <t>AFIP - Planes</t>
  </si>
  <si>
    <t>Belen Regiani</t>
  </si>
  <si>
    <t>Coop Escuela N 9</t>
  </si>
  <si>
    <t>Rudy Inyectores  - Strada</t>
  </si>
  <si>
    <t>Comustible Carhue</t>
  </si>
  <si>
    <t>AFIP -  931</t>
  </si>
  <si>
    <t>Angel Gallo</t>
  </si>
  <si>
    <t>Caja Grande $  6.000.000</t>
  </si>
  <si>
    <t>Cheque Fisicos $  2.000.000</t>
  </si>
  <si>
    <t>Fondo $  1.773.126,06</t>
  </si>
  <si>
    <t>Caja Chica $  68.500</t>
  </si>
  <si>
    <t>Caja Cheque $ 2.000.000</t>
  </si>
  <si>
    <t>Municipalidad CS - Delegacion</t>
  </si>
  <si>
    <t>Carrier</t>
  </si>
  <si>
    <t xml:space="preserve">Fondo de Inversion </t>
  </si>
  <si>
    <t xml:space="preserve">Gariglio </t>
  </si>
  <si>
    <t xml:space="preserve">Kees </t>
  </si>
  <si>
    <t>Angeles Roth - Caldera</t>
  </si>
  <si>
    <t xml:space="preserve">Angeles Roth - Instalacion </t>
  </si>
  <si>
    <t>Base D. Sta Trinidad</t>
  </si>
  <si>
    <t>Pablo - Carpintero</t>
  </si>
  <si>
    <t>Kees Contsrucciones</t>
  </si>
  <si>
    <t>Seguros Nativa - Saveiro</t>
  </si>
  <si>
    <t>Seguros de Accidentes Personales</t>
  </si>
  <si>
    <t>Total $ 825.000 ( 250.000 10/9 - 275.000 30/9 )</t>
  </si>
  <si>
    <t>Fondo $  3.792.327,74</t>
  </si>
  <si>
    <t xml:space="preserve">Cheque Fisicos $  </t>
  </si>
  <si>
    <t>Caja Chica $  75.000</t>
  </si>
  <si>
    <t>CC $  2.549.636,11</t>
  </si>
  <si>
    <t>Club Ferroviario Mitre</t>
  </si>
  <si>
    <t>Ana Saunier  - IG</t>
  </si>
  <si>
    <t>Carlos Marini</t>
  </si>
  <si>
    <t>s</t>
  </si>
  <si>
    <t xml:space="preserve">5 - Elementos de radiador + blister + niple/campana </t>
  </si>
  <si>
    <t>Juan Adolfo Fino</t>
  </si>
  <si>
    <t>Prestamo 3/48</t>
  </si>
  <si>
    <t>Prestamo 3/49</t>
  </si>
  <si>
    <t>Flete</t>
  </si>
  <si>
    <t>Lazaro</t>
  </si>
  <si>
    <t>DS Hnos</t>
  </si>
  <si>
    <t>Capacitor Bomba - Motores Junin</t>
  </si>
  <si>
    <t>2 - Termostatos</t>
  </si>
  <si>
    <t xml:space="preserve">Salotti </t>
  </si>
  <si>
    <t>Sastre Santiago</t>
  </si>
  <si>
    <t>Seguro Nativa Firoino</t>
  </si>
  <si>
    <t>Saveiro</t>
  </si>
  <si>
    <t>Caja Grande $  7.700.000</t>
  </si>
  <si>
    <t>Fondo $  3.813.710,14</t>
  </si>
  <si>
    <t>u$s x 5.503.750</t>
  </si>
  <si>
    <t>CC $  611.691,29</t>
  </si>
  <si>
    <t>Caja Chica $  90.000</t>
  </si>
  <si>
    <t>Repuesto - Strada</t>
  </si>
  <si>
    <t>Pablo Fidelli</t>
  </si>
  <si>
    <t>Pablo Fidelle</t>
  </si>
  <si>
    <t>$ 465800 08/09 - 8/10 - 5/11</t>
  </si>
  <si>
    <t>Styrocom SRL - Porpol</t>
  </si>
  <si>
    <t>Interes por Descubierto CU</t>
  </si>
  <si>
    <t>Comustible Saveiro</t>
  </si>
  <si>
    <t>Julio Kraff - Fidelle</t>
  </si>
  <si>
    <t>Bonaterre Miguel</t>
  </si>
  <si>
    <t>Caja Grande $  6.400.000</t>
  </si>
  <si>
    <t>Caja Dolares u$s 4.150 ( Damian u$s 700 Milagros u$s 2.600 )</t>
  </si>
  <si>
    <t>Fondo $  3.834.331,88</t>
  </si>
  <si>
    <t>CC $  799.314,42</t>
  </si>
  <si>
    <t>Caja Chica $  48.000</t>
  </si>
  <si>
    <t>u$s x 5.353.500</t>
  </si>
  <si>
    <t>Diego Tarayre</t>
  </si>
  <si>
    <t>Pedro Charbonier</t>
  </si>
  <si>
    <t>EDES - Julio</t>
  </si>
  <si>
    <t>Master</t>
  </si>
  <si>
    <t>Jmm</t>
  </si>
  <si>
    <t>Graciela Fackerley</t>
  </si>
  <si>
    <t>Vinos del Coronel</t>
  </si>
  <si>
    <t>Saul Arruchi - Sarro Cero</t>
  </si>
  <si>
    <t>Monte</t>
  </si>
  <si>
    <t>Camuzzi - Junio</t>
  </si>
  <si>
    <t>Chiapparra Liliana</t>
  </si>
  <si>
    <t>Carrier F - Bonaterre</t>
  </si>
  <si>
    <t>Ortamann Cristian</t>
  </si>
  <si>
    <t>Fondo $  3.858.441,70</t>
  </si>
  <si>
    <t>CC $ 2.957.788,35</t>
  </si>
  <si>
    <t>Caja Grande $  5.250.000</t>
  </si>
  <si>
    <t>Ecq $ 4.800.000</t>
  </si>
  <si>
    <t>Caja Chica $  34.000</t>
  </si>
  <si>
    <t>u$s x 5.395.000</t>
  </si>
  <si>
    <t>CU  $  -2.897.473,88</t>
  </si>
  <si>
    <t xml:space="preserve">Francisca </t>
  </si>
  <si>
    <t>AIFP</t>
  </si>
  <si>
    <t>Lavado Camionestas</t>
  </si>
  <si>
    <t xml:space="preserve">Caja Efectivo </t>
  </si>
  <si>
    <t>Carlos Juan de Lusarrtea</t>
  </si>
  <si>
    <t>65276.92</t>
  </si>
  <si>
    <t>Manuela Carmona</t>
  </si>
  <si>
    <t xml:space="preserve">Diego Tarayre Echeq 11-09  / 10 - 10 / 11 - 11 </t>
  </si>
  <si>
    <t>Nativa S. - Saveiro</t>
  </si>
  <si>
    <t>Arroquy Jose I</t>
  </si>
  <si>
    <t>2 - Llaves Rowa</t>
  </si>
  <si>
    <t>Adrian Gallegos u$s 5.630 x 1325</t>
  </si>
  <si>
    <t>Creus</t>
  </si>
  <si>
    <t>Coop Obrera - Café</t>
  </si>
  <si>
    <t>Combustble Captur</t>
  </si>
  <si>
    <t>Carmona Ricardo  - Manuela</t>
  </si>
  <si>
    <t>Macro N 7112 25/08</t>
  </si>
  <si>
    <t>Carrier SRL - u$s 2115 x 1335</t>
  </si>
  <si>
    <t>Alzogaray Jorge</t>
  </si>
  <si>
    <t>Schwab Angel</t>
  </si>
  <si>
    <t>Termostato Fantini</t>
  </si>
  <si>
    <t>Visa Blackk JMM</t>
  </si>
  <si>
    <t>Nacion N 1954452 Schawb A.</t>
  </si>
  <si>
    <t>Visa - Medife</t>
  </si>
  <si>
    <t>Combustible - Captur</t>
  </si>
  <si>
    <t>Anticipo Ganancias</t>
  </si>
  <si>
    <t>Maria Molinari</t>
  </si>
  <si>
    <t>Comision Mila</t>
  </si>
  <si>
    <t>Agua Destilada 240 x 350</t>
  </si>
  <si>
    <t>Angel Schawb</t>
  </si>
  <si>
    <t>Caja Grande $  3.670.000</t>
  </si>
  <si>
    <t>Caja Chica $  80.000</t>
  </si>
  <si>
    <t>Cheque Fisicos $  1.550.000</t>
  </si>
  <si>
    <t>CU U$S 3.515</t>
  </si>
  <si>
    <t>Prestamo Saveiro 04 -48</t>
  </si>
  <si>
    <t xml:space="preserve">Cargil </t>
  </si>
  <si>
    <t>Coopertaiva</t>
  </si>
  <si>
    <t>91970.24</t>
  </si>
  <si>
    <t>Bustamante Talonarios</t>
  </si>
  <si>
    <t>43690.53</t>
  </si>
  <si>
    <t>VISA PYMES</t>
  </si>
  <si>
    <t>Surrey</t>
  </si>
  <si>
    <t>Bras</t>
  </si>
  <si>
    <t>Tarayre D</t>
  </si>
  <si>
    <t>Vta 21.979.950</t>
  </si>
  <si>
    <t>Vta. 36.010.060</t>
  </si>
  <si>
    <t>Silva Juan</t>
  </si>
  <si>
    <t>Saldo $ 85.000</t>
  </si>
  <si>
    <t>99894.21</t>
  </si>
  <si>
    <t>Fondo de Inversion a CC</t>
  </si>
  <si>
    <t>Carrier SRL - NP 1945260</t>
  </si>
  <si>
    <t>Inverisones</t>
  </si>
  <si>
    <t>Caja Grande $  2.870.000</t>
  </si>
  <si>
    <t>Caja Dolares u$s 4.550 ( Damian u$s 700 Milagros u$s 2.600 )</t>
  </si>
  <si>
    <t>Ferretreria Furland</t>
  </si>
  <si>
    <t>Cheque Fisicos $  1.651.444,21</t>
  </si>
  <si>
    <t>Ecq $ 1.190.430,41</t>
  </si>
  <si>
    <t>Fondo $  2.166.849,72</t>
  </si>
  <si>
    <t xml:space="preserve">CU U$S 2.405,95 </t>
  </si>
  <si>
    <t>CC $ 556.928,3</t>
  </si>
  <si>
    <t>u$s x 6.097.000 + 600</t>
  </si>
  <si>
    <t>Roberto Piazza</t>
  </si>
  <si>
    <t>AMEX - JMM</t>
  </si>
  <si>
    <t>VISA Pyme</t>
  </si>
  <si>
    <t>VISA Black - JMM</t>
  </si>
  <si>
    <t>MASTER - JMM</t>
  </si>
  <si>
    <t>10/09 - 10/10 - 10/11 - 10/12  $ 719.225</t>
  </si>
  <si>
    <t>Formulario 931 - JUNIO</t>
  </si>
  <si>
    <t>AFIP - Personal</t>
  </si>
  <si>
    <t>Interes por Descubierto CU IVA</t>
  </si>
  <si>
    <t>Sellos</t>
  </si>
  <si>
    <t>Intereses por Excesos</t>
  </si>
  <si>
    <t>Intercambiador Patricia</t>
  </si>
  <si>
    <t>Error</t>
  </si>
  <si>
    <t>Julio Kraff - Tarayre</t>
  </si>
  <si>
    <t>CC a CU</t>
  </si>
  <si>
    <t>Reparacion Puerta Baño</t>
  </si>
  <si>
    <t>Tiro patricotico</t>
  </si>
  <si>
    <t>CU Dolares</t>
  </si>
  <si>
    <t>Vta Dolareas CU a CC</t>
  </si>
  <si>
    <t>Dewald Ana</t>
  </si>
  <si>
    <t>Colaboracion Biblioteca Sarmiento</t>
  </si>
  <si>
    <t>Colaboracion</t>
  </si>
  <si>
    <t>CC $ 5.292.971,25</t>
  </si>
  <si>
    <t xml:space="preserve">CU U$S 1.305,95 </t>
  </si>
  <si>
    <t>CU  $  -2.989.798,21</t>
  </si>
  <si>
    <t>Ecq $ 4.067.330,41</t>
  </si>
  <si>
    <t>Fondo $  2.183.506,51</t>
  </si>
  <si>
    <t>Caja Grande $  1.900.000</t>
  </si>
  <si>
    <t>Caja Dolares u$s 4.650 ( Damian u$s 700 Milagros u$s 2.600 )</t>
  </si>
  <si>
    <t>Cumpleaños Manuel</t>
  </si>
  <si>
    <t>Contadora Elisa Julio - Agosto</t>
  </si>
  <si>
    <t>Municipalidad C.S. - Vialidad 2250 FC</t>
  </si>
  <si>
    <t>Monotibuto Milagros Maneiro 05 -06</t>
  </si>
  <si>
    <t xml:space="preserve">Eduardo Bras </t>
  </si>
  <si>
    <t>Tarayre</t>
  </si>
  <si>
    <t>Caja Efectivvo</t>
  </si>
  <si>
    <t>Fiorino - Tapa de Cilindro</t>
  </si>
  <si>
    <t xml:space="preserve">Pampa N 6963 10-10 $ 198000 Prov N 1594 </t>
  </si>
  <si>
    <t>Mecanico Fiorino</t>
  </si>
  <si>
    <t>Caja Grande $  1.200.000</t>
  </si>
  <si>
    <t>CC $ 2.094.625,31</t>
  </si>
  <si>
    <t>Fondo $  2.199.121,50</t>
  </si>
  <si>
    <t>Mecnico</t>
  </si>
  <si>
    <t>Bomberos Voluntaros</t>
  </si>
  <si>
    <t>Andres Orliaq</t>
  </si>
  <si>
    <t>Bco. Prov 5077 187.000 23-09 Santander N 540 439762,40 - Bco Prov 0751 871430 30-10</t>
  </si>
  <si>
    <t>Serive</t>
  </si>
  <si>
    <t>Neubauer Cristian</t>
  </si>
  <si>
    <t>Zinueria Varela</t>
  </si>
  <si>
    <t>Mano de Obbra</t>
  </si>
  <si>
    <t>Amurrio - Casa Moda</t>
  </si>
  <si>
    <t>Eduardo Gahaman</t>
  </si>
  <si>
    <t>Provveedores</t>
  </si>
  <si>
    <t>Caja Grande $  2.900.000</t>
  </si>
  <si>
    <t>Cheque Fisicos $  862.262,4</t>
  </si>
  <si>
    <t>Vivero Deco Parque</t>
  </si>
  <si>
    <t>26/9/20250</t>
  </si>
  <si>
    <t>CC $ 1.392.165,69</t>
  </si>
  <si>
    <t>CU U$S 1.805,96</t>
  </si>
  <si>
    <t>CU  $  2.991.153,34</t>
  </si>
  <si>
    <t>Fondo $  2.214.289,23</t>
  </si>
  <si>
    <t>Deco Parque</t>
  </si>
  <si>
    <t>Mecanico</t>
  </si>
  <si>
    <t>Prestamo Saveiro 05 -48</t>
  </si>
  <si>
    <t>Super</t>
  </si>
  <si>
    <t>Pasajes Damian Centonze</t>
  </si>
  <si>
    <t>Capacitacion</t>
  </si>
  <si>
    <t>43888.49</t>
  </si>
  <si>
    <t>3055.73</t>
  </si>
  <si>
    <t xml:space="preserve">Cuatro </t>
  </si>
  <si>
    <t>439762.40</t>
  </si>
  <si>
    <t>Fondo $  2.227.118,34</t>
  </si>
  <si>
    <t>CC $ 239.509,3</t>
  </si>
  <si>
    <t>Caja Grande $  1.180.000</t>
  </si>
  <si>
    <t>Caja Chica $  17.000</t>
  </si>
  <si>
    <t>Impuetesto al Sello</t>
  </si>
  <si>
    <t>Juan Carlos De Victoria</t>
  </si>
  <si>
    <t>Eduardo Quiess</t>
  </si>
  <si>
    <t>Municipalidad Vialidad</t>
  </si>
  <si>
    <t xml:space="preserve">Consejo Escolar </t>
  </si>
  <si>
    <t>Adrian Gallegos</t>
  </si>
  <si>
    <t xml:space="preserve">Bco Nacion N 7639  </t>
  </si>
  <si>
    <t>Fiat Card</t>
  </si>
  <si>
    <t>Capacitacion Damian Centoze - Viaticos</t>
  </si>
  <si>
    <t>Capacitacion Damian Centoze - Cocina</t>
  </si>
  <si>
    <t>Caja Efetivo</t>
  </si>
  <si>
    <t>Caja Chica $  145.000</t>
  </si>
  <si>
    <t>CU  $  3.457.176,09</t>
  </si>
  <si>
    <t>Fondo $ 2.239.144,77</t>
  </si>
  <si>
    <t>CC $ 818.171,09</t>
  </si>
  <si>
    <t>Cheque Fisicos $  132.500</t>
  </si>
  <si>
    <t>Barone</t>
  </si>
  <si>
    <t>Caja Efec</t>
  </si>
  <si>
    <t>Caja Grande $  2.400.000</t>
  </si>
  <si>
    <t>Publicidad LNR 08</t>
  </si>
  <si>
    <t>JMM - Edes</t>
  </si>
  <si>
    <t>Agustin Justo</t>
  </si>
  <si>
    <t>Carlos Sarchi</t>
  </si>
  <si>
    <t>Ferreteria Diae</t>
  </si>
  <si>
    <t>Fonde Inversiona a CU</t>
  </si>
  <si>
    <t>Master JMM</t>
  </si>
  <si>
    <t>Planes Mis Facilidades</t>
  </si>
  <si>
    <t>Tas - Titi</t>
  </si>
  <si>
    <t>German Elsegood</t>
  </si>
  <si>
    <t>Caja Dolares u$s 6.650 ( Damian u$s 700 Milagros u$s 2.600 )</t>
  </si>
  <si>
    <t>Caldera Riello + Kit Coaxial</t>
  </si>
  <si>
    <t>CU  $  -$2.857.176,1</t>
  </si>
  <si>
    <t>CC $ 240.813,08</t>
  </si>
  <si>
    <t>CU U$S 319,99</t>
  </si>
  <si>
    <t>Caja Grande $  1.100.000</t>
  </si>
  <si>
    <t>Fondo $ 1.662.954,06</t>
  </si>
  <si>
    <t>Comustible Fiorino</t>
  </si>
  <si>
    <t>LNR - Septiembre</t>
  </si>
  <si>
    <t>Flow JMM</t>
  </si>
  <si>
    <t>Sebastian Grunewald</t>
  </si>
  <si>
    <t>Items</t>
  </si>
  <si>
    <t>Seguro Nativa -  Saveiro</t>
  </si>
  <si>
    <t>Municipalidad CS - Vialidad</t>
  </si>
  <si>
    <t>Llamar al 112</t>
  </si>
  <si>
    <t>Maisonnave y Cia</t>
  </si>
  <si>
    <t>Comision Milagros Maneiro x $ 1500</t>
  </si>
  <si>
    <t>Viaje</t>
  </si>
  <si>
    <t>Devolucion Dolares Tarjeta Milagros</t>
  </si>
  <si>
    <t>Consumas SA</t>
  </si>
  <si>
    <t>Consumas SA x u$s 1440 =</t>
  </si>
  <si>
    <t>Mariana Ledesma</t>
  </si>
  <si>
    <t xml:space="preserve">Carpinteria </t>
  </si>
  <si>
    <t>Veronica Ducos</t>
  </si>
  <si>
    <t>Don Pablo</t>
  </si>
  <si>
    <t>Seguro de Caucion</t>
  </si>
  <si>
    <t xml:space="preserve">Vta. u$s 319,99 </t>
  </si>
  <si>
    <t>Vta u$s 1150</t>
  </si>
  <si>
    <t xml:space="preserve">Master </t>
  </si>
  <si>
    <t>JMM - Cena Strada</t>
  </si>
  <si>
    <t>Flete B.Blanca</t>
  </si>
  <si>
    <t>Trevor SA</t>
  </si>
  <si>
    <t>Mauro Moccero</t>
  </si>
  <si>
    <t>Reparacion Hidrolavadora</t>
  </si>
  <si>
    <t>Alberdi Carlos</t>
  </si>
  <si>
    <t>Ignacio Azumendi</t>
  </si>
  <si>
    <t>Cooperadora Escuela N 2</t>
  </si>
  <si>
    <t xml:space="preserve">Cardys </t>
  </si>
  <si>
    <t>Publicidad LNR - Setiembre</t>
  </si>
  <si>
    <t xml:space="preserve">Radiador </t>
  </si>
  <si>
    <t>Sotrima SA</t>
  </si>
  <si>
    <t>Fabiana Ottino</t>
  </si>
  <si>
    <t>CC $ 2.824.758,28</t>
  </si>
  <si>
    <t>Caja Grande $  400.000</t>
  </si>
  <si>
    <t>Caja Dolares u$s  ( Damian u$s 700 Milagros u$s 2.600 )</t>
  </si>
  <si>
    <t>Ecq $ 8.622.382,40</t>
  </si>
  <si>
    <t xml:space="preserve">Fondo $ </t>
  </si>
  <si>
    <t>CU  $ 3.377.655,93</t>
  </si>
  <si>
    <t>Alaracia &amp; Asociados SA</t>
  </si>
  <si>
    <t xml:space="preserve">CU U$S </t>
  </si>
  <si>
    <t xml:space="preserve">Zingueria Varela </t>
  </si>
  <si>
    <t>M. Terra SRL 11/11 - Alaracia</t>
  </si>
  <si>
    <t>Alarcia &amp; Asociados SA</t>
  </si>
  <si>
    <t>Caja Efectio</t>
  </si>
  <si>
    <t xml:space="preserve">Bco Nacion </t>
  </si>
  <si>
    <t>Mastercar</t>
  </si>
  <si>
    <t>Centro de Empleados de Comercio - Olavarria</t>
  </si>
  <si>
    <t>Servicio y Reparacion de Herramientas</t>
  </si>
  <si>
    <t>Diego Stretemberger</t>
  </si>
  <si>
    <t>Jorge Pardo</t>
  </si>
  <si>
    <t xml:space="preserve">VJMM </t>
  </si>
  <si>
    <t>Devolucion Milagros Maneiro</t>
  </si>
  <si>
    <t>Tito Pintureria</t>
  </si>
  <si>
    <t>Caja Chica $ 65.000</t>
  </si>
  <si>
    <t>Caja Grande $  3.400.000</t>
  </si>
  <si>
    <t>CU U$S 1.364.135,47</t>
  </si>
  <si>
    <t>Cheque Fisicos $  7.995.340</t>
  </si>
  <si>
    <t>Ecq $  7.142.569,69</t>
  </si>
  <si>
    <t>Carlos Paciaroti</t>
  </si>
  <si>
    <t>Prestamos 7/48</t>
  </si>
  <si>
    <t xml:space="preserve">Vta. De Dolares u$s 1800 </t>
  </si>
  <si>
    <t>Tarjetas - Cavallieri</t>
  </si>
  <si>
    <t>931 - Julio</t>
  </si>
  <si>
    <t>931 - Agosto</t>
  </si>
  <si>
    <t>Agua Destilada 350x1lts</t>
  </si>
  <si>
    <t>Edes Noviembre</t>
  </si>
  <si>
    <t>Librería La Rocca</t>
  </si>
  <si>
    <t xml:space="preserve">Omar Piccolini </t>
  </si>
  <si>
    <t>Vta Dolares</t>
  </si>
  <si>
    <t>Vta Dolares x u$s 1455 = 1181100</t>
  </si>
  <si>
    <t>Caldera Luna + Alargue</t>
  </si>
  <si>
    <t>Formulario 931</t>
  </si>
  <si>
    <t>Caja Dolares u$s 8.030  ( Damian u$s 700 Milagros u$s 2.600 )</t>
  </si>
  <si>
    <t>Caja Grande $  2.600.000</t>
  </si>
  <si>
    <t>Cheque Fisicos $  186.340,06</t>
  </si>
  <si>
    <t>CU  $ -2.888.689,33</t>
  </si>
  <si>
    <t>CC $ 1.574.822,94</t>
  </si>
  <si>
    <t>Ecq $  334.722,17</t>
  </si>
  <si>
    <t>JMM - La Duquesita</t>
  </si>
  <si>
    <t>Huang Qinghong  4500 Split</t>
  </si>
  <si>
    <t>Juan Cardoso</t>
  </si>
  <si>
    <t>Matsercard</t>
  </si>
  <si>
    <t>Siacca Restaurant x 1</t>
  </si>
  <si>
    <t>Huang Qinghong   Split - Instlacion</t>
  </si>
  <si>
    <t>Huang Qinghong   Split 3000 FC Midea</t>
  </si>
  <si>
    <t>Siacca Restaurant x 2</t>
  </si>
  <si>
    <t>Interes por Exceso Descubierto CU</t>
  </si>
  <si>
    <t>Perla Soler Cameroni</t>
  </si>
  <si>
    <t>Movistar - Dic</t>
  </si>
  <si>
    <t xml:space="preserve">Cesar </t>
  </si>
  <si>
    <t>Caja Grande $  5.740.000</t>
  </si>
  <si>
    <t>Caja Dolares u$s 6.500.000 ( Damian u$s 700 Milagros u$s 2.600 )</t>
  </si>
  <si>
    <t>Cheque Fisicos $  2040000</t>
  </si>
  <si>
    <t>CU U$S 1.162.581,51</t>
  </si>
  <si>
    <t>AFIP 8/8</t>
  </si>
  <si>
    <t>AFIP 45/60</t>
  </si>
  <si>
    <t>Pubblicidad</t>
  </si>
  <si>
    <t>Caja Navideñas</t>
  </si>
  <si>
    <t>Lili Lupias</t>
  </si>
  <si>
    <t xml:space="preserve">Gayoso Hnos. Guillermo </t>
  </si>
  <si>
    <t>Victoria Giorino</t>
  </si>
  <si>
    <t>Alquier JMM</t>
  </si>
  <si>
    <t xml:space="preserve">Gallego </t>
  </si>
  <si>
    <t xml:space="preserve">Huang Qinghong  </t>
  </si>
  <si>
    <t>Caja Chica $ 92.000</t>
  </si>
  <si>
    <t>Caja Grande $  4.000.000</t>
  </si>
  <si>
    <t>JMM - Debito</t>
  </si>
  <si>
    <t>Seguro Nativs - Saveiro</t>
  </si>
  <si>
    <t>Martin Bonaterre</t>
  </si>
  <si>
    <t>Elisa Guede SEP - OCT</t>
  </si>
  <si>
    <t>Gusavo Moccero</t>
  </si>
  <si>
    <t>CC $ 3.918.732,26</t>
  </si>
  <si>
    <t xml:space="preserve">Caja Grande $  </t>
  </si>
  <si>
    <t>Tomas Hnos</t>
  </si>
  <si>
    <t>Tomas Hnos - Retenciones</t>
  </si>
  <si>
    <t>Seguro Zurich</t>
  </si>
  <si>
    <t xml:space="preserve">Cooperativa San Martin Café </t>
  </si>
  <si>
    <t>Aberastury Gregorio</t>
  </si>
  <si>
    <t>12396,,69</t>
  </si>
  <si>
    <t>29/12/025</t>
  </si>
  <si>
    <t>Prestamos 8/48</t>
  </si>
  <si>
    <t xml:space="preserve">Juan Cardoso </t>
  </si>
  <si>
    <t>Reparacion de maquina</t>
  </si>
  <si>
    <t>CC $ 2.064.169,2</t>
  </si>
  <si>
    <t>AMMBA - Retenciones</t>
  </si>
  <si>
    <t>Cardoso Hector</t>
  </si>
  <si>
    <t>El Rosedal</t>
  </si>
  <si>
    <t>Miguel Mariotta</t>
  </si>
  <si>
    <t xml:space="preserve">Cambio </t>
  </si>
  <si>
    <t>Caja Pesos</t>
  </si>
  <si>
    <t>Desposito en CU</t>
  </si>
  <si>
    <t>Limpieza y Parquero Elena</t>
  </si>
  <si>
    <t>Rastrillo</t>
  </si>
  <si>
    <t>Corralon Don Jose</t>
  </si>
  <si>
    <t>Caja Dolares u$s 8.500 ( Damian u$s 700 Milagros u$s 2.600 )</t>
  </si>
  <si>
    <t>Cheque Fisicos $  1.632.000</t>
  </si>
  <si>
    <t>Caja Grande $  1.620.000</t>
  </si>
  <si>
    <t>Suledo Damian Centonze</t>
  </si>
  <si>
    <t>Caja Chica $ 42.000</t>
  </si>
  <si>
    <t>Ecq $  3.607.581,42</t>
  </si>
  <si>
    <t>Interes Descubierto CC</t>
  </si>
  <si>
    <t>Interes por Exceso de Descubierto</t>
  </si>
  <si>
    <t>Don Agro</t>
  </si>
  <si>
    <t>Impuesto</t>
  </si>
  <si>
    <t>Hector Palacio - Placa</t>
  </si>
  <si>
    <t>Pampa N° 7551/52/53 12/02 12/03 12/04 $ 200.000,-</t>
  </si>
  <si>
    <t>Galicia N° 8356 $ 471.912,72 9/01 -Prov N° 19902 $ 85.852,15 7/01</t>
  </si>
  <si>
    <t>Amurrio SA - Casa Moda</t>
  </si>
  <si>
    <t xml:space="preserve">Wipar Riego </t>
  </si>
  <si>
    <t>Plan IIBB</t>
  </si>
  <si>
    <t>V582447</t>
  </si>
  <si>
    <t>Sueldo Toloza</t>
  </si>
  <si>
    <t>CC $ 2.271.163,47</t>
  </si>
  <si>
    <t>Cheque Fisicos $  2.232.000</t>
  </si>
  <si>
    <t>Ecq $  6.393.881,42</t>
  </si>
  <si>
    <t>Caja Dolares u$s 8.500 ( Damian u$s 310 Milagros u$s 2.600 )</t>
  </si>
  <si>
    <t>Caja Grande $  1.000.000</t>
  </si>
  <si>
    <t>Oscar Azer</t>
  </si>
  <si>
    <t xml:space="preserve">Comustible </t>
  </si>
  <si>
    <t>Caja Efectvo</t>
  </si>
  <si>
    <t>Cambio dolares Consumas x u$s 2500</t>
  </si>
  <si>
    <t>CEF</t>
  </si>
  <si>
    <t>Pedro Arbe</t>
  </si>
  <si>
    <t>Diego Gebel - Reparacion Taladro</t>
  </si>
  <si>
    <t>Eduardo Segui</t>
  </si>
  <si>
    <t>Caja Dolares u$s 6.500 ( Damian u$s 310 Milagros u$s 2.600 )</t>
  </si>
  <si>
    <t xml:space="preserve">Ecq $  </t>
  </si>
  <si>
    <t xml:space="preserve">Dihel </t>
  </si>
  <si>
    <t>La Mestiza</t>
  </si>
  <si>
    <t>Propina</t>
  </si>
  <si>
    <t>Victoria Giorno</t>
  </si>
  <si>
    <t>Olasagastia Ignacio</t>
  </si>
  <si>
    <t>Transporte de TAS</t>
  </si>
  <si>
    <t>Reparacion Puerta</t>
  </si>
  <si>
    <t>Semantec SRL</t>
  </si>
  <si>
    <t>Cheque Fisicos $  3.948.000</t>
  </si>
  <si>
    <t>Ecq $  3.466.525</t>
  </si>
  <si>
    <t>Caja Dolares u$s 4.000 ( Damian u$s 310 Milagros u$s 2.600 )</t>
  </si>
  <si>
    <t>Caja Grande $  536.000 -30.000</t>
  </si>
  <si>
    <t>CC $ 2.756.890,12</t>
  </si>
  <si>
    <t>Camuzzi Dic</t>
  </si>
  <si>
    <t>Mili</t>
  </si>
  <si>
    <t>Milli</t>
  </si>
  <si>
    <t>4000 Mili</t>
  </si>
  <si>
    <t>Bonaterre Miguel - 3000 FC Surrey Inverter</t>
  </si>
  <si>
    <t>245254,00 </t>
  </si>
  <si>
    <t>Monin  Alberdi</t>
  </si>
  <si>
    <t>130000 Caja - 20000</t>
  </si>
  <si>
    <t>CC $ 2.179.770,03</t>
  </si>
  <si>
    <t>Caja Grande $  940.000</t>
  </si>
  <si>
    <t>Elisa Guede Nov - Dic</t>
  </si>
  <si>
    <t>Carlos Galano</t>
  </si>
  <si>
    <t>Filtro</t>
  </si>
  <si>
    <t>Municipalidad de CS - Neo</t>
  </si>
  <si>
    <t>IIBB - 01/9</t>
  </si>
  <si>
    <t>Diego Uran</t>
  </si>
  <si>
    <t xml:space="preserve">Alargue coaxial </t>
  </si>
  <si>
    <t>Vta Dolares 2500 x 1410</t>
  </si>
  <si>
    <t>Sueldo Manuel Toloaza</t>
  </si>
  <si>
    <t>Prestamos 9/48</t>
  </si>
  <si>
    <t>Caja Grande $  1.140.000</t>
  </si>
  <si>
    <t>Caja Dolares u$s 2.000 ( Damian u$s 310 Milagros u$s 2.600 )</t>
  </si>
  <si>
    <t>Cheque Fisicos $  2.809.000</t>
  </si>
  <si>
    <t>AFIP 1/9</t>
  </si>
  <si>
    <t>AFIP 47/60</t>
  </si>
  <si>
    <t>CC $ 1.233.308,69</t>
  </si>
  <si>
    <t>Serviicos</t>
  </si>
  <si>
    <t>Campo La Independencia</t>
  </si>
  <si>
    <t>Reparacion Taladro</t>
  </si>
  <si>
    <t>Mancinelli Sergio</t>
  </si>
  <si>
    <t>Calefactor Midea 100</t>
  </si>
  <si>
    <t>Regalo Damian</t>
  </si>
  <si>
    <t>Empleados</t>
  </si>
  <si>
    <t>CC $ 2.784.303,51</t>
  </si>
  <si>
    <t>Coop - JMM</t>
  </si>
  <si>
    <t>Anticipo ARBA - Saveiro</t>
  </si>
  <si>
    <t>Anticipo ARBA - Captur</t>
  </si>
  <si>
    <t>Bco Nacion 6204 25-03 6205 25-04 6206 6206 26-05</t>
  </si>
  <si>
    <t xml:space="preserve">Caldera Eco Nova </t>
  </si>
  <si>
    <t>Master Crad</t>
  </si>
  <si>
    <t>ARBA - Inmoiliario</t>
  </si>
  <si>
    <t>Cambio dolares 2000 x u$s 1400</t>
  </si>
  <si>
    <t xml:space="preserve">Limpieza - Cortar Cesped </t>
  </si>
  <si>
    <t>Verduleria La Amistad</t>
  </si>
  <si>
    <t>Gino Barcelliandi</t>
  </si>
  <si>
    <t>878058,69 21-03</t>
  </si>
  <si>
    <t>Marina Hariott</t>
  </si>
  <si>
    <t>LUVI SA</t>
  </si>
  <si>
    <t>600000 06-03 569707,04 13-03</t>
  </si>
  <si>
    <t xml:space="preserve">LUVI 600.000 06-03 </t>
  </si>
  <si>
    <t xml:space="preserve">Lona </t>
  </si>
  <si>
    <t>Brini Alicia</t>
  </si>
  <si>
    <t>La Nuea Radio</t>
  </si>
  <si>
    <t>Caja Dolares u$s ( Damian u$s 310 Milagros u$s 2.600 )</t>
  </si>
  <si>
    <t>Ecq $  4.217.715.73</t>
  </si>
  <si>
    <t>CC $  3.645.902,29</t>
  </si>
  <si>
    <t>Cheque Fisicos $  1.800.000</t>
  </si>
  <si>
    <t>Caja Chica $  240.000</t>
  </si>
  <si>
    <t>Rifa BYN</t>
  </si>
  <si>
    <t>Seguros Nativa Forino</t>
  </si>
  <si>
    <t>Seguros Nativa Strada</t>
  </si>
  <si>
    <t>Caja Grande $  1.450.000</t>
  </si>
  <si>
    <t>JMM - Retiros</t>
  </si>
  <si>
    <t>Café - Cooperativa Obrera</t>
  </si>
  <si>
    <t>Parque de Pazzz</t>
  </si>
  <si>
    <t>Marina Rabuini</t>
  </si>
  <si>
    <t>15-04 15-05 15-06 c/u 280.000,-</t>
  </si>
  <si>
    <t>20-03 75.000 03-04 73.000 29-05 73.000</t>
  </si>
  <si>
    <t>Mauro Nusek</t>
  </si>
  <si>
    <t>Materiales Calefaccion Radiadores</t>
  </si>
  <si>
    <t>Euterma</t>
  </si>
  <si>
    <t>Barron Franco</t>
  </si>
  <si>
    <t xml:space="preserve">Mariela Cittini </t>
  </si>
  <si>
    <t>Alicia Brini</t>
  </si>
  <si>
    <t>Collossi Hnos</t>
  </si>
  <si>
    <t>Murray - Collossi</t>
  </si>
  <si>
    <t>Scharp</t>
  </si>
  <si>
    <t>Caja Grande $  4.900.000</t>
  </si>
  <si>
    <t>Caja Chica $  107.000</t>
  </si>
  <si>
    <t>CC $  7.067.808,717</t>
  </si>
  <si>
    <t>Eduardo Scestel</t>
  </si>
  <si>
    <t>Seguro de Comercios</t>
  </si>
  <si>
    <t xml:space="preserve">IIBB Plan </t>
  </si>
  <si>
    <t xml:space="preserve">Plan </t>
  </si>
  <si>
    <t>Plan Patente Captur</t>
  </si>
  <si>
    <t>Plan Patente Saveiro</t>
  </si>
  <si>
    <t>Imp Sellos</t>
  </si>
  <si>
    <t>Exceso Descubierto</t>
  </si>
  <si>
    <t xml:space="preserve">Agua Destilada </t>
  </si>
  <si>
    <t>Scharp Ariel Enrique</t>
  </si>
  <si>
    <t xml:space="preserve">Municipalidad de CS </t>
  </si>
  <si>
    <t>61507,93 </t>
  </si>
  <si>
    <t>Edes Feb</t>
  </si>
  <si>
    <t>13/04 Wilpar</t>
  </si>
  <si>
    <t>20-04 20-05 20-06</t>
  </si>
  <si>
    <t>MEDIFE</t>
  </si>
  <si>
    <t>Rodrigo Lopez</t>
  </si>
  <si>
    <t>Maissonave Campo Nuevo</t>
  </si>
  <si>
    <t>Caja Grande $  3.600.000</t>
  </si>
  <si>
    <t>Caja Chica $  26.000</t>
  </si>
  <si>
    <t>Caja Dolares u$s 1.600 ( Damian u$s 310 Milagros u$s 2.600 )</t>
  </si>
  <si>
    <t>Ecq $  2.073.375</t>
  </si>
  <si>
    <t>Banco CU</t>
  </si>
  <si>
    <t>Banco CC</t>
  </si>
  <si>
    <t>CC $  4.551.366,27</t>
  </si>
  <si>
    <t>AFIP 03/9</t>
  </si>
  <si>
    <t>AFIP 49/60</t>
  </si>
  <si>
    <t>Vta Dolares 1600 x 1390</t>
  </si>
  <si>
    <t>Miguel Plaza</t>
  </si>
  <si>
    <t>Monotributo Milagros Maneiro 1/6</t>
  </si>
  <si>
    <t xml:space="preserve">Fidelie Juan </t>
  </si>
  <si>
    <t>Coop Obrera San Martin</t>
  </si>
  <si>
    <t>Fogel</t>
  </si>
  <si>
    <t>Diego Streitenberger</t>
  </si>
  <si>
    <t>Caja Grande $  4.600.000</t>
  </si>
  <si>
    <t>Eduardo Bras - Limpieza Dpto Mendoza</t>
  </si>
  <si>
    <t>Eduardo Bras - Intercambiador + Sonda</t>
  </si>
  <si>
    <t>Cristian Ortamnn</t>
  </si>
  <si>
    <t>Combustible Bs As</t>
  </si>
  <si>
    <t>JMM - cablevision</t>
  </si>
  <si>
    <t>Bs As</t>
  </si>
  <si>
    <t xml:space="preserve">Walas </t>
  </si>
  <si>
    <t>Tanque de expansion</t>
  </si>
  <si>
    <t>Mecanico Captur</t>
  </si>
  <si>
    <t>Bs As $ 848.766,94</t>
  </si>
  <si>
    <t>Franco Martinez</t>
  </si>
  <si>
    <t>Caja Chica $  108.000</t>
  </si>
  <si>
    <t>Caja Dolares u$s  ( Damian u$s 310 Milagros u$s 2.600 )</t>
  </si>
  <si>
    <t>CC $  1.540.568,41</t>
  </si>
  <si>
    <t>Caja Grande $  2.150.000</t>
  </si>
  <si>
    <t xml:space="preserve">Comision Banco </t>
  </si>
  <si>
    <t xml:space="preserve">Monterrubianesi </t>
  </si>
  <si>
    <t>Atilio Walter</t>
  </si>
  <si>
    <t>Campo Azumendi</t>
  </si>
  <si>
    <t>Sastre</t>
  </si>
  <si>
    <t>Elisa Guede - Febrero</t>
  </si>
  <si>
    <t>IIBB - Feb 2026</t>
  </si>
  <si>
    <t>Liquidacion Damian Centonze</t>
  </si>
  <si>
    <t>Caja Dolares u$s  ( Milagros u$s 2.600 )</t>
  </si>
  <si>
    <t>Liquidacion Damian Centonze x Deuda en Dolares</t>
  </si>
  <si>
    <t>Franco</t>
  </si>
  <si>
    <t xml:space="preserve">Fogel Daniel </t>
  </si>
  <si>
    <t>Materiales Calefaccion</t>
  </si>
  <si>
    <t>FRANCO</t>
  </si>
  <si>
    <t>Sueldo Franco Martinez</t>
  </si>
  <si>
    <t>Dias Trabajados Franco Martinez</t>
  </si>
  <si>
    <t>Sueldo Manuel Toloza -  horas extras</t>
  </si>
  <si>
    <t>Prestamos Personal 11/48</t>
  </si>
  <si>
    <t>Bertola Jose</t>
  </si>
  <si>
    <t>CC $  1.836.382,56</t>
  </si>
  <si>
    <t>Ecq $  4.008.000</t>
  </si>
  <si>
    <t>Caja Chica $  10.000</t>
  </si>
  <si>
    <t>Caja Grande $  2.500.000</t>
  </si>
  <si>
    <t>Mostardor</t>
  </si>
  <si>
    <t>Carlos Mainini</t>
  </si>
  <si>
    <t>Cambio u$s 2000 JMM</t>
  </si>
  <si>
    <t>Prestamo 12-48</t>
  </si>
  <si>
    <t>Pintureria Tito</t>
  </si>
  <si>
    <t>Plan Patente 2/3</t>
  </si>
  <si>
    <t>Patente Saveiro Cuota 2/10</t>
  </si>
  <si>
    <t>Pia Guaozne</t>
  </si>
  <si>
    <r>
      <t>61336,20</t>
    </r>
    <r>
      <rPr>
        <sz val="19"/>
        <color rgb="FF333333"/>
        <rFont val="Open Sans"/>
        <family val="2"/>
      </rPr>
      <t> </t>
    </r>
  </si>
  <si>
    <t>Caja Grande $  1.400.000</t>
  </si>
  <si>
    <t>Cheque Fisicos $  1.761.000</t>
  </si>
  <si>
    <t>Caja Chica $  30.000</t>
  </si>
  <si>
    <t>Jones</t>
  </si>
  <si>
    <t>GUTIERREZ</t>
  </si>
  <si>
    <t>CC $  1.868.683,96</t>
  </si>
  <si>
    <t>Sociedad Rural Coronel Suarez</t>
  </si>
  <si>
    <t>Bertola Jose Maria</t>
  </si>
  <si>
    <t>Seguro de Personal</t>
  </si>
  <si>
    <t>Manuel - Combustible</t>
  </si>
  <si>
    <t>Nestor Ermadraut</t>
  </si>
  <si>
    <t>Agua Destiada 240 lts</t>
  </si>
  <si>
    <t>Mis Facilidades AFIP</t>
  </si>
  <si>
    <t>Adrian Williamns</t>
  </si>
  <si>
    <t xml:space="preserve">Elena </t>
  </si>
  <si>
    <t xml:space="preserve">Plan Monotributo 2/6 </t>
  </si>
  <si>
    <t>Miguel Margiotta</t>
  </si>
  <si>
    <t>Diego Streitemberger</t>
  </si>
  <si>
    <t>CU U$S 1550</t>
  </si>
  <si>
    <t>CC $ 2.539.365,97</t>
  </si>
  <si>
    <t>Resto</t>
  </si>
  <si>
    <r>
      <t>110976,14</t>
    </r>
    <r>
      <rPr>
        <sz val="19"/>
        <color rgb="FF333333"/>
        <rFont val="Open Sans"/>
        <family val="2"/>
      </rPr>
      <t> </t>
    </r>
  </si>
  <si>
    <t>Caja Grande $  4520000</t>
  </si>
  <si>
    <t>Combustible Manuel</t>
  </si>
  <si>
    <t>Schamberger</t>
  </si>
  <si>
    <t>Municipalidad de Adolfo Alsina</t>
  </si>
  <si>
    <t>Jorge Rios</t>
  </si>
  <si>
    <t>Kees</t>
  </si>
  <si>
    <t>Pulerizaciones FLF</t>
  </si>
  <si>
    <t>Prov N 08893789 23/04 $ 870.000 08893790 23/05 - 08893791 22/06</t>
  </si>
  <si>
    <t>Mariela Cattini</t>
  </si>
  <si>
    <t>Ibarra Juan Manuel</t>
  </si>
  <si>
    <t>Prov N 5083113 05-05 $ 597,320</t>
  </si>
  <si>
    <t>Seguros Saveiro</t>
  </si>
  <si>
    <t>Seguros Zurich</t>
  </si>
  <si>
    <t>CC $ 629.290,76</t>
  </si>
  <si>
    <t>Caja Grande $  3.700.000</t>
  </si>
  <si>
    <t>Cheque Fisicos $  2.610.000</t>
  </si>
  <si>
    <t>Caja Chica $  96.000</t>
  </si>
  <si>
    <t xml:space="preserve">LNR </t>
  </si>
  <si>
    <t>Pulicidad</t>
  </si>
  <si>
    <t>VTMM</t>
  </si>
  <si>
    <t>Servvice</t>
  </si>
  <si>
    <t>Murray Collosi</t>
  </si>
  <si>
    <t>8919645,28 2 x 27/4 $ 1.114.955,67 27/05 - 27/06 - 27/07</t>
  </si>
  <si>
    <t>Wayque SA</t>
  </si>
  <si>
    <t>Lona</t>
  </si>
  <si>
    <t>Atilio W</t>
  </si>
  <si>
    <t>Fotocopia</t>
  </si>
  <si>
    <t xml:space="preserve">Tomas </t>
  </si>
  <si>
    <t>Avap</t>
  </si>
  <si>
    <t xml:space="preserve">Comisiones </t>
  </si>
  <si>
    <t>La Barraca CS</t>
  </si>
  <si>
    <t>RAMI</t>
  </si>
  <si>
    <t>Afajores</t>
  </si>
  <si>
    <t>Ecq $  4.459.822,64</t>
  </si>
  <si>
    <t>CC $ 1.804.627,76</t>
  </si>
  <si>
    <t>Caja Chica $  38000</t>
  </si>
  <si>
    <t>Caja Grande $  3.200.000</t>
  </si>
  <si>
    <t>Seguros Nativa Fiorino</t>
  </si>
  <si>
    <t>Bertolami Gloria</t>
  </si>
  <si>
    <t>JMM - Reales</t>
  </si>
  <si>
    <t>Vencida</t>
  </si>
  <si>
    <t>Walter Atilio</t>
  </si>
  <si>
    <t>MO</t>
  </si>
  <si>
    <t>Comustibble</t>
  </si>
  <si>
    <t>Walter</t>
  </si>
  <si>
    <t>Bertino Gloria</t>
  </si>
  <si>
    <t>Maria E Paul - Herr</t>
  </si>
  <si>
    <t>VJMM - Servi</t>
  </si>
  <si>
    <t>Centro de Juilados</t>
  </si>
  <si>
    <t>1 Termostato Mecanico</t>
  </si>
  <si>
    <t>Wayque  27 - 04</t>
  </si>
  <si>
    <t>Wayque  27 - 05 / 27 - 06 / 27 -07</t>
  </si>
  <si>
    <t>Gustavo Ezequiel</t>
  </si>
  <si>
    <t xml:space="preserve">Saint Raymond Berta </t>
  </si>
  <si>
    <t>1 Termostato TR01</t>
  </si>
  <si>
    <t>Interes CU</t>
  </si>
  <si>
    <t>Iva Intereses</t>
  </si>
  <si>
    <t>Marcelo Bustamante</t>
  </si>
  <si>
    <t>2 Filtros descartables</t>
  </si>
  <si>
    <t>Seguro Personal</t>
  </si>
  <si>
    <t>Miguel Weiman</t>
  </si>
  <si>
    <t>Deposito Cheque</t>
  </si>
  <si>
    <r>
      <t>110.202,51</t>
    </r>
    <r>
      <rPr>
        <sz val="19"/>
        <color rgb="FF333333"/>
        <rFont val="Open Sans"/>
        <family val="2"/>
      </rPr>
      <t> </t>
    </r>
  </si>
  <si>
    <t>Cheque Fisicos $  1.740.000</t>
  </si>
  <si>
    <t>Repuetso</t>
  </si>
  <si>
    <t>CC $ 3.139.092,08</t>
  </si>
  <si>
    <t>CU  $ -3.422.378,12</t>
  </si>
  <si>
    <t>Marcelo Montes</t>
  </si>
  <si>
    <t>Interes Banco</t>
  </si>
  <si>
    <t>Trajeta Mastercar</t>
  </si>
  <si>
    <t>Comustible Fiorino - Carhue</t>
  </si>
  <si>
    <t>Viaticos - Aluerzo por 2</t>
  </si>
  <si>
    <t>Ferreterua Furland</t>
  </si>
  <si>
    <t xml:space="preserve">Cooperadora Escuela Tecnica </t>
  </si>
  <si>
    <t>Tiro Federal - JMM</t>
  </si>
  <si>
    <t>Plan Patentes 03 -03</t>
  </si>
  <si>
    <t>Deuda 26</t>
  </si>
  <si>
    <t xml:space="preserve">Plan IIBB 04 - 12 </t>
  </si>
  <si>
    <t>Trevor</t>
  </si>
  <si>
    <t>CC $ 6.856.709,66</t>
  </si>
  <si>
    <t>CU  $ -2.972.792,22</t>
  </si>
  <si>
    <t>Ecq $  303.200</t>
  </si>
  <si>
    <t>Triangulas SA</t>
  </si>
  <si>
    <t>JMM - Reserva Sierra</t>
  </si>
  <si>
    <t>Manuel Toloza - 1 Motor de 3/4 de recambio</t>
  </si>
  <si>
    <t>AFIP 04 - 12</t>
  </si>
  <si>
    <t>AFIP 50 - 60</t>
  </si>
  <si>
    <t>Cooperadora Hospital General San Martin</t>
  </si>
  <si>
    <t>Justo A</t>
  </si>
  <si>
    <t>EDES - Abril</t>
  </si>
  <si>
    <t>La Pampa 15 -05 3007 $ 279.000  Prov N 6495 $ 171.000</t>
  </si>
  <si>
    <t>Juan Carlos Schawb</t>
  </si>
  <si>
    <t>Caivano Ingenieria</t>
  </si>
  <si>
    <t xml:space="preserve">Motores </t>
  </si>
  <si>
    <t xml:space="preserve">Plan Monotributo 3/6 </t>
  </si>
  <si>
    <t>Aerasturi Gregorio</t>
  </si>
  <si>
    <t>Fernando Rouco</t>
  </si>
  <si>
    <t>Nativa Saveiro</t>
  </si>
  <si>
    <t>Bustamante Marcelo</t>
  </si>
  <si>
    <t>CC $ 5.884.726,02</t>
  </si>
  <si>
    <t>Caja Chica $  63.000</t>
  </si>
  <si>
    <t>Caja Grande $  3.940.000</t>
  </si>
  <si>
    <t>Cheque Fisicos $  2.190.000</t>
  </si>
  <si>
    <t>Automotores Volga</t>
  </si>
  <si>
    <t>Comision Banco CC</t>
  </si>
  <si>
    <t>ARBA IIBB - Marzo</t>
  </si>
  <si>
    <r>
      <t xml:space="preserve">Pampa N 65683007 15-05 Saldo a Favor </t>
    </r>
    <r>
      <rPr>
        <i/>
        <sz val="11"/>
        <color rgb="FFFF0000"/>
        <rFont val="Calibri"/>
        <family val="2"/>
        <scheme val="minor"/>
      </rPr>
      <t>$ 42.600.-</t>
    </r>
  </si>
  <si>
    <t>Graciela Servat</t>
  </si>
  <si>
    <t>Prestamo 13-48</t>
  </si>
  <si>
    <t>245.254,00 </t>
  </si>
  <si>
    <t>Patente Saveiro 04- 10</t>
  </si>
  <si>
    <t>Mayo</t>
  </si>
  <si>
    <t>Consultar</t>
  </si>
  <si>
    <t>795,768.69</t>
  </si>
  <si>
    <t>Caja Grande $  5.000.000</t>
  </si>
  <si>
    <t>CC $ 4.757.538,14</t>
  </si>
  <si>
    <t>Fidelle Pablo</t>
  </si>
  <si>
    <t>Carpintero</t>
  </si>
  <si>
    <t>Bertino</t>
  </si>
  <si>
    <t xml:space="preserve">01/07 -01/08 </t>
  </si>
  <si>
    <t>Edgardo Fassye</t>
  </si>
  <si>
    <t>Maria Pombo</t>
  </si>
  <si>
    <t>Bomeros Voluntarios</t>
  </si>
  <si>
    <t>Ferreteria Fulrand</t>
  </si>
  <si>
    <t>Mario Beratz</t>
  </si>
  <si>
    <t>Contadora Elisa Guede Marzo - Abril</t>
  </si>
  <si>
    <t>Matias Goyeneche</t>
  </si>
  <si>
    <t>Fogel Daniel</t>
  </si>
  <si>
    <t>Graciana Elicegui</t>
  </si>
  <si>
    <t>Fabian Keess</t>
  </si>
  <si>
    <t>Semana del 01/06 al 05/06</t>
  </si>
  <si>
    <t>Semana del 09/06 al 12/06</t>
  </si>
  <si>
    <t>Semana del 16/06 al 19/06</t>
  </si>
  <si>
    <t>Semana del 22/06 al 26/06</t>
  </si>
  <si>
    <t xml:space="preserve"> SUELDO JUNIO 2026</t>
  </si>
  <si>
    <t>VISA - AMEX Nora Viaje</t>
  </si>
  <si>
    <t>Ferreteria Furnland</t>
  </si>
  <si>
    <t>VISA - AMEX Milagros</t>
  </si>
  <si>
    <t>Combustible Milagros Maneiro</t>
  </si>
  <si>
    <t>430000 Milagros</t>
  </si>
  <si>
    <t>CC $ 2.411.064,55</t>
  </si>
  <si>
    <t>CU U$S 274,04</t>
  </si>
  <si>
    <t>h</t>
  </si>
  <si>
    <t>Bernardo Alberdi</t>
  </si>
  <si>
    <t>El rosedal</t>
  </si>
  <si>
    <t>Impuesto al Sello</t>
  </si>
  <si>
    <t>Interes por exceso</t>
  </si>
  <si>
    <t>Pablo Krieger</t>
  </si>
  <si>
    <t>San Cristobal - Accidentes Personal</t>
  </si>
  <si>
    <t xml:space="preserve">Caja Grande $  5.500.000 </t>
  </si>
  <si>
    <t xml:space="preserve">Dev Milagros Maneiro u$s 640,13 </t>
  </si>
  <si>
    <t>Dev Milagros Maneiro u$s 540,14 x 1425</t>
  </si>
  <si>
    <t>CC $ 1.143.620,69</t>
  </si>
  <si>
    <t>Caja Grande $  4.770.000</t>
  </si>
  <si>
    <t>Caja Dolares u$s 100 ( Milagros u$s 2.600 )</t>
  </si>
  <si>
    <t>Ecq $  454.000</t>
  </si>
  <si>
    <t>Caja Chica $  134..000</t>
  </si>
  <si>
    <t>CU  $ -3.456.008,88 ( Deposito de Ec 227.000 No Acreditado )</t>
  </si>
  <si>
    <t>Municipalidad CS - Accion Social</t>
  </si>
  <si>
    <t>Gloria Bertino</t>
  </si>
  <si>
    <t>Braun</t>
  </si>
  <si>
    <t xml:space="preserve">Consumas </t>
  </si>
  <si>
    <t>Consumas Retenciones</t>
  </si>
  <si>
    <t>27/6 535580 4/7 535580 11/7 535601,52</t>
  </si>
  <si>
    <t>17-06 500000 14-07 500000 14-08 500000 14-09 500000</t>
  </si>
  <si>
    <t xml:space="preserve">Plan Monotributo </t>
  </si>
  <si>
    <t>AFIP Planes 52-60</t>
  </si>
  <si>
    <t>Monotributo Mily 5/6</t>
  </si>
  <si>
    <t>Miel</t>
  </si>
  <si>
    <t>Banderas</t>
  </si>
  <si>
    <t>Emilio Ducos</t>
  </si>
  <si>
    <t xml:space="preserve">1 - Caldera Luna </t>
  </si>
  <si>
    <t>Sac $ 250.000</t>
  </si>
  <si>
    <t>Consumas SA 04 - 07</t>
  </si>
  <si>
    <t>B&amp;G - Victoria Giornio</t>
  </si>
  <si>
    <t>Caja Grande $  5.800.000</t>
  </si>
  <si>
    <t>Caja Chica $  68.000</t>
  </si>
  <si>
    <t>13 - Elementos Diamante + 2 - Blister</t>
  </si>
  <si>
    <t>1 - Termostato Fantini</t>
  </si>
  <si>
    <t>CC $ 3.068.490,8</t>
  </si>
  <si>
    <t xml:space="preserve">CU  $ -2.893.808,88 </t>
  </si>
  <si>
    <t>Ecq $  535.580,00</t>
  </si>
  <si>
    <t>Somoza Aldo</t>
  </si>
  <si>
    <t>Marta Barrionuevo</t>
  </si>
  <si>
    <t>Plan ARBA</t>
  </si>
  <si>
    <t>Cuota 52/60</t>
  </si>
  <si>
    <t>Cuota 6/12</t>
  </si>
  <si>
    <t>Surrey 4500 FC</t>
  </si>
  <si>
    <t>Zurich</t>
  </si>
  <si>
    <t>8 - Elementos Pluss + Blister</t>
  </si>
  <si>
    <t>Nicolas Lorenzo</t>
  </si>
  <si>
    <t>Columna1</t>
  </si>
  <si>
    <t>Ecq $  3.025.581,28</t>
  </si>
  <si>
    <t>Caja Grande $  4.750.000</t>
  </si>
  <si>
    <t>CC $ 748.924,76</t>
  </si>
  <si>
    <t>Caja Chica $  60.000</t>
  </si>
  <si>
    <t>Cheque Fisicos $  1.076.800</t>
  </si>
  <si>
    <t>BMS</t>
  </si>
  <si>
    <t>Librería Losno</t>
  </si>
  <si>
    <t>Rodriguez Favio</t>
  </si>
  <si>
    <t>CC $ 2.564.094,46</t>
  </si>
  <si>
    <t>CU  $ -2.895.274,08</t>
  </si>
  <si>
    <t>Caja Chica $  40.000</t>
  </si>
  <si>
    <t>Ecq $  2.677.948,28</t>
  </si>
  <si>
    <t>Prestamo 14/48</t>
  </si>
  <si>
    <t>Prestamo 14/49</t>
  </si>
  <si>
    <t>Caja Grande $  5650000</t>
  </si>
  <si>
    <t>Seguro Firoino</t>
  </si>
  <si>
    <t>May - Jun</t>
  </si>
  <si>
    <t xml:space="preserve"> SUELDO JULIO 2026</t>
  </si>
  <si>
    <t>Semana del 29/06 al 03/07</t>
  </si>
  <si>
    <t>Semana del 06/07 al 10/07</t>
  </si>
  <si>
    <t>Semana del 13/07 al 17/07</t>
  </si>
  <si>
    <t>Semana del 20/07 al 24/07</t>
  </si>
  <si>
    <t>Semana del 27/07 al 30/07</t>
  </si>
  <si>
    <t>Total $ 1.600.000,-</t>
  </si>
  <si>
    <t>Total $ 2.550.000,-</t>
  </si>
  <si>
    <t>Total $ 900.000,-</t>
  </si>
  <si>
    <t>Total $ 1.060.000,-</t>
  </si>
  <si>
    <t>N° 07/2026</t>
  </si>
  <si>
    <t>Ferrario Joana</t>
  </si>
  <si>
    <t>1 - Tanque Expansion</t>
  </si>
  <si>
    <t>Lintera Hernan</t>
  </si>
  <si>
    <t>Azumendi I</t>
  </si>
  <si>
    <t>Renee Ducar</t>
  </si>
  <si>
    <t>1 - Termobaño Electrico Euterma</t>
  </si>
  <si>
    <t>Cheque Fisicos $  1.044.600</t>
  </si>
  <si>
    <t xml:space="preserve">Caja Dolares u$s 100 </t>
  </si>
  <si>
    <t>Ecq $  2.142.368,28</t>
  </si>
  <si>
    <t>CC $ 1.428.242,07</t>
  </si>
  <si>
    <t>Caja Grande $  11.500.000</t>
  </si>
  <si>
    <t>Fanset</t>
  </si>
  <si>
    <t>Maria Ines Echeverria</t>
  </si>
  <si>
    <t>Innes Mordeglia</t>
  </si>
  <si>
    <t>334.283,20 </t>
  </si>
  <si>
    <t>Patente Captur 1 -2 - 3 -4  /10</t>
  </si>
  <si>
    <t>Patente Saveiro 1 - 2 - 3 - 4/10</t>
  </si>
  <si>
    <t>Patente Captur 05 - 10</t>
  </si>
  <si>
    <t> 221.927,10</t>
  </si>
  <si>
    <t>73.702,30 </t>
  </si>
  <si>
    <t>AFIP Planes 06-09</t>
  </si>
  <si>
    <t>CA Milly</t>
  </si>
  <si>
    <t>Metalurgica Sanz</t>
  </si>
  <si>
    <t>Intereses Descubierto</t>
  </si>
  <si>
    <t>Intereses Exceso</t>
  </si>
  <si>
    <t>1 - Motor Nuevo</t>
  </si>
  <si>
    <t>Denunciar</t>
  </si>
  <si>
    <t>Caja Grande $  9.800.000</t>
  </si>
  <si>
    <t>Cheque Fisicos $  2.694.600</t>
  </si>
  <si>
    <t>CC $ 1.441.316,54</t>
  </si>
  <si>
    <t>Ecq $ 5.826.157,64</t>
  </si>
  <si>
    <t>Larumbe Miguel</t>
  </si>
  <si>
    <t>2 - Termobaño 2 - Juegos</t>
  </si>
  <si>
    <t>Trasnferencia CC a CU</t>
  </si>
  <si>
    <t>Alberto Caccavo</t>
  </si>
  <si>
    <t>1 - Desaireador</t>
  </si>
  <si>
    <t>1 - Conj de Abbrazaderas</t>
  </si>
  <si>
    <t>Tiro JMM</t>
  </si>
  <si>
    <t>Tiro Manuel Toloza</t>
  </si>
  <si>
    <t>Javier Castellanos</t>
  </si>
  <si>
    <t>1 - Caldera Riello</t>
  </si>
  <si>
    <t>AFIP 52/60</t>
  </si>
  <si>
    <t>Collossi Murray</t>
  </si>
  <si>
    <t>Cardosa</t>
  </si>
  <si>
    <t>1 - Calefactor Midea</t>
  </si>
  <si>
    <t>Termostatos</t>
  </si>
  <si>
    <t xml:space="preserve">Marco Madera </t>
  </si>
  <si>
    <t>IIBB 6-12</t>
  </si>
  <si>
    <t>39.474,40 </t>
  </si>
  <si>
    <t>IIBB JUNIO</t>
  </si>
  <si>
    <t>IIBB MAYO</t>
  </si>
  <si>
    <t>SAC</t>
  </si>
  <si>
    <t>Cardoso</t>
  </si>
  <si>
    <t>Ref.: Semana del 13/07 al 17/07 $ 320.000,-</t>
  </si>
  <si>
    <t>Ref.: Semana del 13/07 al 10/07 $ 510.000,-</t>
  </si>
  <si>
    <t>Ref.: Semana del 13/07 al 10/07 $ 212.000,-</t>
  </si>
  <si>
    <t>Ref.: Semana del 13/07 al 17/07 $ 180.000,-</t>
  </si>
  <si>
    <t>Mendoza Pilar</t>
  </si>
  <si>
    <t>Ecq $ 3.135.062,36</t>
  </si>
  <si>
    <t>Bernardes Nora</t>
  </si>
  <si>
    <t>Combbustible Fiorino</t>
  </si>
  <si>
    <t>Ferreteria La Vasca</t>
  </si>
  <si>
    <t>Pampa N 1422556 4 - 07</t>
  </si>
  <si>
    <t>Caja Grande $  12.400.000</t>
  </si>
  <si>
    <t>Caja Chica $  0.000</t>
  </si>
  <si>
    <t>CC $ 529.287,51</t>
  </si>
  <si>
    <t>CU  $ 2.884.334,27</t>
  </si>
  <si>
    <t>Cheque Fisicos $  1.650.000</t>
  </si>
  <si>
    <t>Silvana Gonzalez</t>
  </si>
  <si>
    <t>1 - Bomba 7/1 Plan canje</t>
  </si>
  <si>
    <t>IIBB Cuota 06 - 12</t>
  </si>
  <si>
    <t>Teresa De Lusarreta</t>
  </si>
  <si>
    <t>Seguro JMM</t>
  </si>
  <si>
    <t>Combustibe Fiorino</t>
  </si>
  <si>
    <t>CU  $ 3.375.334,27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</si>
</sst>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;[Red]&quot;$&quot;\ \-#,##0"/>
    <numFmt numFmtId="165" formatCode="&quot;$&quot;\ #,##0.00;[Red]&quot;$&quot;\ \-#,##0.00"/>
    <numFmt numFmtId="166" formatCode="0.0"/>
  </numFmts>
  <fonts count="4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Open Sans"/>
    </font>
    <font>
      <sz val="11"/>
      <color theme="1"/>
      <name val="Open Sans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1"/>
      <name val="Open Sans"/>
    </font>
    <font>
      <b/>
      <sz val="11"/>
      <color rgb="FFFF0000"/>
      <name val="Calibri"/>
      <family val="2"/>
      <scheme val="minor"/>
    </font>
    <font>
      <sz val="12"/>
      <color rgb="FF153643"/>
      <name val="Arial"/>
      <family val="2"/>
    </font>
    <font>
      <b/>
      <i/>
      <sz val="11"/>
      <color rgb="FFFF0000"/>
      <name val="Calibri"/>
      <family val="2"/>
      <scheme val="minor"/>
    </font>
    <font>
      <sz val="10"/>
      <color rgb="FF333333"/>
      <name val="Arial"/>
      <family val="2"/>
    </font>
    <font>
      <sz val="11"/>
      <color theme="1"/>
      <name val="Open Sans"/>
    </font>
    <font>
      <i/>
      <sz val="11"/>
      <color rgb="FFFF0000"/>
      <name val="Calibri"/>
      <family val="2"/>
      <scheme val="minor"/>
    </font>
    <font>
      <sz val="12"/>
      <color rgb="FF222222"/>
      <name val="Arial"/>
      <family val="2"/>
    </font>
    <font>
      <sz val="26"/>
      <color rgb="FF444444"/>
      <name val="Arial"/>
      <family val="2"/>
    </font>
    <font>
      <sz val="12"/>
      <color rgb="FF000000"/>
      <name val="Inherit"/>
    </font>
    <font>
      <sz val="11"/>
      <color rgb="FF222222"/>
      <name val="Inherit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color rgb="FF222222"/>
      <name val="Open Sans"/>
      <family val="2"/>
    </font>
    <font>
      <b/>
      <sz val="14"/>
      <color theme="1"/>
      <name val="Calibri"/>
      <family val="2"/>
      <scheme val="minor"/>
    </font>
    <font>
      <b/>
      <sz val="19"/>
      <color rgb="FF333333"/>
      <name val="Open Sans"/>
      <family val="2"/>
    </font>
    <font>
      <sz val="12"/>
      <color rgb="FF222222"/>
      <name val="Inherit"/>
    </font>
    <font>
      <sz val="19"/>
      <color rgb="FF333333"/>
      <name val="Open Sans"/>
      <family val="2"/>
    </font>
    <font>
      <b/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6" fillId="0" borderId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1643">
    <xf numFmtId="0" fontId="0" fillId="0" borderId="0" xfId="0"/>
    <xf numFmtId="0" fontId="2" fillId="3" borderId="4" xfId="0" applyFont="1" applyFill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0" fillId="0" borderId="4" xfId="0" applyBorder="1"/>
    <xf numFmtId="16" fontId="0" fillId="0" borderId="10" xfId="0" applyNumberFormat="1" applyBorder="1" applyAlignment="1">
      <alignment horizontal="center"/>
    </xf>
    <xf numFmtId="0" fontId="0" fillId="0" borderId="10" xfId="0" applyBorder="1"/>
    <xf numFmtId="0" fontId="2" fillId="5" borderId="4" xfId="0" applyFont="1" applyFill="1" applyBorder="1" applyAlignment="1">
      <alignment horizontal="left"/>
    </xf>
    <xf numFmtId="0" fontId="3" fillId="5" borderId="4" xfId="0" applyFont="1" applyFill="1" applyBorder="1"/>
    <xf numFmtId="0" fontId="0" fillId="5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0" borderId="4" xfId="0" applyFill="1" applyBorder="1"/>
    <xf numFmtId="0" fontId="5" fillId="0" borderId="18" xfId="0" applyFont="1" applyBorder="1" applyAlignment="1">
      <alignment horizontal="left"/>
    </xf>
    <xf numFmtId="0" fontId="8" fillId="0" borderId="0" xfId="0" applyFont="1"/>
    <xf numFmtId="0" fontId="7" fillId="8" borderId="23" xfId="0" applyFont="1" applyFill="1" applyBorder="1"/>
    <xf numFmtId="0" fontId="7" fillId="8" borderId="2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7" fillId="0" borderId="4" xfId="1" applyNumberFormat="1" applyFont="1" applyBorder="1" applyAlignment="1">
      <alignment horizontal="center"/>
    </xf>
    <xf numFmtId="164" fontId="7" fillId="0" borderId="4" xfId="1" applyNumberFormat="1" applyFont="1" applyFill="1" applyBorder="1" applyAlignment="1">
      <alignment horizontal="center"/>
    </xf>
    <xf numFmtId="164" fontId="7" fillId="0" borderId="0" xfId="1" applyNumberFormat="1" applyFont="1" applyFill="1" applyBorder="1" applyAlignment="1">
      <alignment horizontal="center"/>
    </xf>
    <xf numFmtId="0" fontId="10" fillId="0" borderId="0" xfId="1" applyFont="1" applyBorder="1" applyAlignment="1">
      <alignment horizontal="left"/>
    </xf>
    <xf numFmtId="164" fontId="7" fillId="0" borderId="0" xfId="1" applyNumberFormat="1" applyFont="1" applyBorder="1" applyAlignment="1">
      <alignment horizontal="center"/>
    </xf>
    <xf numFmtId="14" fontId="9" fillId="0" borderId="25" xfId="1" applyNumberFormat="1" applyFont="1" applyBorder="1" applyAlignment="1">
      <alignment horizontal="center"/>
    </xf>
    <xf numFmtId="164" fontId="7" fillId="0" borderId="19" xfId="1" applyNumberFormat="1" applyFont="1" applyFill="1" applyBorder="1" applyAlignment="1">
      <alignment horizontal="center"/>
    </xf>
    <xf numFmtId="164" fontId="10" fillId="0" borderId="4" xfId="1" applyNumberFormat="1" applyFont="1" applyBorder="1" applyAlignment="1">
      <alignment horizontal="center"/>
    </xf>
    <xf numFmtId="0" fontId="5" fillId="0" borderId="4" xfId="0" applyFont="1" applyBorder="1"/>
    <xf numFmtId="0" fontId="8" fillId="0" borderId="4" xfId="0" applyFont="1" applyBorder="1" applyAlignment="1">
      <alignment horizontal="center"/>
    </xf>
    <xf numFmtId="0" fontId="10" fillId="0" borderId="4" xfId="1" applyFont="1" applyBorder="1" applyAlignment="1">
      <alignment horizontal="left"/>
    </xf>
    <xf numFmtId="0" fontId="13" fillId="7" borderId="4" xfId="2" applyFont="1" applyFill="1" applyBorder="1"/>
    <xf numFmtId="0" fontId="13" fillId="7" borderId="4" xfId="2" applyFont="1" applyFill="1" applyBorder="1" applyAlignment="1">
      <alignment horizontal="center"/>
    </xf>
    <xf numFmtId="14" fontId="14" fillId="0" borderId="0" xfId="2" applyNumberFormat="1" applyFont="1" applyBorder="1" applyAlignment="1">
      <alignment horizontal="center"/>
    </xf>
    <xf numFmtId="0" fontId="6" fillId="0" borderId="0" xfId="2" applyFont="1" applyBorder="1" applyAlignment="1">
      <alignment horizontal="left"/>
    </xf>
    <xf numFmtId="164" fontId="6" fillId="0" borderId="0" xfId="2" applyNumberFormat="1" applyFont="1" applyFill="1" applyBorder="1" applyAlignment="1">
      <alignment horizontal="center"/>
    </xf>
    <xf numFmtId="0" fontId="6" fillId="0" borderId="0" xfId="1" applyFont="1" applyBorder="1" applyAlignment="1">
      <alignment horizontal="left"/>
    </xf>
    <xf numFmtId="0" fontId="6" fillId="0" borderId="0" xfId="2" applyFont="1" applyBorder="1"/>
    <xf numFmtId="14" fontId="14" fillId="0" borderId="0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center"/>
    </xf>
    <xf numFmtId="164" fontId="13" fillId="0" borderId="0" xfId="2" applyNumberFormat="1" applyFont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left"/>
    </xf>
    <xf numFmtId="0" fontId="18" fillId="0" borderId="4" xfId="0" applyFont="1" applyBorder="1"/>
    <xf numFmtId="16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9" fillId="6" borderId="4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9" fillId="5" borderId="4" xfId="0" applyFont="1" applyFill="1" applyBorder="1" applyAlignment="1">
      <alignment horizontal="left" vertical="center" wrapText="1"/>
    </xf>
    <xf numFmtId="1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5" borderId="4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16" fontId="0" fillId="0" borderId="17" xfId="0" applyNumberFormat="1" applyBorder="1" applyAlignment="1">
      <alignment horizontal="center"/>
    </xf>
    <xf numFmtId="0" fontId="0" fillId="0" borderId="27" xfId="0" applyBorder="1"/>
    <xf numFmtId="0" fontId="2" fillId="0" borderId="9" xfId="0" applyFont="1" applyBorder="1" applyAlignment="1">
      <alignment horizontal="center"/>
    </xf>
    <xf numFmtId="0" fontId="0" fillId="0" borderId="16" xfId="0" applyBorder="1"/>
    <xf numFmtId="0" fontId="0" fillId="0" borderId="10" xfId="0" applyBorder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44" fontId="5" fillId="0" borderId="0" xfId="3" applyFont="1" applyAlignment="1">
      <alignment horizontal="center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14" fontId="0" fillId="5" borderId="4" xfId="0" applyNumberFormat="1" applyFont="1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horizontal="left"/>
    </xf>
    <xf numFmtId="0" fontId="0" fillId="0" borderId="0" xfId="0" applyAlignment="1">
      <alignment wrapText="1"/>
    </xf>
    <xf numFmtId="14" fontId="0" fillId="0" borderId="10" xfId="0" applyNumberFormat="1" applyBorder="1" applyAlignment="1">
      <alignment horizontal="center"/>
    </xf>
    <xf numFmtId="0" fontId="0" fillId="0" borderId="10" xfId="0" applyFill="1" applyBorder="1"/>
    <xf numFmtId="0" fontId="0" fillId="5" borderId="4" xfId="0" applyFill="1" applyBorder="1"/>
    <xf numFmtId="0" fontId="2" fillId="0" borderId="4" xfId="0" applyFont="1" applyBorder="1"/>
    <xf numFmtId="0" fontId="18" fillId="0" borderId="4" xfId="0" applyFont="1" applyBorder="1" applyAlignment="1">
      <alignment horizontal="left"/>
    </xf>
    <xf numFmtId="0" fontId="2" fillId="2" borderId="4" xfId="0" applyFont="1" applyFill="1" applyBorder="1"/>
    <xf numFmtId="0" fontId="0" fillId="2" borderId="4" xfId="0" applyFill="1" applyBorder="1"/>
    <xf numFmtId="16" fontId="0" fillId="0" borderId="8" xfId="0" applyNumberFormat="1" applyBorder="1" applyAlignment="1">
      <alignment horizontal="center"/>
    </xf>
    <xf numFmtId="0" fontId="0" fillId="0" borderId="8" xfId="0" applyBorder="1"/>
    <xf numFmtId="6" fontId="21" fillId="0" borderId="4" xfId="0" applyNumberFormat="1" applyFont="1" applyBorder="1" applyAlignment="1">
      <alignment horizontal="left"/>
    </xf>
    <xf numFmtId="6" fontId="21" fillId="2" borderId="4" xfId="0" applyNumberFormat="1" applyFont="1" applyFill="1" applyBorder="1" applyAlignment="1">
      <alignment horizontal="left"/>
    </xf>
    <xf numFmtId="6" fontId="0" fillId="0" borderId="4" xfId="0" applyNumberFormat="1" applyBorder="1"/>
    <xf numFmtId="0" fontId="4" fillId="0" borderId="4" xfId="0" applyFont="1" applyBorder="1"/>
    <xf numFmtId="0" fontId="21" fillId="2" borderId="4" xfId="0" applyFont="1" applyFill="1" applyBorder="1" applyAlignment="1">
      <alignment horizontal="left"/>
    </xf>
    <xf numFmtId="0" fontId="21" fillId="2" borderId="13" xfId="0" applyFont="1" applyFill="1" applyBorder="1" applyAlignment="1">
      <alignment horizontal="left"/>
    </xf>
    <xf numFmtId="0" fontId="21" fillId="2" borderId="16" xfId="0" applyFont="1" applyFill="1" applyBorder="1" applyAlignment="1">
      <alignment horizontal="left"/>
    </xf>
    <xf numFmtId="16" fontId="4" fillId="0" borderId="4" xfId="0" applyNumberFormat="1" applyFont="1" applyBorder="1" applyAlignment="1">
      <alignment horizontal="center"/>
    </xf>
    <xf numFmtId="0" fontId="2" fillId="2" borderId="10" xfId="0" applyFont="1" applyFill="1" applyBorder="1"/>
    <xf numFmtId="0" fontId="2" fillId="2" borderId="8" xfId="0" applyFont="1" applyFill="1" applyBorder="1"/>
    <xf numFmtId="17" fontId="0" fillId="0" borderId="4" xfId="0" applyNumberFormat="1" applyBorder="1" applyAlignment="1">
      <alignment horizontal="center"/>
    </xf>
    <xf numFmtId="0" fontId="26" fillId="2" borderId="8" xfId="0" applyFont="1" applyFill="1" applyBorder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6" fontId="0" fillId="0" borderId="4" xfId="0" applyNumberFormat="1" applyBorder="1" applyAlignment="1">
      <alignment horizontal="left"/>
    </xf>
    <xf numFmtId="0" fontId="21" fillId="2" borderId="10" xfId="0" applyFont="1" applyFill="1" applyBorder="1"/>
    <xf numFmtId="0" fontId="21" fillId="2" borderId="4" xfId="0" applyFont="1" applyFill="1" applyBorder="1"/>
    <xf numFmtId="0" fontId="21" fillId="2" borderId="8" xfId="0" applyFont="1" applyFill="1" applyBorder="1"/>
    <xf numFmtId="0" fontId="2" fillId="2" borderId="4" xfId="0" applyFont="1" applyFill="1" applyBorder="1" applyAlignment="1">
      <alignment horizontal="left"/>
    </xf>
    <xf numFmtId="0" fontId="21" fillId="5" borderId="8" xfId="0" applyFont="1" applyFill="1" applyBorder="1"/>
    <xf numFmtId="16" fontId="0" fillId="5" borderId="10" xfId="0" applyNumberFormat="1" applyFill="1" applyBorder="1" applyAlignment="1">
      <alignment horizontal="center"/>
    </xf>
    <xf numFmtId="0" fontId="0" fillId="5" borderId="10" xfId="0" applyFill="1" applyBorder="1"/>
    <xf numFmtId="0" fontId="2" fillId="5" borderId="10" xfId="0" applyFont="1" applyFill="1" applyBorder="1" applyAlignment="1">
      <alignment horizontal="center"/>
    </xf>
    <xf numFmtId="0" fontId="0" fillId="5" borderId="0" xfId="0" applyFill="1" applyBorder="1"/>
    <xf numFmtId="0" fontId="3" fillId="2" borderId="4" xfId="0" applyFont="1" applyFill="1" applyBorder="1" applyAlignment="1">
      <alignment horizontal="center"/>
    </xf>
    <xf numFmtId="0" fontId="21" fillId="5" borderId="4" xfId="0" applyFont="1" applyFill="1" applyBorder="1"/>
    <xf numFmtId="14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16" fontId="0" fillId="0" borderId="4" xfId="0" applyNumberFormat="1" applyBorder="1" applyAlignment="1">
      <alignment wrapText="1"/>
    </xf>
    <xf numFmtId="0" fontId="0" fillId="0" borderId="0" xfId="0" applyBorder="1"/>
    <xf numFmtId="14" fontId="0" fillId="0" borderId="4" xfId="0" applyNumberFormat="1" applyBorder="1" applyAlignment="1">
      <alignment horizontal="center" vertical="center"/>
    </xf>
    <xf numFmtId="0" fontId="19" fillId="9" borderId="4" xfId="0" applyFont="1" applyFill="1" applyBorder="1"/>
    <xf numFmtId="0" fontId="19" fillId="9" borderId="8" xfId="0" applyFont="1" applyFill="1" applyBorder="1"/>
    <xf numFmtId="14" fontId="0" fillId="0" borderId="8" xfId="0" applyNumberForma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3" fillId="9" borderId="10" xfId="0" applyFont="1" applyFill="1" applyBorder="1"/>
    <xf numFmtId="0" fontId="0" fillId="5" borderId="0" xfId="0" applyFont="1" applyFill="1"/>
    <xf numFmtId="14" fontId="0" fillId="5" borderId="4" xfId="0" applyNumberFormat="1" applyFill="1" applyBorder="1" applyAlignment="1">
      <alignment horizontal="center"/>
    </xf>
    <xf numFmtId="0" fontId="18" fillId="0" borderId="10" xfId="0" applyFont="1" applyBorder="1"/>
    <xf numFmtId="0" fontId="19" fillId="5" borderId="4" xfId="0" applyFont="1" applyFill="1" applyBorder="1"/>
    <xf numFmtId="14" fontId="0" fillId="0" borderId="0" xfId="0" applyNumberFormat="1" applyAlignment="1">
      <alignment horizontal="center"/>
    </xf>
    <xf numFmtId="0" fontId="3" fillId="9" borderId="4" xfId="0" applyFont="1" applyFill="1" applyBorder="1"/>
    <xf numFmtId="0" fontId="30" fillId="9" borderId="4" xfId="0" applyFont="1" applyFill="1" applyBorder="1"/>
    <xf numFmtId="0" fontId="21" fillId="0" borderId="4" xfId="0" applyFont="1" applyBorder="1" applyAlignment="1">
      <alignment horizontal="left"/>
    </xf>
    <xf numFmtId="0" fontId="2" fillId="0" borderId="4" xfId="0" applyFont="1" applyBorder="1" applyAlignment="1">
      <alignment wrapText="1"/>
    </xf>
    <xf numFmtId="0" fontId="19" fillId="9" borderId="4" xfId="0" applyFont="1" applyFill="1" applyBorder="1" applyAlignment="1">
      <alignment wrapText="1"/>
    </xf>
    <xf numFmtId="0" fontId="30" fillId="9" borderId="4" xfId="0" applyFont="1" applyFill="1" applyBorder="1" applyAlignment="1">
      <alignment wrapText="1"/>
    </xf>
    <xf numFmtId="16" fontId="0" fillId="0" borderId="4" xfId="0" applyNumberFormat="1" applyBorder="1"/>
    <xf numFmtId="16" fontId="0" fillId="0" borderId="4" xfId="0" applyNumberFormat="1" applyBorder="1" applyAlignment="1">
      <alignment horizontal="left"/>
    </xf>
    <xf numFmtId="0" fontId="30" fillId="9" borderId="40" xfId="0" applyFont="1" applyFill="1" applyBorder="1" applyAlignment="1">
      <alignment wrapText="1"/>
    </xf>
    <xf numFmtId="0" fontId="19" fillId="9" borderId="40" xfId="0" applyFont="1" applyFill="1" applyBorder="1" applyAlignment="1">
      <alignment wrapText="1"/>
    </xf>
    <xf numFmtId="0" fontId="19" fillId="9" borderId="40" xfId="0" applyFont="1" applyFill="1" applyBorder="1"/>
    <xf numFmtId="0" fontId="19" fillId="9" borderId="41" xfId="0" applyFont="1" applyFill="1" applyBorder="1"/>
    <xf numFmtId="0" fontId="19" fillId="9" borderId="42" xfId="0" applyFont="1" applyFill="1" applyBorder="1"/>
    <xf numFmtId="0" fontId="3" fillId="9" borderId="44" xfId="0" applyFont="1" applyFill="1" applyBorder="1"/>
    <xf numFmtId="0" fontId="2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/>
    </xf>
    <xf numFmtId="0" fontId="4" fillId="0" borderId="4" xfId="0" applyFont="1" applyBorder="1" applyAlignment="1">
      <alignment horizontal="left"/>
    </xf>
    <xf numFmtId="0" fontId="0" fillId="0" borderId="29" xfId="0" applyBorder="1"/>
    <xf numFmtId="0" fontId="19" fillId="9" borderId="39" xfId="0" applyFont="1" applyFill="1" applyBorder="1"/>
    <xf numFmtId="14" fontId="0" fillId="0" borderId="0" xfId="0" applyNumberFormat="1" applyBorder="1" applyAlignment="1">
      <alignment horizontal="center"/>
    </xf>
    <xf numFmtId="0" fontId="3" fillId="9" borderId="38" xfId="0" applyFont="1" applyFill="1" applyBorder="1"/>
    <xf numFmtId="0" fontId="2" fillId="2" borderId="18" xfId="0" applyFont="1" applyFill="1" applyBorder="1" applyAlignment="1">
      <alignment horizontal="left"/>
    </xf>
    <xf numFmtId="14" fontId="0" fillId="0" borderId="4" xfId="0" applyNumberFormat="1" applyBorder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1" fillId="2" borderId="18" xfId="0" applyFont="1" applyFill="1" applyBorder="1"/>
    <xf numFmtId="0" fontId="2" fillId="2" borderId="38" xfId="0" applyFont="1" applyFill="1" applyBorder="1"/>
    <xf numFmtId="0" fontId="2" fillId="2" borderId="39" xfId="0" applyFont="1" applyFill="1" applyBorder="1"/>
    <xf numFmtId="0" fontId="0" fillId="5" borderId="4" xfId="0" applyFill="1" applyBorder="1" applyAlignment="1">
      <alignment horizontal="center" vertical="center"/>
    </xf>
    <xf numFmtId="0" fontId="0" fillId="0" borderId="0" xfId="0" applyFont="1"/>
    <xf numFmtId="4" fontId="27" fillId="0" borderId="4" xfId="0" applyNumberFormat="1" applyFont="1" applyBorder="1" applyAlignment="1">
      <alignment horizontal="center"/>
    </xf>
    <xf numFmtId="0" fontId="18" fillId="0" borderId="4" xfId="0" applyFont="1" applyFill="1" applyBorder="1"/>
    <xf numFmtId="14" fontId="0" fillId="0" borderId="11" xfId="0" applyNumberFormat="1" applyBorder="1" applyAlignment="1">
      <alignment horizontal="center"/>
    </xf>
    <xf numFmtId="0" fontId="0" fillId="0" borderId="12" xfId="0" applyBorder="1"/>
    <xf numFmtId="1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vertical="center"/>
    </xf>
    <xf numFmtId="0" fontId="3" fillId="5" borderId="8" xfId="0" applyFont="1" applyFill="1" applyBorder="1"/>
    <xf numFmtId="0" fontId="0" fillId="0" borderId="0" xfId="0" applyFill="1" applyBorder="1"/>
    <xf numFmtId="0" fontId="21" fillId="0" borderId="4" xfId="0" applyFont="1" applyBorder="1"/>
    <xf numFmtId="16" fontId="0" fillId="0" borderId="11" xfId="0" applyNumberFormat="1" applyBorder="1" applyAlignment="1">
      <alignment horizontal="center"/>
    </xf>
    <xf numFmtId="0" fontId="0" fillId="0" borderId="12" xfId="0" applyFill="1" applyBorder="1"/>
    <xf numFmtId="0" fontId="0" fillId="0" borderId="13" xfId="0" applyBorder="1"/>
    <xf numFmtId="16" fontId="0" fillId="0" borderId="0" xfId="0" applyNumberFormat="1" applyBorder="1" applyAlignment="1">
      <alignment horizontal="center"/>
    </xf>
    <xf numFmtId="0" fontId="2" fillId="2" borderId="0" xfId="0" applyFont="1" applyFill="1" applyBorder="1"/>
    <xf numFmtId="0" fontId="0" fillId="0" borderId="4" xfId="0" applyFont="1" applyBorder="1"/>
    <xf numFmtId="14" fontId="0" fillId="0" borderId="4" xfId="0" applyNumberFormat="1" applyBorder="1" applyAlignment="1">
      <alignment horizontal="left"/>
    </xf>
    <xf numFmtId="0" fontId="19" fillId="5" borderId="41" xfId="0" applyFont="1" applyFill="1" applyBorder="1"/>
    <xf numFmtId="4" fontId="0" fillId="0" borderId="4" xfId="0" applyNumberFormat="1" applyBorder="1" applyAlignment="1">
      <alignment horizontal="center"/>
    </xf>
    <xf numFmtId="0" fontId="4" fillId="5" borderId="4" xfId="0" applyFont="1" applyFill="1" applyBorder="1"/>
    <xf numFmtId="0" fontId="18" fillId="0" borderId="4" xfId="0" applyFont="1" applyBorder="1" applyAlignment="1">
      <alignment vertical="center" wrapText="1"/>
    </xf>
    <xf numFmtId="0" fontId="0" fillId="0" borderId="8" xfId="0" applyFill="1" applyBorder="1"/>
    <xf numFmtId="0" fontId="0" fillId="5" borderId="4" xfId="0" applyFont="1" applyFill="1" applyBorder="1"/>
    <xf numFmtId="0" fontId="0" fillId="5" borderId="0" xfId="0" applyFill="1" applyBorder="1" applyAlignment="1">
      <alignment horizontal="center"/>
    </xf>
    <xf numFmtId="14" fontId="0" fillId="5" borderId="0" xfId="0" applyNumberFormat="1" applyFill="1" applyBorder="1" applyAlignment="1">
      <alignment horizontal="center"/>
    </xf>
    <xf numFmtId="0" fontId="19" fillId="5" borderId="10" xfId="0" applyFont="1" applyFill="1" applyBorder="1"/>
    <xf numFmtId="0" fontId="1" fillId="2" borderId="4" xfId="0" applyFont="1" applyFill="1" applyBorder="1" applyAlignment="1">
      <alignment horizontal="center"/>
    </xf>
    <xf numFmtId="0" fontId="0" fillId="0" borderId="45" xfId="0" applyFill="1" applyBorder="1"/>
    <xf numFmtId="14" fontId="1" fillId="10" borderId="4" xfId="0" applyNumberFormat="1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4" xfId="0" applyFont="1" applyFill="1" applyBorder="1"/>
    <xf numFmtId="0" fontId="0" fillId="10" borderId="4" xfId="0" applyFill="1" applyBorder="1" applyAlignment="1">
      <alignment horizontal="center"/>
    </xf>
    <xf numFmtId="0" fontId="0" fillId="10" borderId="4" xfId="0" applyFill="1" applyBorder="1"/>
    <xf numFmtId="0" fontId="30" fillId="5" borderId="8" xfId="0" applyFont="1" applyFill="1" applyBorder="1"/>
    <xf numFmtId="0" fontId="30" fillId="5" borderId="4" xfId="0" applyFont="1" applyFill="1" applyBorder="1"/>
    <xf numFmtId="0" fontId="30" fillId="5" borderId="22" xfId="0" applyFont="1" applyFill="1" applyBorder="1"/>
    <xf numFmtId="0" fontId="30" fillId="5" borderId="18" xfId="0" applyFont="1" applyFill="1" applyBorder="1"/>
    <xf numFmtId="0" fontId="33" fillId="0" borderId="4" xfId="0" applyFont="1" applyBorder="1"/>
    <xf numFmtId="0" fontId="30" fillId="5" borderId="10" xfId="0" applyFont="1" applyFill="1" applyBorder="1"/>
    <xf numFmtId="0" fontId="21" fillId="0" borderId="4" xfId="0" applyFont="1" applyBorder="1" applyAlignment="1">
      <alignment horizontal="center"/>
    </xf>
    <xf numFmtId="14" fontId="2" fillId="0" borderId="18" xfId="0" applyNumberFormat="1" applyFont="1" applyBorder="1" applyAlignment="1">
      <alignment horizontal="left"/>
    </xf>
    <xf numFmtId="0" fontId="19" fillId="9" borderId="44" xfId="0" applyFont="1" applyFill="1" applyBorder="1" applyAlignment="1">
      <alignment wrapText="1"/>
    </xf>
    <xf numFmtId="0" fontId="0" fillId="0" borderId="0" xfId="0" applyAlignment="1">
      <alignment horizontal="left"/>
    </xf>
    <xf numFmtId="14" fontId="2" fillId="2" borderId="18" xfId="0" applyNumberFormat="1" applyFont="1" applyFill="1" applyBorder="1" applyAlignment="1">
      <alignment horizontal="left"/>
    </xf>
    <xf numFmtId="0" fontId="30" fillId="2" borderId="18" xfId="0" applyFont="1" applyFill="1" applyBorder="1"/>
    <xf numFmtId="0" fontId="7" fillId="8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0" fillId="2" borderId="22" xfId="0" applyFont="1" applyFill="1" applyBorder="1"/>
    <xf numFmtId="0" fontId="1" fillId="0" borderId="4" xfId="0" applyFont="1" applyFill="1" applyBorder="1"/>
    <xf numFmtId="8" fontId="30" fillId="2" borderId="22" xfId="0" applyNumberFormat="1" applyFont="1" applyFill="1" applyBorder="1" applyAlignment="1">
      <alignment horizontal="left"/>
    </xf>
    <xf numFmtId="14" fontId="2" fillId="2" borderId="21" xfId="0" applyNumberFormat="1" applyFont="1" applyFill="1" applyBorder="1" applyAlignment="1">
      <alignment horizontal="left"/>
    </xf>
    <xf numFmtId="8" fontId="30" fillId="2" borderId="18" xfId="0" applyNumberFormat="1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8" fontId="30" fillId="5" borderId="4" xfId="0" applyNumberFormat="1" applyFont="1" applyFill="1" applyBorder="1" applyAlignment="1">
      <alignment horizontal="left"/>
    </xf>
    <xf numFmtId="8" fontId="30" fillId="5" borderId="10" xfId="0" applyNumberFormat="1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30" fillId="9" borderId="40" xfId="0" applyFont="1" applyFill="1" applyBorder="1"/>
    <xf numFmtId="0" fontId="8" fillId="0" borderId="0" xfId="0" applyFont="1" applyAlignment="1">
      <alignment horizontal="center"/>
    </xf>
    <xf numFmtId="0" fontId="0" fillId="0" borderId="29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0" fontId="1" fillId="2" borderId="4" xfId="0" applyFont="1" applyFill="1" applyBorder="1"/>
    <xf numFmtId="8" fontId="30" fillId="2" borderId="3" xfId="0" applyNumberFormat="1" applyFont="1" applyFill="1" applyBorder="1" applyAlignment="1">
      <alignment horizontal="left"/>
    </xf>
    <xf numFmtId="0" fontId="0" fillId="2" borderId="2" xfId="0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7" fontId="2" fillId="4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8" fillId="2" borderId="25" xfId="0" applyFont="1" applyFill="1" applyBorder="1" applyAlignment="1">
      <alignment horizontal="center"/>
    </xf>
    <xf numFmtId="0" fontId="28" fillId="2" borderId="20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Border="1" applyAlignment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9" fillId="9" borderId="22" xfId="0" applyFont="1" applyFill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8" fontId="19" fillId="9" borderId="8" xfId="0" applyNumberFormat="1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0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8" fontId="19" fillId="9" borderId="18" xfId="0" applyNumberFormat="1" applyFont="1" applyFill="1" applyBorder="1" applyAlignment="1">
      <alignment horizontal="left"/>
    </xf>
    <xf numFmtId="0" fontId="28" fillId="0" borderId="18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8" fontId="19" fillId="9" borderId="22" xfId="0" applyNumberFormat="1" applyFont="1" applyFill="1" applyBorder="1" applyAlignment="1">
      <alignment horizontal="left"/>
    </xf>
    <xf numFmtId="4" fontId="0" fillId="2" borderId="18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8" fontId="19" fillId="5" borderId="4" xfId="0" applyNumberFormat="1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" fillId="5" borderId="4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8" fontId="19" fillId="2" borderId="18" xfId="0" applyNumberFormat="1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2" fillId="2" borderId="22" xfId="0" applyNumberFormat="1" applyFont="1" applyFill="1" applyBorder="1" applyAlignment="1">
      <alignment horizontal="left"/>
    </xf>
    <xf numFmtId="8" fontId="19" fillId="2" borderId="21" xfId="0" applyNumberFormat="1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8" fontId="19" fillId="2" borderId="42" xfId="0" applyNumberFormat="1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8" fontId="19" fillId="2" borderId="22" xfId="0" applyNumberFormat="1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9" fillId="0" borderId="0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" fontId="18" fillId="0" borderId="4" xfId="0" applyNumberFormat="1" applyFont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4" fillId="0" borderId="4" xfId="0" applyFont="1" applyFill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8" fontId="19" fillId="5" borderId="10" xfId="0" applyNumberFormat="1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4" fontId="32" fillId="0" borderId="4" xfId="0" applyNumberFormat="1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9" fillId="9" borderId="18" xfId="0" applyFont="1" applyFill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164" fontId="5" fillId="11" borderId="6" xfId="0" applyNumberFormat="1" applyFont="1" applyFill="1" applyBorder="1" applyAlignment="1">
      <alignment horizontal="center"/>
    </xf>
    <xf numFmtId="0" fontId="7" fillId="8" borderId="21" xfId="0" applyFont="1" applyFill="1" applyBorder="1" applyAlignment="1">
      <alignment horizontal="center"/>
    </xf>
    <xf numFmtId="0" fontId="7" fillId="8" borderId="22" xfId="0" applyFont="1" applyFill="1" applyBorder="1" applyAlignment="1">
      <alignment horizontal="center"/>
    </xf>
    <xf numFmtId="164" fontId="10" fillId="0" borderId="0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1" fillId="5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" fillId="5" borderId="4" xfId="0" applyFont="1" applyFill="1" applyBorder="1" applyAlignment="1">
      <alignment horizontal="left"/>
    </xf>
    <xf numFmtId="0" fontId="0" fillId="2" borderId="3" xfId="0" applyFill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5" fillId="11" borderId="7" xfId="0" applyFont="1" applyFill="1" applyBorder="1" applyAlignment="1">
      <alignment horizontal="center"/>
    </xf>
    <xf numFmtId="0" fontId="7" fillId="8" borderId="4" xfId="0" applyFont="1" applyFill="1" applyBorder="1"/>
    <xf numFmtId="0" fontId="7" fillId="8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7" fillId="5" borderId="4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7" fillId="8" borderId="28" xfId="0" applyFont="1" applyFill="1" applyBorder="1"/>
    <xf numFmtId="0" fontId="7" fillId="8" borderId="43" xfId="0" applyFont="1" applyFill="1" applyBorder="1" applyAlignment="1">
      <alignment horizontal="center"/>
    </xf>
    <xf numFmtId="0" fontId="7" fillId="8" borderId="31" xfId="0" applyFont="1" applyFill="1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0" fillId="9" borderId="44" xfId="0" applyFont="1" applyFill="1" applyBorder="1" applyAlignment="1">
      <alignment wrapText="1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28" fillId="2" borderId="4" xfId="0" applyNumberFormat="1" applyFont="1" applyFill="1" applyBorder="1" applyAlignment="1">
      <alignment horizontal="center"/>
    </xf>
    <xf numFmtId="0" fontId="28" fillId="2" borderId="4" xfId="0" applyFont="1" applyFill="1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" fillId="5" borderId="4" xfId="0" applyFont="1" applyFill="1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8" fillId="0" borderId="4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14" borderId="4" xfId="0" applyNumberForma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6" fontId="2" fillId="5" borderId="23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6" fontId="2" fillId="0" borderId="24" xfId="0" applyNumberFormat="1" applyFont="1" applyBorder="1" applyAlignment="1">
      <alignment horizontal="center"/>
    </xf>
    <xf numFmtId="16" fontId="2" fillId="5" borderId="48" xfId="0" applyNumberFormat="1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16" fontId="2" fillId="0" borderId="4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2" fillId="0" borderId="55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" fontId="2" fillId="5" borderId="55" xfId="0" applyNumberFormat="1" applyFont="1" applyFill="1" applyBorder="1" applyAlignment="1">
      <alignment horizontal="center"/>
    </xf>
    <xf numFmtId="0" fontId="2" fillId="5" borderId="54" xfId="0" applyFont="1" applyFill="1" applyBorder="1" applyAlignment="1">
      <alignment horizontal="center"/>
    </xf>
    <xf numFmtId="0" fontId="0" fillId="5" borderId="60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16" fontId="2" fillId="0" borderId="60" xfId="0" applyNumberFormat="1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" fontId="2" fillId="5" borderId="33" xfId="0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left"/>
    </xf>
    <xf numFmtId="0" fontId="2" fillId="5" borderId="3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" fontId="2" fillId="5" borderId="4" xfId="0" applyNumberFormat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9" fillId="0" borderId="30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8" fillId="0" borderId="0" xfId="0" applyFont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9" fillId="0" borderId="45" xfId="1" applyNumberFormat="1" applyFont="1" applyBorder="1" applyAlignment="1">
      <alignment horizontal="center"/>
    </xf>
    <xf numFmtId="14" fontId="9" fillId="0" borderId="32" xfId="1" applyNumberFormat="1" applyFont="1" applyBorder="1" applyAlignment="1">
      <alignment horizontal="center"/>
    </xf>
    <xf numFmtId="16" fontId="2" fillId="0" borderId="60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" fontId="2" fillId="5" borderId="60" xfId="0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left"/>
    </xf>
    <xf numFmtId="0" fontId="2" fillId="5" borderId="57" xfId="0" applyFont="1" applyFill="1" applyBorder="1" applyAlignment="1">
      <alignment horizontal="center"/>
    </xf>
    <xf numFmtId="16" fontId="3" fillId="5" borderId="60" xfId="0" applyNumberFormat="1" applyFont="1" applyFill="1" applyBorder="1" applyAlignment="1">
      <alignment horizontal="center"/>
    </xf>
    <xf numFmtId="0" fontId="3" fillId="5" borderId="8" xfId="0" applyFont="1" applyFill="1" applyBorder="1" applyAlignment="1">
      <alignment horizontal="left"/>
    </xf>
    <xf numFmtId="0" fontId="0" fillId="5" borderId="8" xfId="0" applyFont="1" applyFill="1" applyBorder="1" applyAlignment="1">
      <alignment horizontal="center"/>
    </xf>
    <xf numFmtId="16" fontId="2" fillId="5" borderId="61" xfId="0" applyNumberFormat="1" applyFont="1" applyFill="1" applyBorder="1" applyAlignment="1">
      <alignment horizontal="center"/>
    </xf>
    <xf numFmtId="0" fontId="2" fillId="5" borderId="45" xfId="0" applyFont="1" applyFill="1" applyBorder="1" applyAlignment="1">
      <alignment horizontal="left"/>
    </xf>
    <xf numFmtId="0" fontId="0" fillId="0" borderId="45" xfId="0" applyBorder="1" applyAlignment="1">
      <alignment horizontal="center"/>
    </xf>
    <xf numFmtId="0" fontId="2" fillId="5" borderId="59" xfId="0" applyFont="1" applyFill="1" applyBorder="1" applyAlignment="1">
      <alignment horizontal="center"/>
    </xf>
    <xf numFmtId="16" fontId="2" fillId="5" borderId="4" xfId="0" applyNumberFormat="1" applyFont="1" applyFill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2" fillId="0" borderId="0" xfId="0" applyFont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44" fontId="7" fillId="8" borderId="18" xfId="3" applyFont="1" applyFill="1" applyBorder="1" applyAlignment="1">
      <alignment horizontal="center"/>
    </xf>
    <xf numFmtId="0" fontId="7" fillId="8" borderId="46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7" fillId="8" borderId="24" xfId="0" applyFont="1" applyFill="1" applyBorder="1"/>
    <xf numFmtId="0" fontId="7" fillId="8" borderId="26" xfId="0" applyFont="1" applyFill="1" applyBorder="1" applyAlignment="1">
      <alignment horizontal="center"/>
    </xf>
    <xf numFmtId="164" fontId="7" fillId="0" borderId="54" xfId="1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left"/>
    </xf>
    <xf numFmtId="0" fontId="41" fillId="0" borderId="0" xfId="0" applyFont="1" applyAlignment="1">
      <alignment horizontal="center" vertical="center"/>
    </xf>
    <xf numFmtId="0" fontId="21" fillId="0" borderId="10" xfId="0" applyFont="1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0" xfId="0" applyNumberFormat="1" applyAlignment="1">
      <alignment horizontal="left"/>
    </xf>
    <xf numFmtId="0" fontId="0" fillId="0" borderId="36" xfId="0" applyBorder="1" applyAlignment="1">
      <alignment horizontal="center"/>
    </xf>
    <xf numFmtId="0" fontId="0" fillId="0" borderId="19" xfId="0" applyBorder="1" applyAlignment="1">
      <alignment horizontal="center"/>
    </xf>
    <xf numFmtId="16" fontId="2" fillId="5" borderId="22" xfId="0" applyNumberFormat="1" applyFont="1" applyFill="1" applyBorder="1" applyAlignment="1">
      <alignment horizontal="center"/>
    </xf>
    <xf numFmtId="16" fontId="2" fillId="5" borderId="21" xfId="0" applyNumberFormat="1" applyFont="1" applyFill="1" applyBorder="1" applyAlignment="1">
      <alignment horizontal="center"/>
    </xf>
    <xf numFmtId="16" fontId="2" fillId="5" borderId="42" xfId="0" applyNumberFormat="1" applyFont="1" applyFill="1" applyBorder="1" applyAlignment="1">
      <alignment horizontal="center" vertical="center"/>
    </xf>
    <xf numFmtId="0" fontId="0" fillId="5" borderId="36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2" fillId="0" borderId="22" xfId="0" applyNumberFormat="1" applyFont="1" applyBorder="1" applyAlignment="1">
      <alignment horizontal="center"/>
    </xf>
    <xf numFmtId="16" fontId="2" fillId="0" borderId="21" xfId="0" applyNumberFormat="1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8" fillId="0" borderId="8" xfId="0" applyFont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2" fillId="2" borderId="38" xfId="0" applyNumberFormat="1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50" xfId="0" applyFont="1" applyFill="1" applyBorder="1" applyAlignment="1">
      <alignment horizontal="center"/>
    </xf>
    <xf numFmtId="16" fontId="2" fillId="0" borderId="0" xfId="0" applyNumberFormat="1" applyFont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16" fontId="2" fillId="5" borderId="45" xfId="0" applyNumberFormat="1" applyFont="1" applyFill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2" fillId="2" borderId="4" xfId="0" applyNumberFormat="1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4" fillId="5" borderId="4" xfId="0" applyNumberFormat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4" xfId="2" applyFont="1" applyBorder="1"/>
    <xf numFmtId="0" fontId="11" fillId="8" borderId="4" xfId="2" applyFont="1" applyFill="1" applyBorder="1" applyAlignment="1">
      <alignment horizontal="center"/>
    </xf>
    <xf numFmtId="165" fontId="11" fillId="0" borderId="4" xfId="2" applyNumberFormat="1" applyFont="1" applyFill="1" applyBorder="1" applyAlignment="1">
      <alignment horizontal="left"/>
    </xf>
    <xf numFmtId="0" fontId="12" fillId="0" borderId="4" xfId="2" applyFont="1" applyBorder="1"/>
    <xf numFmtId="14" fontId="14" fillId="0" borderId="4" xfId="2" applyNumberFormat="1" applyFont="1" applyBorder="1" applyAlignment="1">
      <alignment horizontal="center"/>
    </xf>
    <xf numFmtId="0" fontId="6" fillId="0" borderId="4" xfId="2" applyFont="1" applyBorder="1" applyAlignment="1">
      <alignment horizontal="left"/>
    </xf>
    <xf numFmtId="164" fontId="6" fillId="0" borderId="4" xfId="2" applyNumberFormat="1" applyFont="1" applyFill="1" applyBorder="1" applyAlignment="1">
      <alignment horizontal="center"/>
    </xf>
    <xf numFmtId="6" fontId="11" fillId="0" borderId="4" xfId="2" applyNumberFormat="1" applyFont="1" applyFill="1" applyBorder="1" applyAlignment="1">
      <alignment horizontal="left"/>
    </xf>
    <xf numFmtId="14" fontId="14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6" fillId="0" borderId="4" xfId="1" applyNumberFormat="1" applyFont="1" applyBorder="1" applyAlignment="1">
      <alignment horizontal="center"/>
    </xf>
    <xf numFmtId="0" fontId="6" fillId="0" borderId="4" xfId="2" applyFont="1" applyFill="1" applyBorder="1" applyAlignment="1">
      <alignment horizontal="left"/>
    </xf>
    <xf numFmtId="0" fontId="13" fillId="8" borderId="4" xfId="2" applyFont="1" applyFill="1" applyBorder="1" applyAlignment="1">
      <alignment horizontal="center"/>
    </xf>
    <xf numFmtId="164" fontId="13" fillId="0" borderId="4" xfId="2" applyNumberFormat="1" applyFont="1" applyFill="1" applyBorder="1" applyAlignment="1">
      <alignment horizontal="left"/>
    </xf>
    <xf numFmtId="0" fontId="15" fillId="0" borderId="4" xfId="2" applyFont="1" applyFill="1" applyBorder="1" applyAlignment="1">
      <alignment horizontal="left"/>
    </xf>
    <xf numFmtId="0" fontId="13" fillId="0" borderId="0" xfId="2" applyFont="1" applyBorder="1" applyAlignment="1">
      <alignment horizontal="center"/>
    </xf>
    <xf numFmtId="0" fontId="6" fillId="0" borderId="0" xfId="2" applyFont="1" applyFill="1" applyBorder="1" applyAlignment="1">
      <alignment horizontal="left"/>
    </xf>
    <xf numFmtId="0" fontId="6" fillId="0" borderId="0" xfId="2" applyFont="1" applyFill="1" applyBorder="1"/>
    <xf numFmtId="0" fontId="16" fillId="0" borderId="0" xfId="0" applyFont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3" fontId="18" fillId="0" borderId="4" xfId="0" applyNumberFormat="1" applyFont="1" applyBorder="1" applyAlignment="1">
      <alignment horizontal="left"/>
    </xf>
    <xf numFmtId="14" fontId="9" fillId="0" borderId="4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165" fontId="11" fillId="0" borderId="13" xfId="2" applyNumberFormat="1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5" borderId="4" xfId="0" applyNumberFormat="1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" fontId="2" fillId="5" borderId="10" xfId="0" applyNumberFormat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16" fontId="2" fillId="5" borderId="8" xfId="0" applyNumberFormat="1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13" borderId="67" xfId="0" applyFont="1" applyFill="1" applyBorder="1" applyAlignment="1">
      <alignment horizontal="left"/>
    </xf>
    <xf numFmtId="0" fontId="0" fillId="13" borderId="3" xfId="0" applyFill="1" applyBorder="1" applyAlignment="1">
      <alignment horizontal="center"/>
    </xf>
    <xf numFmtId="0" fontId="2" fillId="13" borderId="18" xfId="0" applyFont="1" applyFill="1" applyBorder="1" applyAlignment="1">
      <alignment horizontal="center"/>
    </xf>
    <xf numFmtId="14" fontId="2" fillId="2" borderId="44" xfId="0" applyNumberFormat="1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2" fillId="5" borderId="1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" fontId="2" fillId="11" borderId="13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39" fillId="0" borderId="8" xfId="0" applyFont="1" applyBorder="1" applyAlignment="1">
      <alignment horizontal="center" vertical="center"/>
    </xf>
    <xf numFmtId="16" fontId="0" fillId="5" borderId="8" xfId="0" applyNumberFormat="1" applyFont="1" applyFill="1" applyBorder="1" applyAlignment="1">
      <alignment horizontal="center"/>
    </xf>
    <xf numFmtId="0" fontId="39" fillId="0" borderId="10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left"/>
    </xf>
    <xf numFmtId="0" fontId="0" fillId="5" borderId="10" xfId="0" applyFont="1" applyFill="1" applyBorder="1" applyAlignment="1">
      <alignment horizontal="center"/>
    </xf>
    <xf numFmtId="16" fontId="0" fillId="5" borderId="10" xfId="0" applyNumberFormat="1" applyFont="1" applyFill="1" applyBorder="1" applyAlignment="1">
      <alignment horizontal="center"/>
    </xf>
    <xf numFmtId="0" fontId="0" fillId="5" borderId="54" xfId="0" applyFill="1" applyBorder="1" applyAlignment="1">
      <alignment horizontal="center" vertical="center"/>
    </xf>
    <xf numFmtId="0" fontId="2" fillId="11" borderId="54" xfId="0" applyFont="1" applyFill="1" applyBorder="1" applyAlignment="1">
      <alignment horizontal="center" vertical="center"/>
    </xf>
    <xf numFmtId="16" fontId="2" fillId="11" borderId="68" xfId="0" applyNumberFormat="1" applyFont="1" applyFill="1" applyBorder="1" applyAlignment="1">
      <alignment horizontal="center"/>
    </xf>
    <xf numFmtId="0" fontId="0" fillId="5" borderId="54" xfId="0" applyFont="1" applyFill="1" applyBorder="1" applyAlignment="1">
      <alignment horizontal="center" vertical="center"/>
    </xf>
    <xf numFmtId="16" fontId="2" fillId="11" borderId="62" xfId="0" applyNumberFormat="1" applyFont="1" applyFill="1" applyBorder="1" applyAlignment="1">
      <alignment horizontal="center"/>
    </xf>
    <xf numFmtId="16" fontId="2" fillId="11" borderId="69" xfId="0" applyNumberFormat="1" applyFont="1" applyFill="1" applyBorder="1" applyAlignment="1">
      <alignment horizontal="center"/>
    </xf>
    <xf numFmtId="0" fontId="2" fillId="11" borderId="50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30" fillId="0" borderId="4" xfId="0" applyFont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Alignment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5" fontId="11" fillId="0" borderId="4" xfId="2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" fontId="2" fillId="5" borderId="13" xfId="0" applyNumberFormat="1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28" fillId="5" borderId="4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28" fillId="5" borderId="17" xfId="0" applyFont="1" applyFill="1" applyBorder="1" applyAlignment="1">
      <alignment horizontal="center"/>
    </xf>
    <xf numFmtId="0" fontId="28" fillId="5" borderId="11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9" fillId="9" borderId="21" xfId="0" applyFont="1" applyFill="1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2" fillId="5" borderId="46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4" applyFont="1" applyBorder="1" applyAlignment="1">
      <alignment horizontal="center"/>
    </xf>
    <xf numFmtId="3" fontId="40" fillId="0" borderId="0" xfId="0" applyNumberFormat="1" applyFont="1" applyAlignment="1">
      <alignment horizontal="center"/>
    </xf>
    <xf numFmtId="3" fontId="40" fillId="0" borderId="4" xfId="0" applyNumberFormat="1" applyFont="1" applyBorder="1" applyAlignment="1">
      <alignment horizontal="center"/>
    </xf>
    <xf numFmtId="0" fontId="3" fillId="2" borderId="67" xfId="0" applyFont="1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21" fillId="5" borderId="1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18" xfId="0" applyFont="1" applyBorder="1"/>
    <xf numFmtId="0" fontId="28" fillId="0" borderId="0" xfId="0" applyFont="1" applyBorder="1" applyAlignment="1">
      <alignment horizontal="center"/>
    </xf>
    <xf numFmtId="0" fontId="0" fillId="0" borderId="4" xfId="0" applyFont="1" applyFill="1" applyBorder="1" applyAlignment="1">
      <alignment horizontal="left"/>
    </xf>
    <xf numFmtId="16" fontId="2" fillId="17" borderId="68" xfId="0" applyNumberFormat="1" applyFont="1" applyFill="1" applyBorder="1" applyAlignment="1">
      <alignment horizontal="center"/>
    </xf>
    <xf numFmtId="16" fontId="2" fillId="17" borderId="13" xfId="0" applyNumberFormat="1" applyFont="1" applyFill="1" applyBorder="1" applyAlignment="1">
      <alignment horizontal="center"/>
    </xf>
    <xf numFmtId="0" fontId="2" fillId="17" borderId="5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" fontId="2" fillId="5" borderId="13" xfId="0" applyNumberFormat="1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" fontId="23" fillId="0" borderId="0" xfId="0" applyNumberFormat="1" applyFont="1" applyAlignment="1">
      <alignment horizontal="center"/>
    </xf>
    <xf numFmtId="4" fontId="24" fillId="0" borderId="4" xfId="0" applyNumberFormat="1" applyFont="1" applyBorder="1" applyAlignment="1">
      <alignment horizontal="center"/>
    </xf>
    <xf numFmtId="4" fontId="29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4" fontId="35" fillId="0" borderId="0" xfId="0" applyNumberFormat="1" applyFont="1" applyAlignment="1">
      <alignment horizontal="center"/>
    </xf>
    <xf numFmtId="0" fontId="36" fillId="5" borderId="4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0" fontId="43" fillId="15" borderId="4" xfId="0" applyFont="1" applyFill="1" applyBorder="1" applyAlignment="1">
      <alignment horizontal="center" vertical="center" wrapText="1"/>
    </xf>
    <xf numFmtId="0" fontId="37" fillId="1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2" fillId="5" borderId="68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2" fillId="2" borderId="4" xfId="0" applyNumberFormat="1" applyFont="1" applyFill="1" applyBorder="1" applyAlignment="1">
      <alignment horizontal="center"/>
    </xf>
    <xf numFmtId="16" fontId="2" fillId="2" borderId="4" xfId="0" applyNumberFormat="1" applyFont="1" applyFill="1" applyBorder="1" applyAlignment="1">
      <alignment horizontal="left"/>
    </xf>
    <xf numFmtId="0" fontId="0" fillId="2" borderId="4" xfId="0" applyFont="1" applyFill="1" applyBorder="1" applyAlignment="1">
      <alignment horizontal="center"/>
    </xf>
    <xf numFmtId="0" fontId="30" fillId="2" borderId="11" xfId="0" applyFont="1" applyFill="1" applyBorder="1" applyAlignment="1">
      <alignment horizontal="center"/>
    </xf>
    <xf numFmtId="16" fontId="2" fillId="2" borderId="13" xfId="0" applyNumberFormat="1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14" fontId="0" fillId="5" borderId="12" xfId="0" applyNumberFormat="1" applyFill="1" applyBorder="1" applyAlignment="1">
      <alignment horizontal="center"/>
    </xf>
    <xf numFmtId="14" fontId="0" fillId="5" borderId="13" xfId="0" applyNumberForma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5" borderId="51" xfId="0" applyFont="1" applyFill="1" applyBorder="1" applyAlignment="1">
      <alignment horizontal="center"/>
    </xf>
    <xf numFmtId="0" fontId="2" fillId="5" borderId="52" xfId="0" applyFont="1" applyFill="1" applyBorder="1" applyAlignment="1">
      <alignment horizontal="center"/>
    </xf>
    <xf numFmtId="0" fontId="2" fillId="5" borderId="5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5" borderId="65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5" borderId="66" xfId="0" applyFont="1" applyFill="1" applyBorder="1" applyAlignment="1">
      <alignment horizontal="center"/>
    </xf>
    <xf numFmtId="0" fontId="2" fillId="12" borderId="58" xfId="0" applyFont="1" applyFill="1" applyBorder="1" applyAlignment="1">
      <alignment horizontal="center"/>
    </xf>
    <xf numFmtId="0" fontId="2" fillId="12" borderId="27" xfId="0" applyFont="1" applyFill="1" applyBorder="1" applyAlignment="1">
      <alignment horizontal="center"/>
    </xf>
    <xf numFmtId="0" fontId="2" fillId="12" borderId="56" xfId="0" applyFont="1" applyFill="1" applyBorder="1" applyAlignment="1">
      <alignment horizontal="center"/>
    </xf>
    <xf numFmtId="17" fontId="28" fillId="0" borderId="4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" fontId="28" fillId="5" borderId="57" xfId="0" applyNumberFormat="1" applyFont="1" applyFill="1" applyBorder="1" applyAlignment="1">
      <alignment horizontal="center" vertical="center"/>
    </xf>
    <xf numFmtId="16" fontId="28" fillId="5" borderId="59" xfId="0" applyNumberFormat="1" applyFont="1" applyFill="1" applyBorder="1" applyAlignment="1">
      <alignment horizontal="center" vertical="center"/>
    </xf>
    <xf numFmtId="16" fontId="28" fillId="5" borderId="34" xfId="0" applyNumberFormat="1" applyFont="1" applyFill="1" applyBorder="1" applyAlignment="1">
      <alignment horizontal="center" vertical="center"/>
    </xf>
    <xf numFmtId="0" fontId="0" fillId="5" borderId="60" xfId="0" applyFont="1" applyFill="1" applyBorder="1" applyAlignment="1">
      <alignment horizontal="center" vertical="center"/>
    </xf>
    <xf numFmtId="0" fontId="0" fillId="5" borderId="61" xfId="0" applyFont="1" applyFill="1" applyBorder="1" applyAlignment="1">
      <alignment horizontal="center" vertical="center"/>
    </xf>
    <xf numFmtId="0" fontId="0" fillId="5" borderId="33" xfId="0" applyFont="1" applyFill="1" applyBorder="1" applyAlignment="1">
      <alignment horizontal="center" vertical="center"/>
    </xf>
    <xf numFmtId="17" fontId="28" fillId="0" borderId="17" xfId="0" applyNumberFormat="1" applyFont="1" applyBorder="1" applyAlignment="1">
      <alignment horizontal="center" vertical="center"/>
    </xf>
    <xf numFmtId="17" fontId="28" fillId="0" borderId="56" xfId="0" applyNumberFormat="1" applyFont="1" applyBorder="1" applyAlignment="1">
      <alignment horizontal="center" vertical="center"/>
    </xf>
    <xf numFmtId="0" fontId="45" fillId="16" borderId="1" xfId="0" applyFont="1" applyFill="1" applyBorder="1" applyAlignment="1">
      <alignment horizontal="center" vertical="center" wrapText="1"/>
    </xf>
    <xf numFmtId="0" fontId="45" fillId="16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7" xfId="0" applyFont="1" applyFill="1" applyBorder="1" applyAlignment="1">
      <alignment horizontal="center"/>
    </xf>
    <xf numFmtId="16" fontId="2" fillId="5" borderId="42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" fontId="2" fillId="5" borderId="35" xfId="0" applyNumberFormat="1" applyFont="1" applyFill="1" applyBorder="1" applyAlignment="1">
      <alignment horizontal="center" vertical="center"/>
    </xf>
    <xf numFmtId="16" fontId="2" fillId="5" borderId="46" xfId="0" applyNumberFormat="1" applyFont="1" applyFill="1" applyBorder="1" applyAlignment="1">
      <alignment horizontal="center" vertical="center"/>
    </xf>
    <xf numFmtId="16" fontId="2" fillId="5" borderId="25" xfId="0" applyNumberFormat="1" applyFont="1" applyFill="1" applyBorder="1" applyAlignment="1">
      <alignment horizontal="center" vertical="center"/>
    </xf>
    <xf numFmtId="16" fontId="2" fillId="5" borderId="2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" fontId="2" fillId="11" borderId="68" xfId="0" applyNumberFormat="1" applyFont="1" applyFill="1" applyBorder="1" applyAlignment="1">
      <alignment horizontal="left"/>
    </xf>
    <xf numFmtId="16" fontId="2" fillId="11" borderId="13" xfId="0" applyNumberFormat="1" applyFont="1" applyFill="1" applyBorder="1" applyAlignment="1">
      <alignment horizontal="left"/>
    </xf>
    <xf numFmtId="0" fontId="7" fillId="7" borderId="1" xfId="1" applyFont="1" applyFill="1" applyBorder="1" applyAlignment="1">
      <alignment horizontal="center"/>
    </xf>
    <xf numFmtId="0" fontId="7" fillId="7" borderId="2" xfId="1" applyFont="1" applyFill="1" applyBorder="1" applyAlignment="1">
      <alignment horizontal="center"/>
    </xf>
    <xf numFmtId="0" fontId="7" fillId="7" borderId="3" xfId="1" applyFont="1" applyFill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17" fontId="5" fillId="0" borderId="2" xfId="0" applyNumberFormat="1" applyFont="1" applyBorder="1" applyAlignment="1">
      <alignment horizontal="center"/>
    </xf>
    <xf numFmtId="17" fontId="5" fillId="0" borderId="3" xfId="0" applyNumberFormat="1" applyFont="1" applyBorder="1" applyAlignment="1">
      <alignment horizontal="center"/>
    </xf>
    <xf numFmtId="14" fontId="9" fillId="0" borderId="1" xfId="1" applyNumberFormat="1" applyFont="1" applyBorder="1" applyAlignment="1">
      <alignment horizontal="center"/>
    </xf>
    <xf numFmtId="14" fontId="9" fillId="0" borderId="2" xfId="1" applyNumberFormat="1" applyFont="1" applyBorder="1" applyAlignment="1">
      <alignment horizontal="center"/>
    </xf>
    <xf numFmtId="14" fontId="9" fillId="0" borderId="3" xfId="1" applyNumberFormat="1" applyFont="1" applyBorder="1" applyAlignment="1">
      <alignment horizontal="center"/>
    </xf>
    <xf numFmtId="14" fontId="9" fillId="0" borderId="62" xfId="1" applyNumberFormat="1" applyFont="1" applyBorder="1" applyAlignment="1">
      <alignment horizontal="center"/>
    </xf>
    <xf numFmtId="14" fontId="9" fillId="0" borderId="63" xfId="1" applyNumberFormat="1" applyFont="1" applyBorder="1" applyAlignment="1">
      <alignment horizontal="center"/>
    </xf>
    <xf numFmtId="14" fontId="9" fillId="0" borderId="64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7" fillId="7" borderId="4" xfId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</cellXfs>
  <cellStyles count="5">
    <cellStyle name="Millares" xfId="4" builtinId="3"/>
    <cellStyle name="Moneda" xfId="3" builtinId="4"/>
    <cellStyle name="Normal" xfId="0" builtinId="0"/>
    <cellStyle name="Normal 2 2" xfId="1" xr:uid="{00000000-0005-0000-0000-000002000000}"/>
    <cellStyle name="Normal 4" xfId="2" xr:uid="{00000000-0005-0000-0000-000003000000}"/>
  </cellStyles>
  <dxfs count="7">
    <dxf>
      <font>
        <b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91</xdr:row>
          <xdr:rowOff>76200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91</xdr:row>
          <xdr:rowOff>76200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9B0B28-B03E-4289-9A24-39CFBF495112}" name="Tabla2" displayName="Tabla2" ref="A4:E53" totalsRowShown="0" headerRowDxfId="6" headerRowBorderDxfId="5" tableBorderDxfId="4">
  <autoFilter ref="A4:E53" xr:uid="{649B0B28-B03E-4289-9A24-39CFBF495112}">
    <filterColumn colId="0">
      <filters>
        <filter val="DIC"/>
        <dateGroupItem year="2025" month="12" dateTimeGrouping="month"/>
      </filters>
    </filterColumn>
  </autoFilter>
  <sortState xmlns:xlrd2="http://schemas.microsoft.com/office/spreadsheetml/2017/richdata2" ref="A10:D53">
    <sortCondition ref="A4:A53"/>
  </sortState>
  <tableColumns count="5">
    <tableColumn id="1" xr3:uid="{033D0DEA-5CE2-4B9E-80F8-2E0B1F38DF86}" name="Columna1" dataDxfId="3"/>
    <tableColumn id="2" xr3:uid="{9EDBB5E7-E3BC-4CDC-BC48-087C5663AF61}" name="Items" dataDxfId="2"/>
    <tableColumn id="3" xr3:uid="{4B5B1A8E-B580-4901-B6B4-CF4F6EA26774}" name="Importe" dataDxfId="1"/>
    <tableColumn id="4" xr3:uid="{FCD0F6D2-03AB-47C0-BEFF-4E279592F442}" name="Debito" dataDxfId="0"/>
    <tableColumn id="5" xr3:uid="{D53D8B94-D3DB-4A7A-883F-2B2A2E30DB1B}" name="JM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576"/>
  <sheetViews>
    <sheetView tabSelected="1" topLeftCell="A10471" workbookViewId="0">
      <selection activeCell="H10505" sqref="H10505"/>
    </sheetView>
  </sheetViews>
  <sheetFormatPr baseColWidth="10" defaultRowHeight="15"/>
  <cols>
    <col min="1" max="1" width="11.42578125" style="247"/>
    <col min="2" max="2" width="13" style="247" hidden="1" customWidth="1"/>
    <col min="3" max="3" width="16.140625" style="247" customWidth="1"/>
    <col min="4" max="4" width="32.7109375" customWidth="1"/>
    <col min="5" max="5" width="13.28515625" style="1333" customWidth="1"/>
    <col min="6" max="6" width="15.85546875" style="1333" customWidth="1"/>
    <col min="7" max="7" width="16.28515625" style="247" customWidth="1"/>
    <col min="8" max="8" width="58.7109375" customWidth="1"/>
    <col min="9" max="9" width="14.7109375" customWidth="1"/>
  </cols>
  <sheetData>
    <row r="1" spans="1:9" ht="15.75" thickBot="1"/>
    <row r="2" spans="1:9" ht="15.75" thickBot="1">
      <c r="A2" s="231">
        <v>44562</v>
      </c>
      <c r="B2" s="232"/>
      <c r="C2" s="232"/>
      <c r="D2" s="232"/>
      <c r="E2" s="232"/>
      <c r="F2" s="232"/>
      <c r="G2" s="232"/>
      <c r="H2" s="232"/>
      <c r="I2" s="233"/>
    </row>
    <row r="3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1" t="s">
        <v>7</v>
      </c>
      <c r="I3" s="1" t="s">
        <v>8</v>
      </c>
    </row>
    <row r="4" spans="1:9">
      <c r="A4" s="2">
        <v>2</v>
      </c>
      <c r="B4" s="267"/>
      <c r="C4" s="267" t="s">
        <v>79</v>
      </c>
      <c r="D4" s="3" t="s">
        <v>95</v>
      </c>
      <c r="E4" s="1497">
        <v>4730</v>
      </c>
      <c r="F4" s="1497"/>
      <c r="G4" s="267" t="s">
        <v>27</v>
      </c>
      <c r="H4" s="3"/>
      <c r="I4" s="3"/>
    </row>
    <row r="5" spans="1:9">
      <c r="A5" s="2">
        <v>44564</v>
      </c>
      <c r="B5" s="267"/>
      <c r="C5" s="267" t="s">
        <v>79</v>
      </c>
      <c r="D5" s="3" t="s">
        <v>79</v>
      </c>
      <c r="E5" s="1497">
        <v>1600</v>
      </c>
      <c r="F5" s="1497"/>
      <c r="G5" s="267" t="s">
        <v>27</v>
      </c>
      <c r="H5" s="3"/>
      <c r="I5" s="3"/>
    </row>
    <row r="6" spans="1:9">
      <c r="A6" s="2">
        <v>44564</v>
      </c>
      <c r="B6" s="267"/>
      <c r="C6" s="267" t="s">
        <v>97</v>
      </c>
      <c r="D6" s="3" t="s">
        <v>96</v>
      </c>
      <c r="E6" s="1497">
        <v>57627</v>
      </c>
      <c r="F6" s="1497"/>
      <c r="G6" s="267"/>
      <c r="H6" s="3"/>
      <c r="I6" s="3"/>
    </row>
    <row r="7" spans="1:9">
      <c r="A7" s="2">
        <v>44565</v>
      </c>
      <c r="B7" s="267" t="s">
        <v>54</v>
      </c>
      <c r="C7" s="267" t="s">
        <v>55</v>
      </c>
      <c r="D7" s="3" t="s">
        <v>1125</v>
      </c>
      <c r="E7" s="1497">
        <v>7650</v>
      </c>
      <c r="F7" s="1497"/>
      <c r="G7" s="267" t="s">
        <v>56</v>
      </c>
      <c r="H7" s="3"/>
      <c r="I7" s="3"/>
    </row>
    <row r="8" spans="1:9">
      <c r="A8" s="2">
        <v>44565</v>
      </c>
      <c r="B8" s="267" t="s">
        <v>54</v>
      </c>
      <c r="C8" s="267" t="s">
        <v>29</v>
      </c>
      <c r="D8" s="3" t="s">
        <v>57</v>
      </c>
      <c r="E8" s="1497">
        <v>25000</v>
      </c>
      <c r="F8" s="1497"/>
      <c r="G8" s="267" t="s">
        <v>56</v>
      </c>
      <c r="H8" s="267" t="s">
        <v>58</v>
      </c>
      <c r="I8" s="3"/>
    </row>
    <row r="9" spans="1:9">
      <c r="A9" s="2">
        <v>44565</v>
      </c>
      <c r="B9" s="267" t="s">
        <v>59</v>
      </c>
      <c r="C9" s="267" t="s">
        <v>60</v>
      </c>
      <c r="D9" s="3" t="s">
        <v>61</v>
      </c>
      <c r="E9" s="1497">
        <v>760</v>
      </c>
      <c r="F9" s="1497"/>
      <c r="G9" s="267" t="s">
        <v>56</v>
      </c>
      <c r="H9" s="3"/>
      <c r="I9" s="3"/>
    </row>
    <row r="10" spans="1:9">
      <c r="A10" s="2">
        <v>44565</v>
      </c>
      <c r="B10" s="267" t="s">
        <v>54</v>
      </c>
      <c r="C10" s="267" t="s">
        <v>62</v>
      </c>
      <c r="D10" s="3" t="s">
        <v>38</v>
      </c>
      <c r="E10" s="1497">
        <v>200</v>
      </c>
      <c r="F10" s="1497"/>
      <c r="G10" s="267" t="s">
        <v>56</v>
      </c>
      <c r="H10" s="3"/>
      <c r="I10" s="3"/>
    </row>
    <row r="11" spans="1:9">
      <c r="A11" s="2">
        <v>44565</v>
      </c>
      <c r="B11" s="267" t="s">
        <v>59</v>
      </c>
      <c r="C11" s="267" t="s">
        <v>62</v>
      </c>
      <c r="D11" s="3" t="s">
        <v>63</v>
      </c>
      <c r="E11" s="1497">
        <v>300</v>
      </c>
      <c r="F11" s="1497"/>
      <c r="G11" s="267" t="s">
        <v>56</v>
      </c>
      <c r="H11" s="3"/>
      <c r="I11" s="3"/>
    </row>
    <row r="12" spans="1:9">
      <c r="A12" s="2">
        <v>44565</v>
      </c>
      <c r="B12" s="267" t="s">
        <v>54</v>
      </c>
      <c r="C12" s="11" t="s">
        <v>62</v>
      </c>
      <c r="D12" s="15" t="s">
        <v>64</v>
      </c>
      <c r="E12" s="1497">
        <v>139.38999999999999</v>
      </c>
      <c r="F12" s="1497"/>
      <c r="G12" s="267" t="s">
        <v>56</v>
      </c>
      <c r="H12" s="3"/>
      <c r="I12" s="3"/>
    </row>
    <row r="13" spans="1:9">
      <c r="A13" s="2">
        <v>44565</v>
      </c>
      <c r="B13" s="267" t="s">
        <v>59</v>
      </c>
      <c r="C13" s="11" t="s">
        <v>65</v>
      </c>
      <c r="D13" s="15" t="s">
        <v>66</v>
      </c>
      <c r="E13" s="1497">
        <v>1620</v>
      </c>
      <c r="F13" s="1497"/>
      <c r="G13" s="267" t="s">
        <v>56</v>
      </c>
      <c r="H13" s="3"/>
      <c r="I13" s="3"/>
    </row>
    <row r="14" spans="1:9">
      <c r="A14" s="2">
        <v>44565</v>
      </c>
      <c r="B14" s="267" t="s">
        <v>59</v>
      </c>
      <c r="C14" s="11" t="s">
        <v>60</v>
      </c>
      <c r="D14" s="15" t="s">
        <v>60</v>
      </c>
      <c r="E14" s="1497">
        <v>270</v>
      </c>
      <c r="F14" s="1497"/>
      <c r="G14" s="267" t="s">
        <v>56</v>
      </c>
      <c r="H14" s="3"/>
      <c r="I14" s="3"/>
    </row>
    <row r="15" spans="1:9">
      <c r="A15" s="2">
        <v>44565</v>
      </c>
      <c r="B15" s="267" t="s">
        <v>59</v>
      </c>
      <c r="C15" s="267" t="s">
        <v>55</v>
      </c>
      <c r="D15" s="15" t="s">
        <v>67</v>
      </c>
      <c r="E15" s="1497">
        <v>250</v>
      </c>
      <c r="F15" s="1497"/>
      <c r="G15" s="267" t="s">
        <v>56</v>
      </c>
      <c r="H15" s="3"/>
      <c r="I15" s="3"/>
    </row>
    <row r="16" spans="1:9">
      <c r="A16" s="2">
        <v>44565</v>
      </c>
      <c r="B16" s="267"/>
      <c r="C16" s="267" t="s">
        <v>29</v>
      </c>
      <c r="D16" s="15" t="s">
        <v>71</v>
      </c>
      <c r="E16" s="1497">
        <v>58000</v>
      </c>
      <c r="F16" s="1497"/>
      <c r="G16" s="267" t="s">
        <v>72</v>
      </c>
      <c r="H16" s="3"/>
      <c r="I16" s="3"/>
    </row>
    <row r="17" spans="1:9">
      <c r="A17" s="2">
        <v>44565</v>
      </c>
      <c r="B17" s="267">
        <v>81487</v>
      </c>
      <c r="C17" s="267" t="s">
        <v>86</v>
      </c>
      <c r="D17" s="15" t="s">
        <v>86</v>
      </c>
      <c r="E17" s="1497">
        <v>3002.58</v>
      </c>
      <c r="F17" s="1497"/>
      <c r="G17" s="267" t="s">
        <v>27</v>
      </c>
      <c r="H17" s="3"/>
      <c r="I17" s="3"/>
    </row>
    <row r="18" spans="1:9">
      <c r="A18" s="2">
        <v>44566</v>
      </c>
      <c r="B18" s="267" t="s">
        <v>59</v>
      </c>
      <c r="C18" s="267" t="s">
        <v>68</v>
      </c>
      <c r="D18" s="15" t="s">
        <v>69</v>
      </c>
      <c r="E18" s="1497">
        <v>1350</v>
      </c>
      <c r="F18" s="1497"/>
      <c r="G18" s="267" t="s">
        <v>56</v>
      </c>
      <c r="H18" s="3"/>
      <c r="I18" s="3"/>
    </row>
    <row r="19" spans="1:9">
      <c r="A19" s="2">
        <v>44566</v>
      </c>
      <c r="B19" s="267" t="s">
        <v>59</v>
      </c>
      <c r="C19" s="267" t="s">
        <v>55</v>
      </c>
      <c r="D19" s="15" t="s">
        <v>70</v>
      </c>
      <c r="E19" s="1497">
        <v>1370</v>
      </c>
      <c r="F19" s="1497"/>
      <c r="G19" s="267" t="s">
        <v>56</v>
      </c>
      <c r="H19" s="3"/>
      <c r="I19" s="3"/>
    </row>
    <row r="20" spans="1:9">
      <c r="A20" s="2">
        <v>44566</v>
      </c>
      <c r="B20" s="267"/>
      <c r="C20" s="267" t="s">
        <v>55</v>
      </c>
      <c r="D20" s="3" t="s">
        <v>57</v>
      </c>
      <c r="E20" s="1497">
        <v>22134.45</v>
      </c>
      <c r="F20" s="1497"/>
      <c r="G20" s="267" t="s">
        <v>27</v>
      </c>
      <c r="H20" s="3"/>
      <c r="I20" s="3"/>
    </row>
    <row r="21" spans="1:9">
      <c r="A21" s="2">
        <v>44566</v>
      </c>
      <c r="B21" s="267"/>
      <c r="C21" s="267" t="s">
        <v>77</v>
      </c>
      <c r="D21" s="3" t="s">
        <v>73</v>
      </c>
      <c r="E21" s="1497"/>
      <c r="F21" s="1497">
        <v>83200</v>
      </c>
      <c r="G21" s="267" t="s">
        <v>56</v>
      </c>
      <c r="H21" s="3" t="s">
        <v>74</v>
      </c>
      <c r="I21" s="3"/>
    </row>
    <row r="22" spans="1:9">
      <c r="A22" s="2">
        <v>44566</v>
      </c>
      <c r="B22" s="267">
        <v>3882</v>
      </c>
      <c r="C22" s="267" t="s">
        <v>76</v>
      </c>
      <c r="D22" s="3" t="s">
        <v>75</v>
      </c>
      <c r="E22" s="1497"/>
      <c r="F22" s="1497">
        <v>24300</v>
      </c>
      <c r="G22" s="267" t="s">
        <v>56</v>
      </c>
      <c r="H22" s="3"/>
      <c r="I22" s="3"/>
    </row>
    <row r="23" spans="1:9">
      <c r="A23" s="2">
        <v>44567</v>
      </c>
      <c r="B23" s="267"/>
      <c r="C23" s="267" t="s">
        <v>97</v>
      </c>
      <c r="D23" s="3" t="s">
        <v>98</v>
      </c>
      <c r="E23" s="1497">
        <v>63953</v>
      </c>
      <c r="F23" s="1497"/>
      <c r="G23" s="267"/>
      <c r="H23" s="3"/>
      <c r="I23" s="3"/>
    </row>
    <row r="24" spans="1:9">
      <c r="A24" s="2">
        <v>44567</v>
      </c>
      <c r="B24" s="267" t="s">
        <v>59</v>
      </c>
      <c r="C24" s="267" t="s">
        <v>79</v>
      </c>
      <c r="D24" s="3" t="s">
        <v>78</v>
      </c>
      <c r="E24" s="1497">
        <v>1500</v>
      </c>
      <c r="F24" s="1497"/>
      <c r="G24" s="267" t="s">
        <v>56</v>
      </c>
      <c r="H24" s="3"/>
      <c r="I24" s="3"/>
    </row>
    <row r="25" spans="1:9">
      <c r="A25" s="2">
        <v>44567</v>
      </c>
      <c r="B25" s="267" t="s">
        <v>54</v>
      </c>
      <c r="C25" s="267" t="s">
        <v>62</v>
      </c>
      <c r="D25" s="3" t="s">
        <v>63</v>
      </c>
      <c r="E25" s="1497">
        <v>362.64</v>
      </c>
      <c r="F25" s="1497"/>
      <c r="G25" s="267" t="s">
        <v>56</v>
      </c>
      <c r="H25" s="3"/>
      <c r="I25" s="3"/>
    </row>
    <row r="26" spans="1:9">
      <c r="A26" s="2">
        <v>44567</v>
      </c>
      <c r="B26" s="267" t="s">
        <v>59</v>
      </c>
      <c r="C26" s="267" t="s">
        <v>60</v>
      </c>
      <c r="D26" s="3" t="s">
        <v>61</v>
      </c>
      <c r="E26" s="1497">
        <v>140</v>
      </c>
      <c r="F26" s="1497"/>
      <c r="G26" s="267" t="s">
        <v>56</v>
      </c>
      <c r="H26" s="3"/>
      <c r="I26" s="3"/>
    </row>
    <row r="27" spans="1:9">
      <c r="A27" s="2">
        <v>44567</v>
      </c>
      <c r="B27" s="267" t="s">
        <v>59</v>
      </c>
      <c r="C27" s="267" t="s">
        <v>29</v>
      </c>
      <c r="D27" s="3" t="s">
        <v>80</v>
      </c>
      <c r="E27" s="1497">
        <v>2000</v>
      </c>
      <c r="F27" s="1497"/>
      <c r="G27" s="267" t="s">
        <v>56</v>
      </c>
      <c r="H27" s="3" t="s">
        <v>81</v>
      </c>
      <c r="I27" s="3"/>
    </row>
    <row r="28" spans="1:9">
      <c r="A28" s="2">
        <v>44567</v>
      </c>
      <c r="B28" s="267" t="s">
        <v>93</v>
      </c>
      <c r="C28" s="267" t="s">
        <v>94</v>
      </c>
      <c r="D28" s="3" t="s">
        <v>17</v>
      </c>
      <c r="E28" s="1497">
        <v>3500</v>
      </c>
      <c r="F28" s="1497"/>
      <c r="G28" s="267" t="s">
        <v>27</v>
      </c>
      <c r="H28" s="3"/>
      <c r="I28" s="3"/>
    </row>
    <row r="29" spans="1:9">
      <c r="A29" s="2">
        <v>44568</v>
      </c>
      <c r="B29" s="267">
        <v>933</v>
      </c>
      <c r="C29" s="267" t="s">
        <v>92</v>
      </c>
      <c r="D29" s="3" t="s">
        <v>83</v>
      </c>
      <c r="E29" s="1497"/>
      <c r="F29" s="1497">
        <v>16900</v>
      </c>
      <c r="G29" s="267" t="s">
        <v>27</v>
      </c>
      <c r="H29" s="3"/>
      <c r="I29" s="3"/>
    </row>
    <row r="30" spans="1:9">
      <c r="A30" s="2">
        <v>44568</v>
      </c>
      <c r="B30" s="267">
        <v>3883</v>
      </c>
      <c r="C30" s="267" t="s">
        <v>76</v>
      </c>
      <c r="D30" s="3" t="s">
        <v>82</v>
      </c>
      <c r="E30" s="1497"/>
      <c r="F30" s="1497">
        <v>13000</v>
      </c>
      <c r="G30" s="267" t="s">
        <v>72</v>
      </c>
      <c r="H30" s="3"/>
      <c r="I30" s="3"/>
    </row>
    <row r="31" spans="1:9">
      <c r="A31" s="2">
        <v>44568</v>
      </c>
      <c r="B31" s="267"/>
      <c r="C31" s="267" t="s">
        <v>79</v>
      </c>
      <c r="D31" s="3" t="s">
        <v>84</v>
      </c>
      <c r="E31" s="1497">
        <v>13000</v>
      </c>
      <c r="F31" s="1497"/>
      <c r="G31" s="267" t="s">
        <v>72</v>
      </c>
      <c r="H31" s="3"/>
      <c r="I31" s="3"/>
    </row>
    <row r="32" spans="1:9">
      <c r="A32" s="2">
        <v>44569</v>
      </c>
      <c r="B32" s="267"/>
      <c r="C32" s="267" t="s">
        <v>79</v>
      </c>
      <c r="D32" s="3" t="s">
        <v>84</v>
      </c>
      <c r="E32" s="1497">
        <v>5700</v>
      </c>
      <c r="F32" s="1497"/>
      <c r="G32" s="267" t="s">
        <v>72</v>
      </c>
      <c r="H32" s="3"/>
      <c r="I32" s="3"/>
    </row>
    <row r="33" spans="1:9">
      <c r="A33" s="2">
        <v>44569</v>
      </c>
      <c r="B33" s="267"/>
      <c r="C33" s="267" t="s">
        <v>87</v>
      </c>
      <c r="D33" s="3" t="s">
        <v>85</v>
      </c>
      <c r="E33" s="1497">
        <v>1300</v>
      </c>
      <c r="F33" s="1497"/>
      <c r="G33" s="267" t="s">
        <v>56</v>
      </c>
      <c r="H33" s="3"/>
      <c r="I33" s="3"/>
    </row>
    <row r="34" spans="1:9">
      <c r="A34" s="2">
        <v>44569</v>
      </c>
      <c r="B34" s="267"/>
      <c r="C34" s="267" t="s">
        <v>88</v>
      </c>
      <c r="D34" s="15" t="s">
        <v>88</v>
      </c>
      <c r="E34" s="1497">
        <v>76600</v>
      </c>
      <c r="F34" s="1497"/>
      <c r="G34" s="267" t="s">
        <v>56</v>
      </c>
      <c r="H34" s="3"/>
      <c r="I34" s="3"/>
    </row>
    <row r="35" spans="1:9">
      <c r="A35" s="2">
        <v>44569</v>
      </c>
      <c r="B35" s="267"/>
      <c r="C35" s="267" t="s">
        <v>90</v>
      </c>
      <c r="D35" s="15" t="s">
        <v>89</v>
      </c>
      <c r="E35" s="1497">
        <v>1500</v>
      </c>
      <c r="F35" s="1497"/>
      <c r="G35" s="267" t="s">
        <v>56</v>
      </c>
      <c r="H35" s="3"/>
      <c r="I35" s="3"/>
    </row>
    <row r="36" spans="1:9">
      <c r="A36" s="2">
        <v>44571</v>
      </c>
      <c r="B36" s="267"/>
      <c r="C36" s="267" t="s">
        <v>79</v>
      </c>
      <c r="D36" s="3" t="s">
        <v>79</v>
      </c>
      <c r="E36" s="1497">
        <v>810.5</v>
      </c>
      <c r="F36" s="1497"/>
      <c r="G36" s="267" t="s">
        <v>27</v>
      </c>
      <c r="H36" s="3"/>
      <c r="I36" s="3"/>
    </row>
    <row r="37" spans="1:9">
      <c r="A37" s="2">
        <v>44571</v>
      </c>
      <c r="B37" s="267" t="s">
        <v>91</v>
      </c>
      <c r="C37" s="267" t="s">
        <v>94</v>
      </c>
      <c r="D37" s="3" t="s">
        <v>14</v>
      </c>
      <c r="E37" s="1497">
        <v>3825</v>
      </c>
      <c r="F37" s="1497"/>
      <c r="G37" s="267" t="s">
        <v>56</v>
      </c>
      <c r="H37" s="3"/>
      <c r="I37" s="3"/>
    </row>
    <row r="38" spans="1:9">
      <c r="A38" s="2">
        <v>44571</v>
      </c>
      <c r="B38" s="267" t="s">
        <v>93</v>
      </c>
      <c r="C38" s="267" t="s">
        <v>94</v>
      </c>
      <c r="D38" s="15" t="s">
        <v>14</v>
      </c>
      <c r="E38" s="1497">
        <v>4225</v>
      </c>
      <c r="F38" s="1497"/>
      <c r="G38" s="267" t="s">
        <v>56</v>
      </c>
      <c r="H38" s="3"/>
      <c r="I38" s="3"/>
    </row>
    <row r="39" spans="1:9">
      <c r="A39" s="2">
        <v>44571</v>
      </c>
      <c r="B39" s="267"/>
      <c r="C39" s="267" t="s">
        <v>103</v>
      </c>
      <c r="D39" s="3" t="s">
        <v>100</v>
      </c>
      <c r="E39" s="1497">
        <v>1264.94</v>
      </c>
      <c r="F39" s="1497"/>
      <c r="G39" s="267" t="s">
        <v>56</v>
      </c>
      <c r="H39" s="3"/>
      <c r="I39" s="3"/>
    </row>
    <row r="40" spans="1:9">
      <c r="A40" s="2">
        <v>44571</v>
      </c>
      <c r="B40" s="267"/>
      <c r="C40" s="267" t="s">
        <v>103</v>
      </c>
      <c r="D40" s="3" t="s">
        <v>101</v>
      </c>
      <c r="E40" s="1497">
        <v>1965.92</v>
      </c>
      <c r="F40" s="1497"/>
      <c r="G40" s="267" t="s">
        <v>56</v>
      </c>
      <c r="H40" s="3"/>
      <c r="I40" s="3"/>
    </row>
    <row r="41" spans="1:9">
      <c r="A41" s="2">
        <v>44571</v>
      </c>
      <c r="B41" s="267"/>
      <c r="C41" s="267" t="s">
        <v>103</v>
      </c>
      <c r="D41" s="3" t="s">
        <v>102</v>
      </c>
      <c r="E41" s="1497">
        <v>1159.6300000000001</v>
      </c>
      <c r="F41" s="1497"/>
      <c r="G41" s="267" t="s">
        <v>56</v>
      </c>
      <c r="H41" s="3"/>
      <c r="I41" s="3"/>
    </row>
    <row r="42" spans="1:9">
      <c r="A42" s="2">
        <v>44571</v>
      </c>
      <c r="B42" s="267" t="s">
        <v>54</v>
      </c>
      <c r="C42" s="267" t="s">
        <v>86</v>
      </c>
      <c r="D42" s="3" t="s">
        <v>104</v>
      </c>
      <c r="E42" s="1497">
        <v>2500</v>
      </c>
      <c r="F42" s="1497"/>
      <c r="G42" s="267" t="s">
        <v>56</v>
      </c>
      <c r="H42" s="3" t="s">
        <v>81</v>
      </c>
      <c r="I42" s="3"/>
    </row>
    <row r="43" spans="1:9">
      <c r="A43" s="2">
        <v>44571</v>
      </c>
      <c r="B43" s="267" t="s">
        <v>54</v>
      </c>
      <c r="C43" s="267" t="s">
        <v>62</v>
      </c>
      <c r="D43" s="3" t="s">
        <v>38</v>
      </c>
      <c r="E43" s="1497">
        <v>450</v>
      </c>
      <c r="F43" s="1497"/>
      <c r="G43" s="267" t="s">
        <v>56</v>
      </c>
      <c r="H43" s="3"/>
      <c r="I43" s="3"/>
    </row>
    <row r="44" spans="1:9">
      <c r="A44" s="2">
        <v>44571</v>
      </c>
      <c r="B44" s="267"/>
      <c r="C44" s="267" t="s">
        <v>90</v>
      </c>
      <c r="D44" s="3" t="s">
        <v>89</v>
      </c>
      <c r="E44" s="1497">
        <v>1500</v>
      </c>
      <c r="F44" s="1497"/>
      <c r="G44" s="267" t="s">
        <v>56</v>
      </c>
      <c r="H44" s="3"/>
      <c r="I44" s="3"/>
    </row>
    <row r="45" spans="1:9">
      <c r="A45" s="2">
        <v>44571</v>
      </c>
      <c r="B45" s="267"/>
      <c r="C45" s="267" t="s">
        <v>55</v>
      </c>
      <c r="D45" s="3" t="s">
        <v>105</v>
      </c>
      <c r="E45" s="1497">
        <v>350</v>
      </c>
      <c r="F45" s="1497"/>
      <c r="G45" s="267" t="s">
        <v>56</v>
      </c>
      <c r="H45" s="3"/>
      <c r="I45" s="3"/>
    </row>
    <row r="46" spans="1:9">
      <c r="A46" s="2">
        <v>44571</v>
      </c>
      <c r="B46" s="267"/>
      <c r="C46" s="267" t="s">
        <v>92</v>
      </c>
      <c r="D46" s="3" t="s">
        <v>106</v>
      </c>
      <c r="E46" s="1497"/>
      <c r="F46" s="1497">
        <v>11800</v>
      </c>
      <c r="G46" s="267" t="s">
        <v>56</v>
      </c>
      <c r="H46" s="3"/>
      <c r="I46" s="3"/>
    </row>
    <row r="47" spans="1:9">
      <c r="A47" s="2">
        <v>44572</v>
      </c>
      <c r="B47" s="267"/>
      <c r="C47" s="267" t="s">
        <v>60</v>
      </c>
      <c r="D47" s="3" t="s">
        <v>61</v>
      </c>
      <c r="E47" s="1497">
        <v>480</v>
      </c>
      <c r="F47" s="1497"/>
      <c r="G47" s="267" t="s">
        <v>56</v>
      </c>
      <c r="H47" s="3"/>
      <c r="I47" s="3"/>
    </row>
    <row r="48" spans="1:9">
      <c r="A48" s="2">
        <v>44573</v>
      </c>
      <c r="B48" s="267"/>
      <c r="C48" s="267" t="s">
        <v>79</v>
      </c>
      <c r="D48" s="3" t="s">
        <v>16</v>
      </c>
      <c r="E48" s="1497">
        <v>8820</v>
      </c>
      <c r="F48" s="1497"/>
      <c r="G48" s="267" t="s">
        <v>108</v>
      </c>
      <c r="H48" s="3"/>
      <c r="I48" s="3"/>
    </row>
    <row r="49" spans="1:9">
      <c r="A49" s="2">
        <v>44573</v>
      </c>
      <c r="B49" s="267"/>
      <c r="C49" s="267" t="s">
        <v>86</v>
      </c>
      <c r="D49" s="3" t="s">
        <v>107</v>
      </c>
      <c r="E49" s="1497">
        <v>3002.58</v>
      </c>
      <c r="F49" s="1497"/>
      <c r="G49" s="267" t="s">
        <v>27</v>
      </c>
      <c r="H49" s="3"/>
      <c r="I49" s="3"/>
    </row>
    <row r="50" spans="1:9">
      <c r="A50" s="2">
        <v>44573</v>
      </c>
      <c r="B50" s="267"/>
      <c r="C50" s="267" t="s">
        <v>55</v>
      </c>
      <c r="D50" s="3" t="s">
        <v>109</v>
      </c>
      <c r="E50" s="1497">
        <v>830</v>
      </c>
      <c r="F50" s="1497"/>
      <c r="G50" s="267" t="s">
        <v>56</v>
      </c>
      <c r="H50" s="3"/>
      <c r="I50" s="3"/>
    </row>
    <row r="51" spans="1:9">
      <c r="A51" s="2">
        <v>44573</v>
      </c>
      <c r="B51" s="267"/>
      <c r="C51" s="267" t="s">
        <v>86</v>
      </c>
      <c r="D51" s="3" t="s">
        <v>104</v>
      </c>
      <c r="E51" s="12">
        <v>2000</v>
      </c>
      <c r="F51" s="1497"/>
      <c r="G51" s="267" t="s">
        <v>56</v>
      </c>
      <c r="H51" s="3"/>
      <c r="I51" s="3"/>
    </row>
    <row r="52" spans="1:9">
      <c r="A52" s="2">
        <v>44573</v>
      </c>
      <c r="B52" s="267"/>
      <c r="C52" s="267" t="s">
        <v>97</v>
      </c>
      <c r="D52" s="3" t="s">
        <v>110</v>
      </c>
      <c r="E52" s="1497">
        <v>6017</v>
      </c>
      <c r="F52" s="1497"/>
      <c r="G52" s="267" t="s">
        <v>27</v>
      </c>
      <c r="H52" s="3"/>
      <c r="I52" s="3"/>
    </row>
    <row r="53" spans="1:9">
      <c r="A53" s="2">
        <v>44573</v>
      </c>
      <c r="B53" s="267"/>
      <c r="C53" s="267" t="s">
        <v>92</v>
      </c>
      <c r="D53" s="3" t="s">
        <v>111</v>
      </c>
      <c r="E53" s="1497"/>
      <c r="F53" s="1497">
        <v>1750</v>
      </c>
      <c r="G53" s="267" t="s">
        <v>56</v>
      </c>
      <c r="H53" s="3"/>
      <c r="I53" s="3"/>
    </row>
    <row r="54" spans="1:9">
      <c r="A54" s="2">
        <v>44573</v>
      </c>
      <c r="B54" s="267"/>
      <c r="C54" s="267" t="s">
        <v>90</v>
      </c>
      <c r="D54" s="3" t="s">
        <v>112</v>
      </c>
      <c r="E54" s="1497">
        <v>1350</v>
      </c>
      <c r="F54" s="1497"/>
      <c r="G54" s="267" t="s">
        <v>56</v>
      </c>
      <c r="H54" s="3"/>
      <c r="I54" s="3"/>
    </row>
    <row r="55" spans="1:9">
      <c r="A55" s="2">
        <v>44573</v>
      </c>
      <c r="B55" s="267"/>
      <c r="C55" s="267" t="s">
        <v>29</v>
      </c>
      <c r="D55" s="15" t="s">
        <v>113</v>
      </c>
      <c r="E55" s="1497">
        <v>5100</v>
      </c>
      <c r="F55" s="1497"/>
      <c r="G55" s="267" t="s">
        <v>56</v>
      </c>
      <c r="H55" s="3"/>
      <c r="I55" s="3"/>
    </row>
    <row r="56" spans="1:9">
      <c r="A56" s="2">
        <v>44573</v>
      </c>
      <c r="B56" s="267"/>
      <c r="C56" s="267" t="s">
        <v>29</v>
      </c>
      <c r="D56" s="15" t="s">
        <v>113</v>
      </c>
      <c r="E56" s="1497">
        <v>27750</v>
      </c>
      <c r="F56" s="1497"/>
      <c r="G56" s="267" t="s">
        <v>72</v>
      </c>
      <c r="H56" s="3"/>
      <c r="I56" s="3"/>
    </row>
    <row r="57" spans="1:9">
      <c r="A57" s="2">
        <v>44573</v>
      </c>
      <c r="B57" s="267"/>
      <c r="C57" s="267" t="s">
        <v>92</v>
      </c>
      <c r="D57" s="3" t="s">
        <v>114</v>
      </c>
      <c r="E57" s="1497"/>
      <c r="F57" s="1497">
        <v>14580</v>
      </c>
      <c r="G57" s="267" t="s">
        <v>56</v>
      </c>
      <c r="H57" s="3"/>
      <c r="I57" s="3"/>
    </row>
    <row r="58" spans="1:9">
      <c r="A58" s="2">
        <v>44573</v>
      </c>
      <c r="B58" s="267"/>
      <c r="C58" s="267" t="s">
        <v>77</v>
      </c>
      <c r="D58" s="3" t="s">
        <v>115</v>
      </c>
      <c r="E58" s="1497"/>
      <c r="F58" s="1497">
        <v>16100</v>
      </c>
      <c r="G58" s="267" t="s">
        <v>56</v>
      </c>
      <c r="H58" s="45" t="s">
        <v>116</v>
      </c>
      <c r="I58" s="3"/>
    </row>
    <row r="59" spans="1:9">
      <c r="A59" s="2">
        <v>44573</v>
      </c>
      <c r="B59" s="267"/>
      <c r="C59" s="267" t="s">
        <v>77</v>
      </c>
      <c r="D59" s="3" t="s">
        <v>115</v>
      </c>
      <c r="E59" s="1497"/>
      <c r="F59" s="1497">
        <v>88400</v>
      </c>
      <c r="G59" s="267" t="s">
        <v>72</v>
      </c>
      <c r="H59" s="45" t="s">
        <v>116</v>
      </c>
      <c r="I59" s="3"/>
    </row>
    <row r="60" spans="1:9">
      <c r="A60" s="2">
        <v>44573</v>
      </c>
      <c r="B60" s="267"/>
      <c r="C60" s="267" t="s">
        <v>77</v>
      </c>
      <c r="D60" s="3" t="s">
        <v>117</v>
      </c>
      <c r="E60" s="1497"/>
      <c r="F60" s="1497">
        <v>84000</v>
      </c>
      <c r="G60" s="267" t="s">
        <v>56</v>
      </c>
      <c r="H60" s="45" t="s">
        <v>118</v>
      </c>
      <c r="I60" s="3"/>
    </row>
    <row r="61" spans="1:9">
      <c r="A61" s="2">
        <v>44573</v>
      </c>
      <c r="B61" s="267"/>
      <c r="C61" s="267" t="s">
        <v>79</v>
      </c>
      <c r="D61" s="3" t="s">
        <v>119</v>
      </c>
      <c r="E61" s="1497">
        <v>400</v>
      </c>
      <c r="F61" s="1497"/>
      <c r="G61" s="267" t="s">
        <v>56</v>
      </c>
      <c r="H61" s="3"/>
      <c r="I61" s="3"/>
    </row>
    <row r="62" spans="1:9">
      <c r="A62" s="2">
        <v>44574</v>
      </c>
      <c r="B62" s="267"/>
      <c r="C62" s="267" t="s">
        <v>92</v>
      </c>
      <c r="D62" s="3" t="s">
        <v>120</v>
      </c>
      <c r="E62" s="1497"/>
      <c r="F62" s="1497">
        <v>13266.45</v>
      </c>
      <c r="G62" s="267" t="s">
        <v>27</v>
      </c>
      <c r="H62" s="3"/>
      <c r="I62" s="3"/>
    </row>
    <row r="63" spans="1:9">
      <c r="A63" s="2">
        <v>44574</v>
      </c>
      <c r="B63" s="267"/>
      <c r="C63" s="267" t="s">
        <v>87</v>
      </c>
      <c r="D63" s="3" t="s">
        <v>123</v>
      </c>
      <c r="E63" s="1497">
        <v>3000</v>
      </c>
      <c r="F63" s="1497"/>
      <c r="G63" s="267" t="s">
        <v>124</v>
      </c>
      <c r="H63" s="3"/>
      <c r="I63" s="3"/>
    </row>
    <row r="64" spans="1:9">
      <c r="A64" s="2">
        <v>44575</v>
      </c>
      <c r="B64" s="267"/>
      <c r="C64" s="267" t="s">
        <v>122</v>
      </c>
      <c r="D64" s="3" t="s">
        <v>121</v>
      </c>
      <c r="E64" s="1497">
        <v>3450</v>
      </c>
      <c r="F64" s="1497"/>
      <c r="G64" s="267" t="s">
        <v>27</v>
      </c>
      <c r="H64" s="3"/>
      <c r="I64" s="3"/>
    </row>
    <row r="65" spans="1:9">
      <c r="A65" s="2">
        <v>44575</v>
      </c>
      <c r="B65" s="267"/>
      <c r="C65" s="267" t="s">
        <v>88</v>
      </c>
      <c r="D65" s="3" t="s">
        <v>144</v>
      </c>
      <c r="E65" s="1497">
        <v>11100</v>
      </c>
      <c r="F65" s="1497"/>
      <c r="G65" s="267" t="s">
        <v>27</v>
      </c>
      <c r="H65" s="3"/>
      <c r="I65" s="3"/>
    </row>
    <row r="66" spans="1:9">
      <c r="A66" s="2">
        <v>44575</v>
      </c>
      <c r="B66" s="267"/>
      <c r="C66" s="267" t="s">
        <v>88</v>
      </c>
      <c r="D66" s="3" t="s">
        <v>144</v>
      </c>
      <c r="E66" s="1497">
        <v>2900</v>
      </c>
      <c r="F66" s="1497"/>
      <c r="G66" s="267" t="s">
        <v>27</v>
      </c>
      <c r="H66" s="3"/>
      <c r="I66" s="3"/>
    </row>
    <row r="67" spans="1:9">
      <c r="A67" s="2">
        <v>44575</v>
      </c>
      <c r="B67" s="267"/>
      <c r="C67" s="267" t="s">
        <v>88</v>
      </c>
      <c r="D67" s="3" t="s">
        <v>88</v>
      </c>
      <c r="E67" s="1497">
        <v>50200</v>
      </c>
      <c r="F67" s="1497"/>
      <c r="G67" s="267" t="s">
        <v>56</v>
      </c>
      <c r="H67" s="3"/>
      <c r="I67" s="3"/>
    </row>
    <row r="68" spans="1:9" s="50" customFormat="1" ht="60">
      <c r="A68" s="46">
        <v>44575</v>
      </c>
      <c r="B68" s="47"/>
      <c r="C68" s="47" t="s">
        <v>88</v>
      </c>
      <c r="D68" s="48" t="s">
        <v>137</v>
      </c>
      <c r="E68" s="55">
        <v>13700</v>
      </c>
      <c r="F68" s="47"/>
      <c r="G68" s="47" t="s">
        <v>56</v>
      </c>
      <c r="H68" s="49" t="s">
        <v>157</v>
      </c>
      <c r="I68" s="48"/>
    </row>
    <row r="69" spans="1:9">
      <c r="A69" s="2">
        <v>44575</v>
      </c>
      <c r="B69" s="267"/>
      <c r="C69" s="267" t="s">
        <v>146</v>
      </c>
      <c r="D69" s="3" t="s">
        <v>145</v>
      </c>
      <c r="E69" s="1497">
        <v>22200</v>
      </c>
      <c r="F69" s="1497"/>
      <c r="G69" s="267" t="s">
        <v>27</v>
      </c>
      <c r="H69" s="3"/>
      <c r="I69" s="3"/>
    </row>
    <row r="70" spans="1:9">
      <c r="A70" s="2">
        <v>44578</v>
      </c>
      <c r="B70" s="267"/>
      <c r="C70" s="267" t="s">
        <v>79</v>
      </c>
      <c r="D70" s="3" t="s">
        <v>151</v>
      </c>
      <c r="E70" s="1497">
        <v>1000</v>
      </c>
      <c r="F70" s="1497"/>
      <c r="G70" s="267" t="s">
        <v>56</v>
      </c>
      <c r="H70" s="3"/>
      <c r="I70" s="3"/>
    </row>
    <row r="71" spans="1:9">
      <c r="A71" s="2">
        <v>44578</v>
      </c>
      <c r="B71" s="267"/>
      <c r="C71" s="267" t="s">
        <v>79</v>
      </c>
      <c r="D71" s="3" t="s">
        <v>147</v>
      </c>
      <c r="E71" s="1497">
        <v>28863.23</v>
      </c>
      <c r="F71" s="1497"/>
      <c r="G71" s="267" t="s">
        <v>27</v>
      </c>
      <c r="H71" s="3"/>
      <c r="I71" s="3"/>
    </row>
    <row r="72" spans="1:9">
      <c r="A72" s="2">
        <v>44578</v>
      </c>
      <c r="B72" s="267"/>
      <c r="C72" s="267" t="s">
        <v>79</v>
      </c>
      <c r="D72" s="3" t="s">
        <v>155</v>
      </c>
      <c r="E72" s="1497">
        <v>6061.27</v>
      </c>
      <c r="F72" s="1497"/>
      <c r="G72" s="267" t="s">
        <v>27</v>
      </c>
      <c r="H72" s="3"/>
      <c r="I72" s="3"/>
    </row>
    <row r="73" spans="1:9">
      <c r="A73" s="2">
        <v>44578</v>
      </c>
      <c r="B73" s="267"/>
      <c r="C73" s="267" t="s">
        <v>97</v>
      </c>
      <c r="D73" s="3" t="s">
        <v>148</v>
      </c>
      <c r="E73" s="1497">
        <v>7000</v>
      </c>
      <c r="F73" s="1497"/>
      <c r="G73" s="267" t="s">
        <v>27</v>
      </c>
      <c r="H73" s="3"/>
      <c r="I73" s="3"/>
    </row>
    <row r="74" spans="1:9">
      <c r="A74" s="2">
        <v>44578</v>
      </c>
      <c r="B74" s="267"/>
      <c r="C74" s="267" t="s">
        <v>29</v>
      </c>
      <c r="D74" s="3" t="s">
        <v>38</v>
      </c>
      <c r="E74" s="1497">
        <v>170</v>
      </c>
      <c r="F74" s="1497"/>
      <c r="G74" s="267" t="s">
        <v>56</v>
      </c>
      <c r="H74" s="3"/>
      <c r="I74" s="3"/>
    </row>
    <row r="75" spans="1:9">
      <c r="A75" s="2">
        <v>44578</v>
      </c>
      <c r="B75" s="267"/>
      <c r="C75" s="267" t="s">
        <v>150</v>
      </c>
      <c r="D75" s="15" t="s">
        <v>149</v>
      </c>
      <c r="E75" s="1497">
        <v>1000</v>
      </c>
      <c r="F75" s="1497"/>
      <c r="G75" s="267" t="s">
        <v>27</v>
      </c>
      <c r="H75" s="3"/>
      <c r="I75" s="3"/>
    </row>
    <row r="76" spans="1:9">
      <c r="A76" s="2">
        <v>44578</v>
      </c>
      <c r="B76" s="267"/>
      <c r="C76" s="267" t="s">
        <v>55</v>
      </c>
      <c r="D76" s="3" t="s">
        <v>152</v>
      </c>
      <c r="E76" s="1497">
        <v>2500</v>
      </c>
      <c r="F76" s="1497"/>
      <c r="G76" s="267" t="s">
        <v>56</v>
      </c>
      <c r="H76" s="3"/>
      <c r="I76" s="3"/>
    </row>
    <row r="77" spans="1:9">
      <c r="A77" s="2">
        <v>44578</v>
      </c>
      <c r="B77" s="267"/>
      <c r="C77" s="267" t="s">
        <v>55</v>
      </c>
      <c r="D77" s="3" t="s">
        <v>153</v>
      </c>
      <c r="E77" s="1497">
        <v>1800</v>
      </c>
      <c r="F77" s="1497"/>
      <c r="G77" s="267" t="s">
        <v>56</v>
      </c>
      <c r="H77" s="3"/>
      <c r="I77" s="3"/>
    </row>
    <row r="78" spans="1:9">
      <c r="A78" s="2">
        <v>44578</v>
      </c>
      <c r="B78" s="267"/>
      <c r="C78" s="267" t="s">
        <v>156</v>
      </c>
      <c r="D78" s="3" t="s">
        <v>156</v>
      </c>
      <c r="E78" s="1497">
        <v>10664.44</v>
      </c>
      <c r="F78" s="1497"/>
      <c r="G78" s="267" t="s">
        <v>108</v>
      </c>
      <c r="H78" s="3"/>
      <c r="I78" s="3"/>
    </row>
    <row r="79" spans="1:9">
      <c r="A79" s="2">
        <v>44579</v>
      </c>
      <c r="B79" s="267"/>
      <c r="C79" s="267" t="s">
        <v>77</v>
      </c>
      <c r="D79" s="3" t="s">
        <v>154</v>
      </c>
      <c r="E79" s="1497"/>
      <c r="F79" s="1497">
        <v>77320</v>
      </c>
      <c r="G79" s="267" t="s">
        <v>27</v>
      </c>
      <c r="H79" s="3"/>
      <c r="I79" s="3"/>
    </row>
    <row r="80" spans="1:9">
      <c r="A80" s="2">
        <v>44579</v>
      </c>
      <c r="B80" s="267"/>
      <c r="C80" s="267" t="s">
        <v>29</v>
      </c>
      <c r="D80" s="3" t="s">
        <v>71</v>
      </c>
      <c r="E80" s="1497">
        <v>32400</v>
      </c>
      <c r="F80" s="1497"/>
      <c r="G80" s="267" t="s">
        <v>56</v>
      </c>
      <c r="H80" s="3"/>
      <c r="I80" s="3"/>
    </row>
    <row r="81" spans="1:9">
      <c r="A81" s="2">
        <v>44579</v>
      </c>
      <c r="B81" s="267"/>
      <c r="C81" s="267" t="s">
        <v>29</v>
      </c>
      <c r="D81" s="3" t="s">
        <v>71</v>
      </c>
      <c r="E81" s="1497">
        <v>4000</v>
      </c>
      <c r="F81" s="1497"/>
      <c r="G81" s="267" t="s">
        <v>56</v>
      </c>
      <c r="H81" s="3"/>
      <c r="I81" s="3"/>
    </row>
    <row r="82" spans="1:9">
      <c r="A82" s="2">
        <v>44579</v>
      </c>
      <c r="B82" s="267"/>
      <c r="C82" s="267" t="s">
        <v>77</v>
      </c>
      <c r="D82" s="3" t="s">
        <v>158</v>
      </c>
      <c r="E82" s="1497"/>
      <c r="F82" s="1497">
        <v>16000</v>
      </c>
      <c r="G82" s="267" t="s">
        <v>56</v>
      </c>
      <c r="H82" s="3"/>
      <c r="I82" s="3"/>
    </row>
    <row r="83" spans="1:9">
      <c r="A83" s="2">
        <v>44579</v>
      </c>
      <c r="B83" s="267"/>
      <c r="C83" s="267" t="s">
        <v>160</v>
      </c>
      <c r="D83" s="3" t="s">
        <v>159</v>
      </c>
      <c r="E83" s="1497"/>
      <c r="F83" s="1497" t="s">
        <v>162</v>
      </c>
      <c r="G83" s="267" t="s">
        <v>27</v>
      </c>
      <c r="H83" s="45" t="s">
        <v>161</v>
      </c>
      <c r="I83" s="3"/>
    </row>
    <row r="84" spans="1:9">
      <c r="A84" s="2">
        <v>44579</v>
      </c>
      <c r="B84" s="267"/>
      <c r="C84" s="267" t="s">
        <v>94</v>
      </c>
      <c r="D84" s="3" t="s">
        <v>15</v>
      </c>
      <c r="E84" s="1497">
        <v>5447.31</v>
      </c>
      <c r="F84" s="1497"/>
      <c r="G84" s="267" t="s">
        <v>27</v>
      </c>
      <c r="H84" s="3"/>
      <c r="I84" s="3"/>
    </row>
    <row r="85" spans="1:9">
      <c r="A85" s="2">
        <v>44579</v>
      </c>
      <c r="B85" s="267"/>
      <c r="C85" s="267" t="s">
        <v>94</v>
      </c>
      <c r="D85" s="3" t="s">
        <v>13</v>
      </c>
      <c r="E85" s="1497">
        <v>2019.24</v>
      </c>
      <c r="F85" s="1497"/>
      <c r="G85" s="267" t="s">
        <v>27</v>
      </c>
      <c r="H85" s="3"/>
      <c r="I85" s="3"/>
    </row>
    <row r="86" spans="1:9">
      <c r="A86" s="2">
        <v>44580</v>
      </c>
      <c r="B86" s="267"/>
      <c r="C86" s="267" t="s">
        <v>55</v>
      </c>
      <c r="D86" s="3" t="s">
        <v>154</v>
      </c>
      <c r="E86" s="1497">
        <v>500</v>
      </c>
      <c r="F86" s="1497"/>
      <c r="G86" s="267" t="s">
        <v>56</v>
      </c>
      <c r="H86" s="3"/>
      <c r="I86" s="3"/>
    </row>
    <row r="87" spans="1:9">
      <c r="A87" s="2">
        <v>44580</v>
      </c>
      <c r="B87" s="267"/>
      <c r="C87" s="267" t="s">
        <v>90</v>
      </c>
      <c r="D87" s="15" t="s">
        <v>112</v>
      </c>
      <c r="E87" s="1497">
        <v>1400</v>
      </c>
      <c r="F87" s="1497"/>
      <c r="G87" s="267" t="s">
        <v>108</v>
      </c>
      <c r="H87" s="3"/>
      <c r="I87" s="3"/>
    </row>
    <row r="88" spans="1:9">
      <c r="A88" s="2">
        <v>44580</v>
      </c>
      <c r="B88" s="267"/>
      <c r="C88" s="267" t="s">
        <v>79</v>
      </c>
      <c r="D88" s="15" t="s">
        <v>163</v>
      </c>
      <c r="E88" s="1497">
        <v>5811.94</v>
      </c>
      <c r="F88" s="1497"/>
      <c r="G88" s="267" t="s">
        <v>27</v>
      </c>
      <c r="H88" s="3"/>
      <c r="I88" s="3"/>
    </row>
    <row r="89" spans="1:9">
      <c r="A89" s="2">
        <v>44580</v>
      </c>
      <c r="B89" s="267"/>
      <c r="C89" s="267" t="s">
        <v>79</v>
      </c>
      <c r="D89" s="3" t="s">
        <v>155</v>
      </c>
      <c r="E89" s="1497">
        <v>1220.51</v>
      </c>
      <c r="F89" s="1497"/>
      <c r="G89" s="267" t="s">
        <v>27</v>
      </c>
      <c r="H89" s="3"/>
      <c r="I89" s="3"/>
    </row>
    <row r="90" spans="1:9">
      <c r="A90" s="2">
        <v>44582</v>
      </c>
      <c r="B90" s="267"/>
      <c r="C90" s="267" t="s">
        <v>77</v>
      </c>
      <c r="D90" s="3" t="s">
        <v>164</v>
      </c>
      <c r="E90" s="1497"/>
      <c r="F90" s="1497">
        <v>295500</v>
      </c>
      <c r="G90" s="267" t="s">
        <v>56</v>
      </c>
      <c r="H90" s="3" t="s">
        <v>165</v>
      </c>
      <c r="I90" s="3"/>
    </row>
    <row r="91" spans="1:9">
      <c r="A91" s="2">
        <v>44582</v>
      </c>
      <c r="B91" s="267"/>
      <c r="C91" s="267" t="s">
        <v>79</v>
      </c>
      <c r="D91" s="3" t="s">
        <v>166</v>
      </c>
      <c r="E91" s="1497">
        <v>28000</v>
      </c>
      <c r="F91" s="1497"/>
      <c r="G91" s="267" t="s">
        <v>27</v>
      </c>
      <c r="H91" s="3"/>
      <c r="I91" s="3"/>
    </row>
    <row r="92" spans="1:9" ht="60">
      <c r="A92" s="54">
        <v>44582</v>
      </c>
      <c r="B92" s="51"/>
      <c r="C92" s="51" t="s">
        <v>88</v>
      </c>
      <c r="D92" s="52" t="s">
        <v>167</v>
      </c>
      <c r="E92" s="1497">
        <v>75200</v>
      </c>
      <c r="F92" s="51"/>
      <c r="G92" s="51" t="s">
        <v>56</v>
      </c>
      <c r="H92" s="49" t="s">
        <v>172</v>
      </c>
      <c r="I92" s="3"/>
    </row>
    <row r="93" spans="1:9">
      <c r="A93" s="2">
        <v>44582</v>
      </c>
      <c r="B93" s="267"/>
      <c r="C93" s="267" t="s">
        <v>92</v>
      </c>
      <c r="D93" s="3" t="s">
        <v>169</v>
      </c>
      <c r="E93" s="1497">
        <v>3700</v>
      </c>
      <c r="F93" s="1497"/>
      <c r="G93" s="267" t="s">
        <v>56</v>
      </c>
      <c r="H93" s="53"/>
      <c r="I93" s="3"/>
    </row>
    <row r="94" spans="1:9">
      <c r="A94" s="2">
        <v>44582</v>
      </c>
      <c r="B94" s="267"/>
      <c r="C94" s="267" t="s">
        <v>79</v>
      </c>
      <c r="D94" s="3" t="s">
        <v>151</v>
      </c>
      <c r="E94" s="1497"/>
      <c r="F94" s="1497">
        <v>3700</v>
      </c>
      <c r="G94" s="267" t="s">
        <v>56</v>
      </c>
      <c r="H94" s="53"/>
      <c r="I94" s="3"/>
    </row>
    <row r="95" spans="1:9">
      <c r="A95" s="2">
        <v>44585</v>
      </c>
      <c r="B95" s="267"/>
      <c r="C95" s="267" t="s">
        <v>150</v>
      </c>
      <c r="D95" s="3" t="s">
        <v>168</v>
      </c>
      <c r="E95" s="1497">
        <v>3600</v>
      </c>
      <c r="F95" s="1497"/>
      <c r="G95" s="267" t="s">
        <v>27</v>
      </c>
      <c r="H95" s="3"/>
      <c r="I95" s="3"/>
    </row>
    <row r="96" spans="1:9">
      <c r="A96" s="2">
        <v>44585</v>
      </c>
      <c r="B96" s="267"/>
      <c r="C96" s="267" t="s">
        <v>79</v>
      </c>
      <c r="D96" s="3" t="s">
        <v>151</v>
      </c>
      <c r="E96" s="1497">
        <v>5825.74</v>
      </c>
      <c r="F96" s="1497"/>
      <c r="G96" s="267" t="s">
        <v>27</v>
      </c>
      <c r="H96" s="3"/>
      <c r="I96" s="3"/>
    </row>
    <row r="97" spans="1:9">
      <c r="A97" s="2">
        <v>44585</v>
      </c>
      <c r="B97" s="267"/>
      <c r="C97" s="267" t="s">
        <v>92</v>
      </c>
      <c r="D97" s="3" t="s">
        <v>170</v>
      </c>
      <c r="E97" s="1497"/>
      <c r="F97" s="1497">
        <v>3858.15</v>
      </c>
      <c r="G97" s="267" t="s">
        <v>27</v>
      </c>
      <c r="H97" s="3"/>
      <c r="I97" s="3"/>
    </row>
    <row r="98" spans="1:9">
      <c r="A98" s="2">
        <v>44585</v>
      </c>
      <c r="B98" s="267"/>
      <c r="C98" s="267" t="s">
        <v>92</v>
      </c>
      <c r="D98" s="3" t="s">
        <v>171</v>
      </c>
      <c r="E98" s="1497"/>
      <c r="F98" s="51">
        <v>103800</v>
      </c>
      <c r="G98" s="267" t="s">
        <v>27</v>
      </c>
      <c r="H98" s="3"/>
      <c r="I98" s="3"/>
    </row>
    <row r="99" spans="1:9">
      <c r="A99" s="2">
        <v>44585</v>
      </c>
      <c r="B99" s="267"/>
      <c r="C99" s="267" t="s">
        <v>29</v>
      </c>
      <c r="D99" s="3" t="s">
        <v>42</v>
      </c>
      <c r="E99" s="1497">
        <v>5000</v>
      </c>
      <c r="F99" s="1497"/>
      <c r="G99" s="267" t="s">
        <v>27</v>
      </c>
      <c r="H99" s="3"/>
      <c r="I99" s="3"/>
    </row>
    <row r="100" spans="1:9">
      <c r="A100" s="2">
        <v>44586</v>
      </c>
      <c r="B100" s="267"/>
      <c r="C100" s="267" t="s">
        <v>174</v>
      </c>
      <c r="D100" s="3" t="s">
        <v>173</v>
      </c>
      <c r="E100" s="1497">
        <v>2820.41</v>
      </c>
      <c r="F100" s="1497"/>
      <c r="G100" s="267" t="s">
        <v>27</v>
      </c>
      <c r="H100" s="3"/>
      <c r="I100" s="3"/>
    </row>
    <row r="101" spans="1:9">
      <c r="A101" s="2">
        <v>44586</v>
      </c>
      <c r="B101" s="267"/>
      <c r="C101" s="267" t="s">
        <v>176</v>
      </c>
      <c r="D101" s="3" t="s">
        <v>175</v>
      </c>
      <c r="E101" s="1497">
        <v>2000</v>
      </c>
      <c r="F101" s="1497"/>
      <c r="G101" s="267" t="s">
        <v>27</v>
      </c>
      <c r="H101" s="3"/>
      <c r="I101" s="3"/>
    </row>
    <row r="102" spans="1:9">
      <c r="A102" s="2">
        <v>44586</v>
      </c>
      <c r="B102" s="267"/>
      <c r="C102" s="267" t="s">
        <v>178</v>
      </c>
      <c r="D102" s="3" t="s">
        <v>177</v>
      </c>
      <c r="E102" s="1497">
        <v>500</v>
      </c>
      <c r="F102" s="1497"/>
      <c r="G102" s="267" t="s">
        <v>56</v>
      </c>
      <c r="H102" s="3"/>
      <c r="I102" s="3"/>
    </row>
    <row r="103" spans="1:9">
      <c r="A103" s="2">
        <v>44586</v>
      </c>
      <c r="B103" s="267"/>
      <c r="C103" s="267" t="s">
        <v>29</v>
      </c>
      <c r="D103" s="15" t="s">
        <v>48</v>
      </c>
      <c r="E103" s="1497">
        <v>45000</v>
      </c>
      <c r="F103" s="1497"/>
      <c r="G103" s="267" t="s">
        <v>56</v>
      </c>
      <c r="H103" s="3"/>
      <c r="I103" s="3"/>
    </row>
    <row r="104" spans="1:9">
      <c r="A104" s="2">
        <v>44586</v>
      </c>
      <c r="B104" s="267"/>
      <c r="C104" s="267" t="s">
        <v>160</v>
      </c>
      <c r="D104" s="3" t="s">
        <v>179</v>
      </c>
      <c r="E104" s="1497"/>
      <c r="F104" s="1497">
        <v>11393.73</v>
      </c>
      <c r="G104" s="267" t="s">
        <v>27</v>
      </c>
      <c r="H104" s="3" t="s">
        <v>180</v>
      </c>
      <c r="I104" s="3"/>
    </row>
    <row r="105" spans="1:9">
      <c r="A105" s="2">
        <v>44586</v>
      </c>
      <c r="B105" s="267"/>
      <c r="C105" s="267" t="s">
        <v>29</v>
      </c>
      <c r="D105" s="3" t="s">
        <v>48</v>
      </c>
      <c r="E105" s="1497">
        <v>30000</v>
      </c>
      <c r="F105" s="1497"/>
      <c r="G105" s="267" t="s">
        <v>56</v>
      </c>
      <c r="H105" s="3"/>
      <c r="I105" s="3"/>
    </row>
    <row r="106" spans="1:9">
      <c r="A106" s="2">
        <v>44587</v>
      </c>
      <c r="B106" s="267"/>
      <c r="C106" s="267" t="s">
        <v>156</v>
      </c>
      <c r="D106" s="3" t="s">
        <v>156</v>
      </c>
      <c r="E106" s="1497">
        <v>10444.709999999999</v>
      </c>
      <c r="F106" s="1497"/>
      <c r="G106" s="267" t="s">
        <v>108</v>
      </c>
      <c r="H106" s="3"/>
      <c r="I106" s="3"/>
    </row>
    <row r="107" spans="1:9">
      <c r="A107" s="2">
        <v>44587</v>
      </c>
      <c r="B107" s="267"/>
      <c r="C107" s="267" t="s">
        <v>79</v>
      </c>
      <c r="D107" s="3" t="s">
        <v>173</v>
      </c>
      <c r="E107" s="1497">
        <v>686.33</v>
      </c>
      <c r="F107" s="1497"/>
      <c r="G107" s="267" t="s">
        <v>27</v>
      </c>
      <c r="H107" s="3"/>
      <c r="I107" s="3"/>
    </row>
    <row r="108" spans="1:9">
      <c r="A108" s="2">
        <v>44587</v>
      </c>
      <c r="B108" s="267"/>
      <c r="C108" s="267" t="s">
        <v>79</v>
      </c>
      <c r="D108" s="3" t="s">
        <v>181</v>
      </c>
      <c r="E108" s="1497">
        <v>686.33</v>
      </c>
      <c r="F108" s="1497"/>
      <c r="G108" s="267" t="s">
        <v>27</v>
      </c>
      <c r="H108" s="3"/>
      <c r="I108" s="3"/>
    </row>
    <row r="109" spans="1:9">
      <c r="A109" s="2">
        <v>44587</v>
      </c>
      <c r="B109" s="267"/>
      <c r="C109" s="267" t="s">
        <v>90</v>
      </c>
      <c r="D109" s="3" t="s">
        <v>112</v>
      </c>
      <c r="E109" s="1497">
        <v>1300</v>
      </c>
      <c r="F109" s="1497"/>
      <c r="G109" s="267" t="s">
        <v>56</v>
      </c>
      <c r="H109" s="3"/>
      <c r="I109" s="3"/>
    </row>
    <row r="110" spans="1:9">
      <c r="A110" s="2">
        <v>44587</v>
      </c>
      <c r="B110" s="267"/>
      <c r="C110" s="267" t="s">
        <v>92</v>
      </c>
      <c r="D110" s="3" t="s">
        <v>82</v>
      </c>
      <c r="E110" s="1497"/>
      <c r="F110" s="1497">
        <v>5800</v>
      </c>
      <c r="G110" s="267" t="s">
        <v>56</v>
      </c>
      <c r="H110" s="3"/>
      <c r="I110" s="3"/>
    </row>
    <row r="111" spans="1:9">
      <c r="A111" s="2">
        <v>44588</v>
      </c>
      <c r="B111" s="267"/>
      <c r="C111" s="267" t="s">
        <v>97</v>
      </c>
      <c r="D111" s="3" t="s">
        <v>182</v>
      </c>
      <c r="E111" s="1497">
        <v>64000</v>
      </c>
      <c r="F111" s="1497"/>
      <c r="G111" s="267" t="s">
        <v>27</v>
      </c>
      <c r="H111" s="3"/>
      <c r="I111" s="3"/>
    </row>
    <row r="112" spans="1:9">
      <c r="A112" s="2">
        <v>44588</v>
      </c>
      <c r="B112" s="267"/>
      <c r="C112" s="267" t="s">
        <v>97</v>
      </c>
      <c r="D112" s="3" t="s">
        <v>183</v>
      </c>
      <c r="E112" s="1497">
        <v>6000</v>
      </c>
      <c r="F112" s="1497"/>
      <c r="G112" s="267" t="s">
        <v>27</v>
      </c>
      <c r="H112" s="3"/>
      <c r="I112" s="3"/>
    </row>
    <row r="113" spans="1:9">
      <c r="A113" s="2">
        <v>44588</v>
      </c>
      <c r="B113" s="267"/>
      <c r="C113" s="267" t="s">
        <v>185</v>
      </c>
      <c r="D113" s="3" t="s">
        <v>184</v>
      </c>
      <c r="E113" s="1497">
        <v>13029.58</v>
      </c>
      <c r="F113" s="1497"/>
      <c r="G113" s="267" t="s">
        <v>108</v>
      </c>
      <c r="H113" s="3"/>
      <c r="I113" s="3"/>
    </row>
    <row r="114" spans="1:9">
      <c r="A114" s="2">
        <v>44588</v>
      </c>
      <c r="B114" s="267"/>
      <c r="C114" s="267" t="s">
        <v>174</v>
      </c>
      <c r="D114" s="15" t="s">
        <v>186</v>
      </c>
      <c r="E114" s="1497">
        <v>3180</v>
      </c>
      <c r="F114" s="1497"/>
      <c r="G114" s="267" t="s">
        <v>56</v>
      </c>
      <c r="H114" s="3"/>
      <c r="I114" s="3"/>
    </row>
    <row r="115" spans="1:9">
      <c r="A115" s="2">
        <v>44588</v>
      </c>
      <c r="B115" s="267"/>
      <c r="C115" s="267" t="s">
        <v>160</v>
      </c>
      <c r="D115" s="3" t="s">
        <v>187</v>
      </c>
      <c r="E115" s="1497"/>
      <c r="F115" s="1497">
        <v>26200</v>
      </c>
      <c r="G115" s="267" t="s">
        <v>56</v>
      </c>
      <c r="H115" s="3"/>
      <c r="I115" s="3"/>
    </row>
    <row r="116" spans="1:9">
      <c r="A116" s="2">
        <v>44588</v>
      </c>
      <c r="B116" s="267"/>
      <c r="C116" s="267" t="s">
        <v>92</v>
      </c>
      <c r="D116" s="3" t="s">
        <v>188</v>
      </c>
      <c r="E116" s="1497"/>
      <c r="F116" s="1497">
        <v>10800</v>
      </c>
      <c r="G116" s="267" t="s">
        <v>27</v>
      </c>
      <c r="H116" s="3"/>
      <c r="I116" s="3"/>
    </row>
    <row r="117" spans="1:9">
      <c r="A117" s="2">
        <v>44589</v>
      </c>
      <c r="B117" s="267"/>
      <c r="C117" s="267"/>
      <c r="D117" s="3" t="s">
        <v>16</v>
      </c>
      <c r="E117" s="1497">
        <v>30200</v>
      </c>
      <c r="F117" s="1497"/>
      <c r="G117" s="267" t="s">
        <v>56</v>
      </c>
      <c r="H117" s="3" t="s">
        <v>194</v>
      </c>
      <c r="I117" s="3"/>
    </row>
    <row r="118" spans="1:9">
      <c r="A118" s="2">
        <v>44589</v>
      </c>
      <c r="B118" s="267"/>
      <c r="C118" s="267" t="s">
        <v>55</v>
      </c>
      <c r="D118" s="3" t="s">
        <v>189</v>
      </c>
      <c r="E118" s="1497">
        <v>7000</v>
      </c>
      <c r="F118" s="1497"/>
      <c r="G118" s="267" t="s">
        <v>56</v>
      </c>
      <c r="H118" s="3"/>
      <c r="I118" s="3"/>
    </row>
    <row r="119" spans="1:9">
      <c r="A119" s="2">
        <v>44589</v>
      </c>
      <c r="B119" s="267"/>
      <c r="C119" s="267" t="s">
        <v>29</v>
      </c>
      <c r="D119" s="15" t="s">
        <v>190</v>
      </c>
      <c r="E119" s="1497">
        <v>28000</v>
      </c>
      <c r="F119" s="1497"/>
      <c r="G119" s="267" t="s">
        <v>72</v>
      </c>
      <c r="H119" s="3" t="s">
        <v>191</v>
      </c>
      <c r="I119" s="3"/>
    </row>
    <row r="120" spans="1:9">
      <c r="A120" s="2">
        <v>44589</v>
      </c>
      <c r="B120" s="267"/>
      <c r="C120" s="267" t="s">
        <v>29</v>
      </c>
      <c r="D120" s="15" t="s">
        <v>190</v>
      </c>
      <c r="E120" s="1497">
        <v>14900</v>
      </c>
      <c r="F120" s="1497"/>
      <c r="G120" s="267" t="s">
        <v>124</v>
      </c>
      <c r="H120" s="3" t="s">
        <v>192</v>
      </c>
      <c r="I120" s="3"/>
    </row>
    <row r="121" spans="1:9">
      <c r="A121" s="2">
        <v>44589</v>
      </c>
      <c r="B121" s="267"/>
      <c r="C121" s="267" t="s">
        <v>88</v>
      </c>
      <c r="D121" s="3" t="s">
        <v>144</v>
      </c>
      <c r="E121" s="1497">
        <v>22200</v>
      </c>
      <c r="F121" s="1497"/>
      <c r="G121" s="267" t="s">
        <v>56</v>
      </c>
      <c r="H121" s="3"/>
      <c r="I121" s="3"/>
    </row>
    <row r="122" spans="1:9">
      <c r="A122" s="2">
        <v>44589</v>
      </c>
      <c r="B122" s="267"/>
      <c r="C122" s="267" t="s">
        <v>88</v>
      </c>
      <c r="D122" s="3" t="s">
        <v>193</v>
      </c>
      <c r="E122" s="1497">
        <v>11000</v>
      </c>
      <c r="F122" s="1497"/>
      <c r="G122" s="267" t="s">
        <v>56</v>
      </c>
      <c r="H122" s="3"/>
      <c r="I122" s="3"/>
    </row>
    <row r="123" spans="1:9">
      <c r="A123" s="2">
        <v>44592</v>
      </c>
      <c r="B123" s="267"/>
      <c r="C123" s="267" t="s">
        <v>86</v>
      </c>
      <c r="D123" s="3" t="s">
        <v>195</v>
      </c>
      <c r="E123" s="1497">
        <v>150.15</v>
      </c>
      <c r="F123" s="1497"/>
      <c r="G123" s="267" t="s">
        <v>27</v>
      </c>
      <c r="H123" s="3"/>
      <c r="I123" s="3"/>
    </row>
    <row r="124" spans="1:9">
      <c r="A124" s="2">
        <v>44592</v>
      </c>
      <c r="B124" s="267"/>
      <c r="C124" s="267" t="s">
        <v>86</v>
      </c>
      <c r="D124" s="15" t="s">
        <v>195</v>
      </c>
      <c r="E124" s="1497">
        <v>3002.59</v>
      </c>
      <c r="F124" s="1497"/>
      <c r="G124" s="267" t="s">
        <v>27</v>
      </c>
      <c r="H124" s="3"/>
      <c r="I124" s="3"/>
    </row>
    <row r="125" spans="1:9">
      <c r="A125" s="2">
        <v>44592</v>
      </c>
      <c r="B125" s="267"/>
      <c r="C125" s="267" t="s">
        <v>150</v>
      </c>
      <c r="D125" s="3" t="s">
        <v>197</v>
      </c>
      <c r="E125" s="1497">
        <v>4545.37</v>
      </c>
      <c r="F125" s="1497"/>
      <c r="G125" s="267" t="s">
        <v>108</v>
      </c>
      <c r="H125" s="3"/>
      <c r="I125" s="3"/>
    </row>
    <row r="126" spans="1:9">
      <c r="A126" s="2">
        <v>44592</v>
      </c>
      <c r="B126" s="267"/>
      <c r="C126" s="267" t="s">
        <v>150</v>
      </c>
      <c r="D126" s="3" t="s">
        <v>198</v>
      </c>
      <c r="E126" s="1497">
        <v>954.53</v>
      </c>
      <c r="F126" s="1497"/>
      <c r="G126" s="267" t="s">
        <v>108</v>
      </c>
      <c r="H126" s="3"/>
      <c r="I126" s="3"/>
    </row>
    <row r="127" spans="1:9">
      <c r="A127" s="2">
        <v>44592</v>
      </c>
      <c r="B127" s="267"/>
      <c r="C127" s="267" t="s">
        <v>199</v>
      </c>
      <c r="D127" s="3" t="s">
        <v>196</v>
      </c>
      <c r="E127" s="1497"/>
      <c r="F127" s="1497">
        <v>37980</v>
      </c>
      <c r="G127" s="267" t="s">
        <v>27</v>
      </c>
      <c r="H127" s="3"/>
      <c r="I127" s="3"/>
    </row>
    <row r="128" spans="1:9">
      <c r="A128" s="2">
        <v>44592</v>
      </c>
      <c r="B128" s="267"/>
      <c r="C128" s="267" t="s">
        <v>29</v>
      </c>
      <c r="D128" s="15" t="s">
        <v>200</v>
      </c>
      <c r="E128" s="1497">
        <v>22400</v>
      </c>
      <c r="F128" s="1497"/>
      <c r="G128" s="267" t="s">
        <v>27</v>
      </c>
      <c r="H128" s="3"/>
      <c r="I128" s="3"/>
    </row>
    <row r="129" spans="1:9" ht="15.75" thickBot="1">
      <c r="A129" s="2">
        <v>44592</v>
      </c>
      <c r="B129" s="267"/>
      <c r="C129" s="267" t="s">
        <v>92</v>
      </c>
      <c r="D129" s="3" t="s">
        <v>46</v>
      </c>
      <c r="E129" s="57"/>
      <c r="F129" s="57" t="s">
        <v>201</v>
      </c>
      <c r="G129" s="267" t="s">
        <v>27</v>
      </c>
      <c r="H129" s="3"/>
      <c r="I129" s="3"/>
    </row>
    <row r="130" spans="1:9" ht="15.75" thickBot="1">
      <c r="A130" s="58"/>
      <c r="B130" s="245"/>
      <c r="C130" s="245"/>
      <c r="D130" s="59"/>
      <c r="E130" s="611">
        <f>SUM(E4:E129)</f>
        <v>1093093.31</v>
      </c>
      <c r="F130" s="60">
        <f>SUM(F4:F129)</f>
        <v>959648.33</v>
      </c>
      <c r="G130" s="245"/>
      <c r="H130" s="59"/>
      <c r="I130" s="61"/>
    </row>
    <row r="131" spans="1:9" ht="15.75" thickBot="1">
      <c r="A131" s="234" t="s">
        <v>99</v>
      </c>
      <c r="B131" s="230"/>
      <c r="C131" s="230"/>
      <c r="D131" s="230"/>
      <c r="E131" s="1494"/>
      <c r="F131" s="1494"/>
      <c r="G131" s="230"/>
      <c r="H131" s="230"/>
      <c r="I131" s="235"/>
    </row>
    <row r="132" spans="1:9">
      <c r="A132" s="4">
        <v>44593</v>
      </c>
      <c r="B132" s="62"/>
      <c r="C132" s="62" t="s">
        <v>150</v>
      </c>
      <c r="D132" s="5" t="s">
        <v>202</v>
      </c>
      <c r="E132" s="62">
        <v>31164</v>
      </c>
      <c r="F132" s="62"/>
      <c r="G132" s="62" t="s">
        <v>27</v>
      </c>
      <c r="H132" s="5"/>
      <c r="I132" s="5"/>
    </row>
    <row r="133" spans="1:9">
      <c r="A133" s="2">
        <v>44593</v>
      </c>
      <c r="B133" s="267"/>
      <c r="C133" s="267" t="s">
        <v>150</v>
      </c>
      <c r="D133" s="3" t="s">
        <v>203</v>
      </c>
      <c r="E133" s="1497">
        <v>3450</v>
      </c>
      <c r="F133" s="1497"/>
      <c r="G133" s="267" t="s">
        <v>27</v>
      </c>
      <c r="H133" s="3"/>
      <c r="I133" s="3"/>
    </row>
    <row r="134" spans="1:9">
      <c r="A134" s="2">
        <v>44593</v>
      </c>
      <c r="B134" s="267"/>
      <c r="C134" s="267" t="s">
        <v>92</v>
      </c>
      <c r="D134" s="3" t="s">
        <v>83</v>
      </c>
      <c r="E134" s="1497"/>
      <c r="F134" s="1497">
        <v>48500</v>
      </c>
      <c r="G134" s="267" t="s">
        <v>27</v>
      </c>
      <c r="H134" s="3"/>
      <c r="I134" s="3"/>
    </row>
    <row r="135" spans="1:9">
      <c r="A135" s="2">
        <v>44593</v>
      </c>
      <c r="B135" s="267"/>
      <c r="C135" s="267" t="s">
        <v>77</v>
      </c>
      <c r="D135" s="15" t="s">
        <v>204</v>
      </c>
      <c r="E135" s="1497"/>
      <c r="F135" s="1497">
        <v>74100</v>
      </c>
      <c r="G135" s="267" t="s">
        <v>56</v>
      </c>
      <c r="H135" s="3"/>
      <c r="I135" s="3"/>
    </row>
    <row r="136" spans="1:9">
      <c r="A136" s="2">
        <v>44594</v>
      </c>
      <c r="B136" s="267"/>
      <c r="C136" s="267" t="s">
        <v>205</v>
      </c>
      <c r="D136" s="3" t="s">
        <v>63</v>
      </c>
      <c r="E136" s="1497">
        <v>340</v>
      </c>
      <c r="F136" s="1497"/>
      <c r="G136" s="267" t="s">
        <v>56</v>
      </c>
      <c r="H136" s="3"/>
      <c r="I136" s="3"/>
    </row>
    <row r="137" spans="1:9">
      <c r="A137" s="2">
        <v>44594</v>
      </c>
      <c r="B137" s="267"/>
      <c r="C137" s="267" t="s">
        <v>55</v>
      </c>
      <c r="D137" s="3" t="s">
        <v>55</v>
      </c>
      <c r="E137" s="1497">
        <v>100</v>
      </c>
      <c r="F137" s="1497"/>
      <c r="G137" s="267" t="s">
        <v>56</v>
      </c>
      <c r="H137" s="3"/>
      <c r="I137" s="3"/>
    </row>
    <row r="138" spans="1:9">
      <c r="A138" s="2">
        <v>44594</v>
      </c>
      <c r="B138" s="267"/>
      <c r="C138" s="267" t="s">
        <v>205</v>
      </c>
      <c r="D138" s="3" t="s">
        <v>48</v>
      </c>
      <c r="E138" s="1497">
        <v>50000</v>
      </c>
      <c r="F138" s="1497"/>
      <c r="G138" s="267" t="s">
        <v>56</v>
      </c>
      <c r="H138" s="3"/>
      <c r="I138" s="3"/>
    </row>
    <row r="139" spans="1:9">
      <c r="A139" s="2">
        <v>44594</v>
      </c>
      <c r="B139" s="267"/>
      <c r="C139" s="267" t="s">
        <v>205</v>
      </c>
      <c r="D139" s="3" t="s">
        <v>11</v>
      </c>
      <c r="E139" s="1497">
        <v>54500</v>
      </c>
      <c r="F139" s="1497"/>
      <c r="G139" s="267" t="s">
        <v>56</v>
      </c>
      <c r="H139" s="3"/>
      <c r="I139" s="3"/>
    </row>
    <row r="140" spans="1:9">
      <c r="A140" s="2">
        <v>44594</v>
      </c>
      <c r="B140" s="267"/>
      <c r="C140" s="267" t="s">
        <v>205</v>
      </c>
      <c r="D140" s="3" t="s">
        <v>207</v>
      </c>
      <c r="E140" s="1497">
        <v>28000</v>
      </c>
      <c r="F140" s="1497"/>
      <c r="G140" s="267" t="s">
        <v>72</v>
      </c>
      <c r="H140" s="3"/>
      <c r="I140" s="3"/>
    </row>
    <row r="141" spans="1:9">
      <c r="A141" s="2">
        <v>44594</v>
      </c>
      <c r="B141" s="267"/>
      <c r="C141" s="267" t="s">
        <v>205</v>
      </c>
      <c r="D141" s="3" t="s">
        <v>207</v>
      </c>
      <c r="E141" s="1497">
        <v>5500</v>
      </c>
      <c r="F141" s="1497"/>
      <c r="G141" s="267" t="s">
        <v>206</v>
      </c>
      <c r="H141" s="3"/>
      <c r="I141" s="3"/>
    </row>
    <row r="142" spans="1:9">
      <c r="A142" s="2">
        <v>44595</v>
      </c>
      <c r="B142" s="267"/>
      <c r="C142" s="267" t="s">
        <v>68</v>
      </c>
      <c r="D142" s="3" t="s">
        <v>112</v>
      </c>
      <c r="E142" s="1497">
        <v>1350</v>
      </c>
      <c r="F142" s="1497"/>
      <c r="G142" s="267" t="s">
        <v>56</v>
      </c>
      <c r="H142" s="3"/>
      <c r="I142" s="3"/>
    </row>
    <row r="143" spans="1:9">
      <c r="A143" s="2">
        <v>44595</v>
      </c>
      <c r="B143" s="267"/>
      <c r="C143" s="267" t="s">
        <v>86</v>
      </c>
      <c r="D143" s="3" t="s">
        <v>86</v>
      </c>
      <c r="E143" s="1497">
        <v>2000</v>
      </c>
      <c r="F143" s="1497"/>
      <c r="G143" s="267" t="s">
        <v>27</v>
      </c>
      <c r="H143" s="3"/>
      <c r="I143" s="3"/>
    </row>
    <row r="144" spans="1:9">
      <c r="A144" s="2">
        <v>44596</v>
      </c>
      <c r="B144" s="267"/>
      <c r="C144" s="267" t="s">
        <v>55</v>
      </c>
      <c r="D144" s="3" t="s">
        <v>60</v>
      </c>
      <c r="E144" s="1497">
        <v>650</v>
      </c>
      <c r="F144" s="1497"/>
      <c r="G144" s="267" t="s">
        <v>56</v>
      </c>
      <c r="H144" s="3"/>
      <c r="I144" s="3"/>
    </row>
    <row r="145" spans="1:9">
      <c r="A145" s="2">
        <v>44596</v>
      </c>
      <c r="B145" s="267"/>
      <c r="C145" s="267" t="s">
        <v>88</v>
      </c>
      <c r="D145" s="3" t="s">
        <v>208</v>
      </c>
      <c r="E145" s="1497">
        <v>10000</v>
      </c>
      <c r="F145" s="1497"/>
      <c r="G145" s="267" t="s">
        <v>56</v>
      </c>
      <c r="H145" s="3"/>
      <c r="I145" s="3"/>
    </row>
    <row r="146" spans="1:9">
      <c r="A146" s="2">
        <v>44565</v>
      </c>
      <c r="B146" s="267"/>
      <c r="C146" s="267" t="s">
        <v>55</v>
      </c>
      <c r="D146" s="3" t="s">
        <v>105</v>
      </c>
      <c r="E146" s="1497">
        <v>350</v>
      </c>
      <c r="F146" s="1497"/>
      <c r="G146" s="267" t="s">
        <v>56</v>
      </c>
      <c r="H146" s="3"/>
      <c r="I146" s="3"/>
    </row>
    <row r="147" spans="1:9">
      <c r="A147" s="2">
        <v>44596</v>
      </c>
      <c r="B147" s="267"/>
      <c r="C147" s="267" t="s">
        <v>209</v>
      </c>
      <c r="D147" s="3" t="s">
        <v>95</v>
      </c>
      <c r="E147" s="1497">
        <v>4870</v>
      </c>
      <c r="F147" s="1497"/>
      <c r="G147" s="267" t="s">
        <v>56</v>
      </c>
      <c r="H147" s="3"/>
      <c r="I147" s="3"/>
    </row>
    <row r="148" spans="1:9">
      <c r="A148" s="2">
        <v>44596</v>
      </c>
      <c r="B148" s="267"/>
      <c r="C148" s="267" t="s">
        <v>79</v>
      </c>
      <c r="D148" s="3" t="s">
        <v>151</v>
      </c>
      <c r="E148" s="1497">
        <v>798.08</v>
      </c>
      <c r="F148" s="1497"/>
      <c r="G148" s="267" t="s">
        <v>27</v>
      </c>
      <c r="H148" s="3"/>
      <c r="I148" s="3"/>
    </row>
    <row r="149" spans="1:9">
      <c r="A149" s="2">
        <v>44596</v>
      </c>
      <c r="B149" s="267"/>
      <c r="C149" s="267" t="s">
        <v>65</v>
      </c>
      <c r="D149" s="3" t="s">
        <v>66</v>
      </c>
      <c r="E149" s="1497">
        <v>1560</v>
      </c>
      <c r="F149" s="1497"/>
      <c r="G149" s="267" t="s">
        <v>56</v>
      </c>
      <c r="H149" s="3"/>
      <c r="I149" s="3"/>
    </row>
    <row r="150" spans="1:9">
      <c r="A150" s="2">
        <v>44565</v>
      </c>
      <c r="B150" s="267"/>
      <c r="C150" s="267" t="s">
        <v>79</v>
      </c>
      <c r="D150" s="3" t="s">
        <v>210</v>
      </c>
      <c r="E150" s="1497">
        <v>3180</v>
      </c>
      <c r="F150" s="1497"/>
      <c r="G150" s="267" t="s">
        <v>56</v>
      </c>
      <c r="H150" s="3"/>
      <c r="I150" s="3"/>
    </row>
    <row r="151" spans="1:9">
      <c r="A151" s="2">
        <v>44596</v>
      </c>
      <c r="B151" s="267"/>
      <c r="C151" s="267" t="s">
        <v>55</v>
      </c>
      <c r="D151" s="3" t="s">
        <v>55</v>
      </c>
      <c r="E151" s="1497">
        <v>90</v>
      </c>
      <c r="F151" s="1497"/>
      <c r="G151" s="267" t="s">
        <v>56</v>
      </c>
      <c r="H151" s="3"/>
      <c r="I151" s="3"/>
    </row>
    <row r="152" spans="1:9">
      <c r="A152" s="2">
        <v>44596</v>
      </c>
      <c r="B152" s="267"/>
      <c r="C152" s="267" t="s">
        <v>79</v>
      </c>
      <c r="D152" s="15" t="s">
        <v>211</v>
      </c>
      <c r="E152" s="1497">
        <v>900</v>
      </c>
      <c r="F152" s="1497"/>
      <c r="G152" s="267" t="s">
        <v>56</v>
      </c>
      <c r="H152" s="3"/>
      <c r="I152" s="3"/>
    </row>
    <row r="153" spans="1:9">
      <c r="A153" s="2">
        <v>44596</v>
      </c>
      <c r="B153" s="267"/>
      <c r="C153" s="267" t="s">
        <v>79</v>
      </c>
      <c r="D153" s="15" t="s">
        <v>16</v>
      </c>
      <c r="E153" s="1497">
        <v>8800</v>
      </c>
      <c r="F153" s="1497"/>
      <c r="G153" s="267" t="s">
        <v>56</v>
      </c>
      <c r="H153" s="3"/>
      <c r="I153" s="3"/>
    </row>
    <row r="154" spans="1:9">
      <c r="A154" s="2">
        <v>44596</v>
      </c>
      <c r="B154" s="267"/>
      <c r="C154" s="267" t="s">
        <v>77</v>
      </c>
      <c r="D154" s="3" t="s">
        <v>212</v>
      </c>
      <c r="E154" s="1497"/>
      <c r="F154" s="1497">
        <v>6929.89</v>
      </c>
      <c r="G154" s="267" t="s">
        <v>27</v>
      </c>
      <c r="H154" s="45" t="s">
        <v>213</v>
      </c>
      <c r="I154" s="3"/>
    </row>
    <row r="155" spans="1:9">
      <c r="A155" s="2">
        <v>44596</v>
      </c>
      <c r="B155" s="267"/>
      <c r="C155" s="267" t="s">
        <v>77</v>
      </c>
      <c r="D155" s="3" t="s">
        <v>158</v>
      </c>
      <c r="E155" s="1497"/>
      <c r="F155" s="1497">
        <v>69434.179999999993</v>
      </c>
      <c r="G155" s="267" t="s">
        <v>27</v>
      </c>
      <c r="H155" s="45" t="s">
        <v>214</v>
      </c>
      <c r="I155" s="3"/>
    </row>
    <row r="156" spans="1:9">
      <c r="A156" s="2">
        <v>44596</v>
      </c>
      <c r="B156" s="267"/>
      <c r="C156" s="267" t="s">
        <v>79</v>
      </c>
      <c r="D156" s="3" t="s">
        <v>151</v>
      </c>
      <c r="E156" s="1497">
        <v>900</v>
      </c>
      <c r="F156" s="1497"/>
      <c r="G156" s="267" t="s">
        <v>56</v>
      </c>
      <c r="H156" s="3"/>
      <c r="I156" s="3"/>
    </row>
    <row r="157" spans="1:9">
      <c r="A157" s="2">
        <v>44596</v>
      </c>
      <c r="B157" s="267"/>
      <c r="C157" s="267" t="s">
        <v>88</v>
      </c>
      <c r="D157" s="3" t="s">
        <v>193</v>
      </c>
      <c r="E157" s="1497">
        <v>12000</v>
      </c>
      <c r="F157" s="1497"/>
      <c r="G157" s="267" t="s">
        <v>56</v>
      </c>
      <c r="H157" s="3"/>
      <c r="I157" s="3"/>
    </row>
    <row r="158" spans="1:9">
      <c r="A158" s="2">
        <v>44596</v>
      </c>
      <c r="B158" s="267"/>
      <c r="C158" s="267" t="s">
        <v>88</v>
      </c>
      <c r="D158" s="15" t="s">
        <v>144</v>
      </c>
      <c r="E158" s="1497">
        <v>6000</v>
      </c>
      <c r="F158" s="1497"/>
      <c r="G158" s="267" t="s">
        <v>27</v>
      </c>
      <c r="H158" s="3"/>
      <c r="I158" s="3"/>
    </row>
    <row r="159" spans="1:9">
      <c r="A159" s="2">
        <v>44596</v>
      </c>
      <c r="B159" s="267"/>
      <c r="C159" s="267" t="s">
        <v>88</v>
      </c>
      <c r="D159" s="15" t="s">
        <v>144</v>
      </c>
      <c r="E159" s="1497">
        <v>16500</v>
      </c>
      <c r="F159" s="1497"/>
      <c r="G159" s="267" t="s">
        <v>56</v>
      </c>
      <c r="H159" s="3" t="s">
        <v>217</v>
      </c>
      <c r="I159" s="3"/>
    </row>
    <row r="160" spans="1:9">
      <c r="A160" s="2">
        <v>44596</v>
      </c>
      <c r="B160" s="267"/>
      <c r="C160" s="267" t="s">
        <v>92</v>
      </c>
      <c r="D160" s="3" t="s">
        <v>218</v>
      </c>
      <c r="E160" s="1497"/>
      <c r="F160" s="1497">
        <v>2350</v>
      </c>
      <c r="G160" s="267" t="s">
        <v>56</v>
      </c>
      <c r="H160" s="3"/>
      <c r="I160" s="3"/>
    </row>
    <row r="161" spans="1:9">
      <c r="A161" s="2">
        <v>44597</v>
      </c>
      <c r="B161" s="267"/>
      <c r="C161" s="267" t="s">
        <v>88</v>
      </c>
      <c r="D161" s="3" t="s">
        <v>219</v>
      </c>
      <c r="E161" s="1497">
        <v>18000</v>
      </c>
      <c r="F161" s="1497"/>
      <c r="G161" s="267" t="s">
        <v>56</v>
      </c>
      <c r="H161" s="3"/>
      <c r="I161" s="3"/>
    </row>
    <row r="162" spans="1:9">
      <c r="A162" s="2">
        <v>44597</v>
      </c>
      <c r="B162" s="267"/>
      <c r="C162" s="267" t="s">
        <v>88</v>
      </c>
      <c r="D162" s="3" t="s">
        <v>219</v>
      </c>
      <c r="E162" s="1497">
        <v>17000</v>
      </c>
      <c r="F162" s="1497"/>
      <c r="G162" s="267" t="s">
        <v>56</v>
      </c>
      <c r="H162" s="3"/>
      <c r="I162" s="3"/>
    </row>
    <row r="163" spans="1:9">
      <c r="A163" s="2">
        <v>44597</v>
      </c>
      <c r="B163" s="267"/>
      <c r="C163" s="267" t="s">
        <v>88</v>
      </c>
      <c r="D163" s="15" t="s">
        <v>220</v>
      </c>
      <c r="E163" s="1497">
        <v>1050</v>
      </c>
      <c r="F163" s="1497"/>
      <c r="G163" s="267" t="s">
        <v>56</v>
      </c>
      <c r="H163" s="3"/>
      <c r="I163" s="3"/>
    </row>
    <row r="164" spans="1:9">
      <c r="A164" s="2">
        <v>44600</v>
      </c>
      <c r="B164" s="267"/>
      <c r="C164" s="267" t="s">
        <v>150</v>
      </c>
      <c r="D164" s="3" t="s">
        <v>221</v>
      </c>
      <c r="E164" s="1497" t="s">
        <v>227</v>
      </c>
      <c r="F164" s="1497"/>
      <c r="G164" s="267" t="s">
        <v>108</v>
      </c>
      <c r="H164" s="3"/>
      <c r="I164" s="3"/>
    </row>
    <row r="165" spans="1:9">
      <c r="A165" s="2">
        <v>44600</v>
      </c>
      <c r="B165" s="267"/>
      <c r="C165" s="267" t="s">
        <v>150</v>
      </c>
      <c r="D165" s="3" t="s">
        <v>222</v>
      </c>
      <c r="E165" s="1497">
        <v>1575.09</v>
      </c>
      <c r="F165" s="1497"/>
      <c r="G165" s="267" t="s">
        <v>108</v>
      </c>
      <c r="H165" s="3"/>
      <c r="I165" s="3"/>
    </row>
    <row r="166" spans="1:9">
      <c r="A166" s="2">
        <v>44600</v>
      </c>
      <c r="B166" s="267"/>
      <c r="C166" s="267" t="s">
        <v>150</v>
      </c>
      <c r="D166" s="3" t="s">
        <v>223</v>
      </c>
      <c r="E166" s="1497">
        <v>2500</v>
      </c>
      <c r="F166" s="1497"/>
      <c r="G166" s="267" t="s">
        <v>27</v>
      </c>
      <c r="H166" s="3"/>
      <c r="I166" s="3"/>
    </row>
    <row r="167" spans="1:9">
      <c r="A167" s="2">
        <v>44600</v>
      </c>
      <c r="B167" s="267"/>
      <c r="C167" s="267" t="s">
        <v>55</v>
      </c>
      <c r="D167" s="3" t="s">
        <v>38</v>
      </c>
      <c r="E167" s="1497">
        <v>200</v>
      </c>
      <c r="F167" s="1497"/>
      <c r="G167" s="267" t="s">
        <v>56</v>
      </c>
      <c r="H167" s="45" t="s">
        <v>224</v>
      </c>
      <c r="I167" s="3"/>
    </row>
    <row r="168" spans="1:9">
      <c r="A168" s="2">
        <v>44600</v>
      </c>
      <c r="B168" s="267"/>
      <c r="C168" s="267" t="s">
        <v>178</v>
      </c>
      <c r="D168" s="3" t="s">
        <v>225</v>
      </c>
      <c r="E168" s="1497">
        <v>250</v>
      </c>
      <c r="F168" s="1497"/>
      <c r="G168" s="267" t="s">
        <v>56</v>
      </c>
      <c r="H168" s="3"/>
      <c r="I168" s="3"/>
    </row>
    <row r="169" spans="1:9">
      <c r="A169" s="2">
        <v>44600</v>
      </c>
      <c r="B169" s="267"/>
      <c r="C169" s="267" t="s">
        <v>77</v>
      </c>
      <c r="D169" s="3" t="s">
        <v>158</v>
      </c>
      <c r="E169" s="1497"/>
      <c r="F169" s="1497">
        <v>1000</v>
      </c>
      <c r="G169" s="267" t="s">
        <v>56</v>
      </c>
      <c r="H169" s="3"/>
      <c r="I169" s="3"/>
    </row>
    <row r="170" spans="1:9">
      <c r="A170" s="2">
        <v>44600</v>
      </c>
      <c r="B170" s="267"/>
      <c r="C170" s="267" t="s">
        <v>79</v>
      </c>
      <c r="D170" s="3" t="s">
        <v>226</v>
      </c>
      <c r="E170" s="1497">
        <v>1800</v>
      </c>
      <c r="F170" s="1497"/>
      <c r="G170" s="267" t="s">
        <v>56</v>
      </c>
      <c r="H170" s="3"/>
      <c r="I170" s="3"/>
    </row>
    <row r="171" spans="1:9">
      <c r="A171" s="2">
        <v>44600</v>
      </c>
      <c r="B171" s="267"/>
      <c r="C171" s="267" t="s">
        <v>92</v>
      </c>
      <c r="D171" s="3" t="s">
        <v>228</v>
      </c>
      <c r="E171" s="1497"/>
      <c r="F171" s="1497">
        <v>15200</v>
      </c>
      <c r="G171" s="267" t="s">
        <v>56</v>
      </c>
      <c r="H171" s="3"/>
      <c r="I171" s="3"/>
    </row>
    <row r="172" spans="1:9">
      <c r="A172" s="2">
        <v>44601</v>
      </c>
      <c r="B172" s="267"/>
      <c r="C172" s="267" t="s">
        <v>68</v>
      </c>
      <c r="D172" s="3" t="s">
        <v>112</v>
      </c>
      <c r="E172" s="1497">
        <v>1350</v>
      </c>
      <c r="F172" s="1497"/>
      <c r="G172" s="267" t="s">
        <v>56</v>
      </c>
      <c r="H172" s="3"/>
      <c r="I172" s="3"/>
    </row>
    <row r="173" spans="1:9">
      <c r="A173" s="2">
        <v>44601</v>
      </c>
      <c r="B173" s="267"/>
      <c r="C173" s="267" t="s">
        <v>230</v>
      </c>
      <c r="D173" s="3" t="s">
        <v>36</v>
      </c>
      <c r="E173" s="1497">
        <v>43200</v>
      </c>
      <c r="F173" s="1497"/>
      <c r="G173" s="267" t="s">
        <v>124</v>
      </c>
      <c r="H173" s="45" t="s">
        <v>229</v>
      </c>
      <c r="I173" s="3"/>
    </row>
    <row r="174" spans="1:9">
      <c r="A174" s="2">
        <v>44602</v>
      </c>
      <c r="B174" s="267"/>
      <c r="C174" s="267" t="s">
        <v>79</v>
      </c>
      <c r="D174" s="3" t="s">
        <v>231</v>
      </c>
      <c r="E174" s="1497">
        <v>2150</v>
      </c>
      <c r="F174" s="1497"/>
      <c r="G174" s="267" t="s">
        <v>56</v>
      </c>
      <c r="H174" s="3"/>
      <c r="I174" s="3"/>
    </row>
    <row r="175" spans="1:9">
      <c r="A175" s="2">
        <v>44602</v>
      </c>
      <c r="B175" s="267"/>
      <c r="C175" s="267" t="s">
        <v>199</v>
      </c>
      <c r="D175" s="3" t="s">
        <v>232</v>
      </c>
      <c r="E175" s="1497"/>
      <c r="F175" s="1497">
        <v>28000</v>
      </c>
      <c r="G175" s="267" t="s">
        <v>56</v>
      </c>
      <c r="H175" s="3"/>
      <c r="I175" s="3"/>
    </row>
    <row r="176" spans="1:9">
      <c r="A176" s="2">
        <v>44602</v>
      </c>
      <c r="B176" s="267"/>
      <c r="C176" s="267" t="s">
        <v>79</v>
      </c>
      <c r="D176" s="15" t="s">
        <v>79</v>
      </c>
      <c r="E176" s="1497">
        <v>500</v>
      </c>
      <c r="F176" s="1497"/>
      <c r="G176" s="267" t="s">
        <v>56</v>
      </c>
      <c r="H176" s="3"/>
      <c r="I176" s="3"/>
    </row>
    <row r="177" spans="1:9">
      <c r="A177" s="2">
        <v>44602</v>
      </c>
      <c r="B177" s="267"/>
      <c r="C177" s="267" t="s">
        <v>55</v>
      </c>
      <c r="D177" s="3" t="s">
        <v>233</v>
      </c>
      <c r="E177" s="1497">
        <v>479.93</v>
      </c>
      <c r="F177" s="1497"/>
      <c r="G177" s="267" t="s">
        <v>56</v>
      </c>
      <c r="H177" s="45" t="s">
        <v>224</v>
      </c>
      <c r="I177" s="3"/>
    </row>
    <row r="178" spans="1:9">
      <c r="A178" s="2">
        <v>44602</v>
      </c>
      <c r="B178" s="267"/>
      <c r="C178" s="267" t="s">
        <v>55</v>
      </c>
      <c r="D178" s="3" t="s">
        <v>38</v>
      </c>
      <c r="E178" s="1497">
        <v>480</v>
      </c>
      <c r="F178" s="1497"/>
      <c r="G178" s="267" t="s">
        <v>56</v>
      </c>
      <c r="H178" s="45" t="s">
        <v>224</v>
      </c>
      <c r="I178" s="3"/>
    </row>
    <row r="179" spans="1:9">
      <c r="A179" s="2">
        <v>44602</v>
      </c>
      <c r="B179" s="267"/>
      <c r="C179" s="267" t="s">
        <v>55</v>
      </c>
      <c r="D179" s="3" t="s">
        <v>38</v>
      </c>
      <c r="E179" s="1497">
        <v>140</v>
      </c>
      <c r="F179" s="1497"/>
      <c r="G179" s="267" t="s">
        <v>56</v>
      </c>
      <c r="H179" s="3"/>
      <c r="I179" s="3"/>
    </row>
    <row r="180" spans="1:9">
      <c r="A180" s="2">
        <v>44602</v>
      </c>
      <c r="B180" s="267"/>
      <c r="C180" s="267" t="s">
        <v>79</v>
      </c>
      <c r="D180" s="3" t="s">
        <v>234</v>
      </c>
      <c r="E180" s="1497">
        <v>12000</v>
      </c>
      <c r="F180" s="1497"/>
      <c r="G180" s="267" t="s">
        <v>56</v>
      </c>
      <c r="H180" s="3"/>
      <c r="I180" s="3"/>
    </row>
    <row r="181" spans="1:9">
      <c r="A181" s="2">
        <v>44602</v>
      </c>
      <c r="B181" s="267"/>
      <c r="C181" s="267" t="s">
        <v>77</v>
      </c>
      <c r="D181" s="3" t="s">
        <v>236</v>
      </c>
      <c r="E181" s="1497"/>
      <c r="F181" s="1497">
        <v>13660.34</v>
      </c>
      <c r="G181" s="267" t="s">
        <v>72</v>
      </c>
      <c r="H181" s="3" t="s">
        <v>235</v>
      </c>
      <c r="I181" s="3"/>
    </row>
    <row r="182" spans="1:9">
      <c r="A182" s="2">
        <v>44603</v>
      </c>
      <c r="B182" s="267"/>
      <c r="C182" s="267" t="s">
        <v>55</v>
      </c>
      <c r="D182" s="3" t="s">
        <v>237</v>
      </c>
      <c r="E182" s="1497">
        <v>5000</v>
      </c>
      <c r="F182" s="1497"/>
      <c r="G182" s="267" t="s">
        <v>72</v>
      </c>
      <c r="H182" s="3"/>
      <c r="I182" s="3"/>
    </row>
    <row r="183" spans="1:9">
      <c r="A183" s="2">
        <v>44603</v>
      </c>
      <c r="B183" s="267"/>
      <c r="C183" s="267" t="s">
        <v>62</v>
      </c>
      <c r="D183" s="3" t="s">
        <v>38</v>
      </c>
      <c r="E183" s="1497">
        <v>250</v>
      </c>
      <c r="F183" s="1497"/>
      <c r="G183" s="267" t="s">
        <v>56</v>
      </c>
      <c r="H183" s="3"/>
      <c r="I183" s="3"/>
    </row>
    <row r="184" spans="1:9">
      <c r="A184" s="2">
        <v>44603</v>
      </c>
      <c r="B184" s="267"/>
      <c r="C184" s="267" t="s">
        <v>79</v>
      </c>
      <c r="D184" s="3" t="s">
        <v>79</v>
      </c>
      <c r="E184" s="1497">
        <v>3000</v>
      </c>
      <c r="F184" s="1497"/>
      <c r="G184" s="267" t="s">
        <v>56</v>
      </c>
      <c r="H184" s="3"/>
      <c r="I184" s="3"/>
    </row>
    <row r="185" spans="1:9">
      <c r="A185" s="2">
        <v>44603</v>
      </c>
      <c r="B185" s="267"/>
      <c r="C185" s="267" t="s">
        <v>239</v>
      </c>
      <c r="D185" s="3" t="s">
        <v>238</v>
      </c>
      <c r="E185" s="1497">
        <v>902</v>
      </c>
      <c r="F185" s="1497"/>
      <c r="G185" s="267" t="s">
        <v>56</v>
      </c>
      <c r="H185" s="45" t="s">
        <v>224</v>
      </c>
      <c r="I185" s="3"/>
    </row>
    <row r="186" spans="1:9">
      <c r="A186" s="2">
        <v>44603</v>
      </c>
      <c r="B186" s="267"/>
      <c r="C186" s="267" t="s">
        <v>88</v>
      </c>
      <c r="D186" s="3" t="s">
        <v>88</v>
      </c>
      <c r="E186" s="1497">
        <v>51000</v>
      </c>
      <c r="F186" s="1497"/>
      <c r="G186" s="267" t="s">
        <v>56</v>
      </c>
      <c r="H186" s="45" t="s">
        <v>240</v>
      </c>
      <c r="I186" s="3"/>
    </row>
    <row r="187" spans="1:9">
      <c r="A187" s="2">
        <v>44607</v>
      </c>
      <c r="B187" s="267"/>
      <c r="C187" s="267" t="s">
        <v>79</v>
      </c>
      <c r="D187" s="3" t="s">
        <v>241</v>
      </c>
      <c r="E187" s="1497">
        <v>15000</v>
      </c>
      <c r="F187" s="1497"/>
      <c r="G187" s="267" t="s">
        <v>56</v>
      </c>
      <c r="H187" s="3"/>
      <c r="I187" s="3"/>
    </row>
    <row r="188" spans="1:9">
      <c r="A188" s="2">
        <v>44607</v>
      </c>
      <c r="B188" s="267"/>
      <c r="C188" s="267" t="s">
        <v>55</v>
      </c>
      <c r="D188" s="3" t="s">
        <v>60</v>
      </c>
      <c r="E188" s="1497">
        <v>1670</v>
      </c>
      <c r="F188" s="1497"/>
      <c r="G188" s="267" t="s">
        <v>56</v>
      </c>
      <c r="H188" s="3"/>
      <c r="I188" s="3"/>
    </row>
    <row r="189" spans="1:9">
      <c r="A189" s="2">
        <v>44607</v>
      </c>
      <c r="B189" s="267"/>
      <c r="C189" s="267" t="s">
        <v>55</v>
      </c>
      <c r="D189" s="3" t="s">
        <v>243</v>
      </c>
      <c r="E189" s="1497">
        <v>1600</v>
      </c>
      <c r="F189" s="1497"/>
      <c r="G189" s="267" t="s">
        <v>56</v>
      </c>
      <c r="H189" s="45" t="s">
        <v>244</v>
      </c>
      <c r="I189" s="3"/>
    </row>
    <row r="190" spans="1:9">
      <c r="A190" s="2">
        <v>44608</v>
      </c>
      <c r="B190" s="267"/>
      <c r="C190" s="267" t="s">
        <v>94</v>
      </c>
      <c r="D190" s="3" t="s">
        <v>245</v>
      </c>
      <c r="E190" s="1497">
        <v>4908</v>
      </c>
      <c r="F190" s="1497"/>
      <c r="G190" s="267" t="s">
        <v>56</v>
      </c>
      <c r="H190" s="3"/>
      <c r="I190" s="3"/>
    </row>
    <row r="191" spans="1:9">
      <c r="A191" s="2">
        <v>44608</v>
      </c>
      <c r="B191" s="267"/>
      <c r="C191" s="267" t="s">
        <v>29</v>
      </c>
      <c r="D191" s="3" t="s">
        <v>246</v>
      </c>
      <c r="E191" s="1497">
        <v>1517.7</v>
      </c>
      <c r="F191" s="1497"/>
      <c r="G191" s="267" t="s">
        <v>56</v>
      </c>
      <c r="H191" s="45" t="s">
        <v>244</v>
      </c>
      <c r="I191" s="3"/>
    </row>
    <row r="192" spans="1:9">
      <c r="A192" s="2">
        <v>44608</v>
      </c>
      <c r="B192" s="267"/>
      <c r="C192" s="267" t="s">
        <v>86</v>
      </c>
      <c r="D192" s="3" t="s">
        <v>104</v>
      </c>
      <c r="E192" s="1497">
        <v>2000</v>
      </c>
      <c r="F192" s="1497"/>
      <c r="G192" s="267" t="s">
        <v>56</v>
      </c>
      <c r="H192" s="3"/>
      <c r="I192" s="3"/>
    </row>
    <row r="193" spans="1:9">
      <c r="A193" s="2">
        <v>44608</v>
      </c>
      <c r="B193" s="267"/>
      <c r="C193" s="267" t="s">
        <v>29</v>
      </c>
      <c r="D193" s="3" t="s">
        <v>42</v>
      </c>
      <c r="E193" s="1497">
        <v>2430</v>
      </c>
      <c r="F193" s="1497"/>
      <c r="G193" s="267" t="s">
        <v>206</v>
      </c>
      <c r="H193" s="45" t="s">
        <v>247</v>
      </c>
      <c r="I193" s="3"/>
    </row>
    <row r="194" spans="1:9">
      <c r="A194" s="2">
        <v>44608</v>
      </c>
      <c r="B194" s="267"/>
      <c r="C194" s="267" t="s">
        <v>29</v>
      </c>
      <c r="D194" s="3" t="s">
        <v>42</v>
      </c>
      <c r="E194" s="1497">
        <v>13660.37</v>
      </c>
      <c r="F194" s="1497"/>
      <c r="G194" s="267" t="s">
        <v>72</v>
      </c>
      <c r="H194" s="45" t="s">
        <v>248</v>
      </c>
      <c r="I194" s="3"/>
    </row>
    <row r="195" spans="1:9">
      <c r="A195" s="2">
        <v>44609</v>
      </c>
      <c r="B195" s="267"/>
      <c r="C195" s="267" t="s">
        <v>87</v>
      </c>
      <c r="D195" s="3" t="s">
        <v>249</v>
      </c>
      <c r="E195" s="1497">
        <v>3000</v>
      </c>
      <c r="F195" s="1497"/>
      <c r="G195" s="267" t="s">
        <v>56</v>
      </c>
      <c r="H195" s="45" t="s">
        <v>250</v>
      </c>
      <c r="I195" s="3"/>
    </row>
    <row r="196" spans="1:9">
      <c r="A196" s="2">
        <v>44609</v>
      </c>
      <c r="B196" s="267"/>
      <c r="C196" s="267" t="s">
        <v>62</v>
      </c>
      <c r="D196" s="3" t="s">
        <v>63</v>
      </c>
      <c r="E196" s="1497">
        <v>1144.4100000000001</v>
      </c>
      <c r="F196" s="1497"/>
      <c r="G196" s="267" t="s">
        <v>56</v>
      </c>
      <c r="H196" s="3"/>
      <c r="I196" s="3"/>
    </row>
    <row r="197" spans="1:9">
      <c r="A197" s="2">
        <v>44609</v>
      </c>
      <c r="B197" s="267"/>
      <c r="C197" s="267" t="s">
        <v>55</v>
      </c>
      <c r="D197" s="3" t="s">
        <v>251</v>
      </c>
      <c r="E197" s="1497">
        <v>1000</v>
      </c>
      <c r="F197" s="1497"/>
      <c r="G197" s="267" t="s">
        <v>56</v>
      </c>
      <c r="H197" s="3"/>
      <c r="I197" s="3"/>
    </row>
    <row r="198" spans="1:9">
      <c r="A198" s="2">
        <v>44609</v>
      </c>
      <c r="B198" s="267"/>
      <c r="C198" s="267" t="s">
        <v>62</v>
      </c>
      <c r="D198" s="3" t="s">
        <v>63</v>
      </c>
      <c r="E198" s="1497">
        <v>1184.47</v>
      </c>
      <c r="F198" s="1497"/>
      <c r="G198" s="267" t="s">
        <v>56</v>
      </c>
      <c r="H198" s="3"/>
      <c r="I198" s="3"/>
    </row>
    <row r="199" spans="1:9">
      <c r="A199" s="2">
        <v>44609</v>
      </c>
      <c r="B199" s="267"/>
      <c r="C199" s="267" t="s">
        <v>150</v>
      </c>
      <c r="D199" s="3" t="s">
        <v>252</v>
      </c>
      <c r="E199" s="1497">
        <v>10000</v>
      </c>
      <c r="F199" s="1497"/>
      <c r="G199" s="267" t="s">
        <v>27</v>
      </c>
      <c r="H199" s="3"/>
      <c r="I199" s="3"/>
    </row>
    <row r="200" spans="1:9">
      <c r="A200" s="2">
        <v>44609</v>
      </c>
      <c r="B200" s="267"/>
      <c r="C200" s="267" t="s">
        <v>29</v>
      </c>
      <c r="D200" s="15" t="s">
        <v>48</v>
      </c>
      <c r="E200" s="1497">
        <v>47500</v>
      </c>
      <c r="F200" s="1497"/>
      <c r="G200" s="267" t="s">
        <v>56</v>
      </c>
      <c r="H200" s="45" t="s">
        <v>253</v>
      </c>
      <c r="I200" s="3"/>
    </row>
    <row r="201" spans="1:9">
      <c r="A201" s="2">
        <v>44609</v>
      </c>
      <c r="B201" s="267"/>
      <c r="C201" s="267" t="s">
        <v>230</v>
      </c>
      <c r="D201" s="3" t="s">
        <v>36</v>
      </c>
      <c r="E201" s="1497">
        <v>43000</v>
      </c>
      <c r="F201" s="1497"/>
      <c r="G201" s="267" t="s">
        <v>254</v>
      </c>
      <c r="H201" s="3"/>
      <c r="I201" s="3"/>
    </row>
    <row r="202" spans="1:9">
      <c r="A202" s="2">
        <v>44609</v>
      </c>
      <c r="B202" s="267"/>
      <c r="C202" s="267" t="s">
        <v>230</v>
      </c>
      <c r="D202" s="3" t="s">
        <v>36</v>
      </c>
      <c r="E202" s="1497">
        <v>18800</v>
      </c>
      <c r="F202" s="1497"/>
      <c r="G202" s="267" t="s">
        <v>254</v>
      </c>
      <c r="H202" s="3"/>
      <c r="I202" s="3"/>
    </row>
    <row r="203" spans="1:9">
      <c r="A203" s="2">
        <v>44609</v>
      </c>
      <c r="B203" s="267"/>
      <c r="C203" s="267" t="s">
        <v>55</v>
      </c>
      <c r="D203" s="3" t="s">
        <v>137</v>
      </c>
      <c r="E203" s="1497">
        <v>1000</v>
      </c>
      <c r="F203" s="1497"/>
      <c r="G203" s="267" t="s">
        <v>56</v>
      </c>
      <c r="H203" s="3"/>
      <c r="I203" s="3"/>
    </row>
    <row r="204" spans="1:9">
      <c r="A204" s="2">
        <v>44609</v>
      </c>
      <c r="B204" s="267"/>
      <c r="C204" s="267" t="s">
        <v>62</v>
      </c>
      <c r="D204" s="3" t="s">
        <v>38</v>
      </c>
      <c r="E204" s="1497">
        <v>630</v>
      </c>
      <c r="F204" s="1497"/>
      <c r="G204" s="267" t="s">
        <v>56</v>
      </c>
      <c r="H204" s="3"/>
      <c r="I204" s="3"/>
    </row>
    <row r="205" spans="1:9">
      <c r="A205" s="2">
        <v>44609</v>
      </c>
      <c r="B205" s="267"/>
      <c r="C205" s="267" t="s">
        <v>77</v>
      </c>
      <c r="D205" s="3" t="s">
        <v>258</v>
      </c>
      <c r="E205" s="1497"/>
      <c r="F205" s="1497">
        <v>42300</v>
      </c>
      <c r="G205" s="267" t="s">
        <v>27</v>
      </c>
      <c r="H205" s="3"/>
      <c r="I205" s="3"/>
    </row>
    <row r="206" spans="1:9">
      <c r="A206" s="2">
        <v>44609</v>
      </c>
      <c r="B206" s="267"/>
      <c r="C206" s="267" t="s">
        <v>150</v>
      </c>
      <c r="D206" s="3" t="s">
        <v>257</v>
      </c>
      <c r="E206" s="1497">
        <v>2806.46</v>
      </c>
      <c r="F206" s="1497"/>
      <c r="G206" s="267" t="s">
        <v>27</v>
      </c>
      <c r="H206" s="3"/>
      <c r="I206" s="3"/>
    </row>
    <row r="207" spans="1:9">
      <c r="A207" s="2">
        <v>44610</v>
      </c>
      <c r="B207" s="267"/>
      <c r="C207" s="267" t="s">
        <v>77</v>
      </c>
      <c r="D207" s="3" t="s">
        <v>255</v>
      </c>
      <c r="E207" s="1497"/>
      <c r="F207" s="1497">
        <v>105400</v>
      </c>
      <c r="G207" s="267" t="s">
        <v>27</v>
      </c>
      <c r="H207" s="3"/>
      <c r="I207" s="3"/>
    </row>
    <row r="208" spans="1:9">
      <c r="A208" s="2">
        <v>44610</v>
      </c>
      <c r="B208" s="267"/>
      <c r="C208" s="267" t="s">
        <v>205</v>
      </c>
      <c r="D208" s="15" t="s">
        <v>207</v>
      </c>
      <c r="E208" s="1497">
        <v>4900</v>
      </c>
      <c r="F208" s="1497"/>
      <c r="G208" s="267" t="s">
        <v>124</v>
      </c>
      <c r="H208" s="45" t="s">
        <v>256</v>
      </c>
      <c r="I208" s="3"/>
    </row>
    <row r="209" spans="1:9">
      <c r="A209" s="2">
        <v>44610</v>
      </c>
      <c r="B209" s="267"/>
      <c r="C209" s="267" t="s">
        <v>79</v>
      </c>
      <c r="D209" s="3" t="s">
        <v>166</v>
      </c>
      <c r="E209" s="1497">
        <v>28000</v>
      </c>
      <c r="F209" s="1497"/>
      <c r="G209" s="267" t="s">
        <v>27</v>
      </c>
      <c r="H209" s="3"/>
      <c r="I209" s="3"/>
    </row>
    <row r="210" spans="1:9">
      <c r="A210" s="2">
        <v>44610</v>
      </c>
      <c r="B210" s="267"/>
      <c r="C210" s="267" t="s">
        <v>205</v>
      </c>
      <c r="D210" s="3" t="s">
        <v>11</v>
      </c>
      <c r="E210" s="1497">
        <v>796649</v>
      </c>
      <c r="F210" s="1497"/>
      <c r="G210" s="267" t="s">
        <v>27</v>
      </c>
      <c r="H210" s="3"/>
      <c r="I210" s="3"/>
    </row>
    <row r="211" spans="1:9">
      <c r="A211" s="2">
        <v>44610</v>
      </c>
      <c r="B211" s="267"/>
      <c r="C211" s="267" t="s">
        <v>76</v>
      </c>
      <c r="D211" s="3" t="s">
        <v>204</v>
      </c>
      <c r="E211" s="1497"/>
      <c r="F211" s="1497">
        <v>17500</v>
      </c>
      <c r="G211" s="267" t="s">
        <v>56</v>
      </c>
      <c r="H211" s="3"/>
      <c r="I211" s="3"/>
    </row>
    <row r="212" spans="1:9">
      <c r="A212" s="2">
        <v>44610</v>
      </c>
      <c r="B212" s="267"/>
      <c r="C212" s="267" t="s">
        <v>88</v>
      </c>
      <c r="D212" s="3" t="s">
        <v>259</v>
      </c>
      <c r="E212" s="1497">
        <v>12000</v>
      </c>
      <c r="F212" s="1497"/>
      <c r="G212" s="267" t="s">
        <v>27</v>
      </c>
      <c r="H212" s="3"/>
      <c r="I212" s="3"/>
    </row>
    <row r="213" spans="1:9">
      <c r="A213" s="2">
        <v>44610</v>
      </c>
      <c r="B213" s="267"/>
      <c r="C213" s="267" t="s">
        <v>88</v>
      </c>
      <c r="D213" s="3" t="s">
        <v>88</v>
      </c>
      <c r="E213" s="1497">
        <v>51000</v>
      </c>
      <c r="F213" s="1497"/>
      <c r="G213" s="267" t="s">
        <v>56</v>
      </c>
      <c r="H213" s="3"/>
      <c r="I213" s="3"/>
    </row>
    <row r="214" spans="1:9">
      <c r="A214" s="2">
        <v>44613</v>
      </c>
      <c r="B214" s="267"/>
      <c r="C214" s="267" t="s">
        <v>55</v>
      </c>
      <c r="D214" s="3" t="s">
        <v>261</v>
      </c>
      <c r="E214" s="1497">
        <v>5000</v>
      </c>
      <c r="F214" s="1497"/>
      <c r="G214" s="267" t="s">
        <v>124</v>
      </c>
      <c r="H214" s="3" t="s">
        <v>260</v>
      </c>
      <c r="I214" s="3"/>
    </row>
    <row r="215" spans="1:9">
      <c r="A215" s="2">
        <v>44613</v>
      </c>
      <c r="B215" s="267"/>
      <c r="C215" s="267" t="s">
        <v>94</v>
      </c>
      <c r="D215" s="3" t="s">
        <v>262</v>
      </c>
      <c r="E215" s="1497">
        <v>4800</v>
      </c>
      <c r="F215" s="1497"/>
      <c r="G215" s="267" t="s">
        <v>27</v>
      </c>
      <c r="H215" s="3"/>
      <c r="I215" s="3"/>
    </row>
    <row r="216" spans="1:9">
      <c r="A216" s="2">
        <v>44613</v>
      </c>
      <c r="B216" s="267"/>
      <c r="C216" s="267" t="s">
        <v>55</v>
      </c>
      <c r="D216" s="3" t="s">
        <v>70</v>
      </c>
      <c r="E216" s="1497">
        <v>333</v>
      </c>
      <c r="F216" s="1497"/>
      <c r="G216" s="267" t="s">
        <v>56</v>
      </c>
      <c r="H216" s="3"/>
      <c r="I216" s="3"/>
    </row>
    <row r="217" spans="1:9">
      <c r="A217" s="2">
        <v>44613</v>
      </c>
      <c r="B217" s="267"/>
      <c r="C217" s="267"/>
      <c r="D217" s="3" t="s">
        <v>263</v>
      </c>
      <c r="E217" s="1497">
        <v>1000</v>
      </c>
      <c r="F217" s="1497"/>
      <c r="G217" s="267" t="s">
        <v>56</v>
      </c>
      <c r="H217" s="3"/>
      <c r="I217" s="3"/>
    </row>
    <row r="218" spans="1:9">
      <c r="A218" s="2">
        <v>44613</v>
      </c>
      <c r="B218" s="267"/>
      <c r="C218" s="267" t="s">
        <v>79</v>
      </c>
      <c r="D218" s="3" t="s">
        <v>151</v>
      </c>
      <c r="E218" s="1497">
        <v>5340</v>
      </c>
      <c r="F218" s="1497"/>
      <c r="G218" s="267" t="s">
        <v>27</v>
      </c>
      <c r="H218" s="3"/>
      <c r="I218" s="3"/>
    </row>
    <row r="219" spans="1:9">
      <c r="A219" s="2">
        <v>44613</v>
      </c>
      <c r="B219" s="267"/>
      <c r="C219" s="267" t="s">
        <v>176</v>
      </c>
      <c r="D219" s="3" t="s">
        <v>264</v>
      </c>
      <c r="E219" s="1497">
        <v>35000</v>
      </c>
      <c r="F219" s="1497"/>
      <c r="G219" s="267" t="s">
        <v>27</v>
      </c>
      <c r="H219" s="3"/>
      <c r="I219" s="3"/>
    </row>
    <row r="220" spans="1:9">
      <c r="A220" s="2">
        <v>44613</v>
      </c>
      <c r="B220" s="267"/>
      <c r="C220" s="267" t="s">
        <v>77</v>
      </c>
      <c r="D220" s="3" t="s">
        <v>266</v>
      </c>
      <c r="E220" s="1497"/>
      <c r="F220" s="1497">
        <v>135000</v>
      </c>
      <c r="G220" s="267" t="s">
        <v>265</v>
      </c>
      <c r="H220" s="3"/>
      <c r="I220" s="3"/>
    </row>
    <row r="221" spans="1:9" ht="30">
      <c r="A221" s="2">
        <v>44613</v>
      </c>
      <c r="B221" s="267"/>
      <c r="C221" s="267" t="s">
        <v>77</v>
      </c>
      <c r="D221" s="3" t="s">
        <v>266</v>
      </c>
      <c r="E221" s="1497"/>
      <c r="F221" s="1497">
        <v>72000</v>
      </c>
      <c r="G221" s="267" t="s">
        <v>72</v>
      </c>
      <c r="H221" s="69" t="s">
        <v>268</v>
      </c>
      <c r="I221" s="3"/>
    </row>
    <row r="222" spans="1:9">
      <c r="A222" s="2">
        <v>44613</v>
      </c>
      <c r="B222" s="267"/>
      <c r="C222" s="267" t="s">
        <v>77</v>
      </c>
      <c r="D222" s="3" t="s">
        <v>266</v>
      </c>
      <c r="E222" s="1497"/>
      <c r="F222" s="1497">
        <v>36000</v>
      </c>
      <c r="G222" s="267" t="s">
        <v>56</v>
      </c>
      <c r="H222" s="3"/>
      <c r="I222" s="3"/>
    </row>
    <row r="223" spans="1:9">
      <c r="A223" s="2">
        <v>44613</v>
      </c>
      <c r="B223" s="267"/>
      <c r="C223" s="267" t="s">
        <v>77</v>
      </c>
      <c r="D223" s="3" t="s">
        <v>267</v>
      </c>
      <c r="E223" s="1497"/>
      <c r="F223" s="1497">
        <v>35000</v>
      </c>
      <c r="G223" s="267" t="s">
        <v>56</v>
      </c>
      <c r="H223" s="3"/>
      <c r="I223" s="3"/>
    </row>
    <row r="224" spans="1:9">
      <c r="A224" s="2">
        <v>44614</v>
      </c>
      <c r="B224" s="267"/>
      <c r="C224" s="267" t="s">
        <v>205</v>
      </c>
      <c r="D224" s="3" t="s">
        <v>71</v>
      </c>
      <c r="E224" s="1497">
        <v>45000</v>
      </c>
      <c r="F224" s="1497"/>
      <c r="G224" s="267" t="s">
        <v>27</v>
      </c>
      <c r="H224" s="3"/>
      <c r="I224" s="3"/>
    </row>
    <row r="225" spans="1:9">
      <c r="A225" s="2">
        <v>44614</v>
      </c>
      <c r="B225" s="267"/>
      <c r="C225" s="267" t="s">
        <v>86</v>
      </c>
      <c r="D225" s="3" t="s">
        <v>107</v>
      </c>
      <c r="E225" s="1497">
        <v>3002</v>
      </c>
      <c r="F225" s="1497"/>
      <c r="G225" s="267" t="s">
        <v>27</v>
      </c>
      <c r="H225" s="3"/>
      <c r="I225" s="3"/>
    </row>
    <row r="226" spans="1:9">
      <c r="A226" s="2">
        <v>44614</v>
      </c>
      <c r="B226" s="267"/>
      <c r="C226" s="267" t="s">
        <v>94</v>
      </c>
      <c r="D226" s="3" t="s">
        <v>269</v>
      </c>
      <c r="E226" s="1497">
        <v>1996</v>
      </c>
      <c r="F226" s="1497"/>
      <c r="G226" s="267" t="s">
        <v>27</v>
      </c>
      <c r="H226" s="3"/>
      <c r="I226" s="3"/>
    </row>
    <row r="227" spans="1:9">
      <c r="A227" s="2">
        <v>44615</v>
      </c>
      <c r="B227" s="267"/>
      <c r="C227" s="267" t="s">
        <v>92</v>
      </c>
      <c r="D227" s="3" t="s">
        <v>270</v>
      </c>
      <c r="E227" s="1497"/>
      <c r="F227" s="1497">
        <v>8300</v>
      </c>
      <c r="G227" s="267" t="s">
        <v>56</v>
      </c>
      <c r="H227" s="3"/>
      <c r="I227" s="3"/>
    </row>
    <row r="228" spans="1:9">
      <c r="A228" s="2">
        <v>44615</v>
      </c>
      <c r="B228" s="267"/>
      <c r="C228" s="267" t="s">
        <v>174</v>
      </c>
      <c r="D228" s="15" t="s">
        <v>181</v>
      </c>
      <c r="E228" s="1497">
        <v>2820.41</v>
      </c>
      <c r="F228" s="1497"/>
      <c r="G228" s="267" t="s">
        <v>27</v>
      </c>
      <c r="H228" s="3"/>
      <c r="I228" s="3"/>
    </row>
    <row r="229" spans="1:9">
      <c r="A229" s="2">
        <v>44615</v>
      </c>
      <c r="B229" s="267"/>
      <c r="C229" s="267" t="s">
        <v>174</v>
      </c>
      <c r="D229" s="15" t="s">
        <v>271</v>
      </c>
      <c r="E229" s="1497">
        <v>686.33</v>
      </c>
      <c r="F229" s="1497"/>
      <c r="G229" s="267" t="s">
        <v>27</v>
      </c>
      <c r="H229" s="3"/>
      <c r="I229" s="3"/>
    </row>
    <row r="230" spans="1:9">
      <c r="A230" s="2">
        <v>44615</v>
      </c>
      <c r="B230" s="267"/>
      <c r="C230" s="267" t="s">
        <v>174</v>
      </c>
      <c r="D230" s="15" t="s">
        <v>271</v>
      </c>
      <c r="E230" s="1497">
        <v>686.33</v>
      </c>
      <c r="F230" s="1497"/>
      <c r="G230" s="267" t="s">
        <v>27</v>
      </c>
      <c r="H230" s="3"/>
      <c r="I230" s="3"/>
    </row>
    <row r="231" spans="1:9">
      <c r="A231" s="2">
        <v>44615</v>
      </c>
      <c r="B231" s="267"/>
      <c r="C231" s="267" t="s">
        <v>55</v>
      </c>
      <c r="D231" s="3" t="s">
        <v>70</v>
      </c>
      <c r="E231" s="1497">
        <v>370</v>
      </c>
      <c r="F231" s="1497"/>
      <c r="G231" s="267" t="s">
        <v>56</v>
      </c>
      <c r="H231" s="3"/>
      <c r="I231" s="3"/>
    </row>
    <row r="232" spans="1:9">
      <c r="A232" s="2">
        <v>44615</v>
      </c>
      <c r="B232" s="267"/>
      <c r="C232" s="267" t="s">
        <v>68</v>
      </c>
      <c r="D232" s="15" t="s">
        <v>112</v>
      </c>
      <c r="E232" s="1497">
        <v>1350</v>
      </c>
      <c r="F232" s="1497"/>
      <c r="G232" s="267" t="s">
        <v>56</v>
      </c>
      <c r="H232" s="3"/>
      <c r="I232" s="3"/>
    </row>
    <row r="233" spans="1:9">
      <c r="A233" s="2">
        <v>44615</v>
      </c>
      <c r="B233" s="267"/>
      <c r="C233" s="267" t="s">
        <v>29</v>
      </c>
      <c r="D233" s="3" t="s">
        <v>71</v>
      </c>
      <c r="E233" s="1497">
        <v>11000</v>
      </c>
      <c r="F233" s="1497"/>
      <c r="G233" s="267" t="s">
        <v>56</v>
      </c>
      <c r="H233" s="3"/>
      <c r="I233" s="3"/>
    </row>
    <row r="234" spans="1:9">
      <c r="A234" s="2">
        <v>44615</v>
      </c>
      <c r="B234" s="267"/>
      <c r="C234" s="267" t="s">
        <v>77</v>
      </c>
      <c r="D234" s="3" t="s">
        <v>272</v>
      </c>
      <c r="E234" s="1497"/>
      <c r="F234" s="1497">
        <v>317000</v>
      </c>
      <c r="G234" s="267" t="s">
        <v>56</v>
      </c>
      <c r="H234" s="3"/>
      <c r="I234" s="3"/>
    </row>
    <row r="235" spans="1:9">
      <c r="A235" s="2">
        <v>44615</v>
      </c>
      <c r="B235" s="267"/>
      <c r="C235" s="267" t="s">
        <v>176</v>
      </c>
      <c r="D235" s="3" t="s">
        <v>175</v>
      </c>
      <c r="E235" s="1497">
        <v>2000</v>
      </c>
      <c r="F235" s="1497"/>
      <c r="G235" s="267" t="s">
        <v>27</v>
      </c>
      <c r="H235" s="3"/>
      <c r="I235" s="3"/>
    </row>
    <row r="236" spans="1:9">
      <c r="A236" s="2">
        <v>44615</v>
      </c>
      <c r="B236" s="267"/>
      <c r="C236" s="267" t="s">
        <v>77</v>
      </c>
      <c r="D236" s="3" t="s">
        <v>273</v>
      </c>
      <c r="E236" s="1497"/>
      <c r="F236" s="1497">
        <v>44000</v>
      </c>
      <c r="G236" s="267" t="s">
        <v>27</v>
      </c>
      <c r="H236" s="3"/>
      <c r="I236" s="3"/>
    </row>
    <row r="237" spans="1:9">
      <c r="A237" s="2">
        <v>44615</v>
      </c>
      <c r="B237" s="267"/>
      <c r="C237" s="267" t="s">
        <v>55</v>
      </c>
      <c r="D237" s="3" t="s">
        <v>154</v>
      </c>
      <c r="E237" s="1497">
        <v>500</v>
      </c>
      <c r="F237" s="1497"/>
      <c r="G237" s="267" t="s">
        <v>56</v>
      </c>
      <c r="H237" s="3"/>
      <c r="I237" s="3"/>
    </row>
    <row r="238" spans="1:9">
      <c r="A238" s="2">
        <v>44616</v>
      </c>
      <c r="B238" s="267"/>
      <c r="C238" s="267" t="s">
        <v>77</v>
      </c>
      <c r="D238" s="3" t="s">
        <v>274</v>
      </c>
      <c r="E238" s="1497"/>
      <c r="F238" s="1497">
        <v>8700</v>
      </c>
      <c r="G238" s="267" t="s">
        <v>56</v>
      </c>
      <c r="H238" s="3" t="s">
        <v>199</v>
      </c>
      <c r="I238" s="3"/>
    </row>
    <row r="239" spans="1:9">
      <c r="A239" s="2">
        <v>44616</v>
      </c>
      <c r="B239" s="267"/>
      <c r="C239" s="267" t="s">
        <v>77</v>
      </c>
      <c r="D239" s="3" t="s">
        <v>275</v>
      </c>
      <c r="E239" s="1497"/>
      <c r="F239" s="1497">
        <v>8700</v>
      </c>
      <c r="G239" s="267" t="s">
        <v>56</v>
      </c>
      <c r="H239" s="3" t="s">
        <v>199</v>
      </c>
      <c r="I239" s="3"/>
    </row>
    <row r="240" spans="1:9">
      <c r="A240" s="2">
        <v>44616</v>
      </c>
      <c r="B240" s="267"/>
      <c r="C240" s="267" t="s">
        <v>77</v>
      </c>
      <c r="D240" s="3" t="s">
        <v>276</v>
      </c>
      <c r="E240" s="1497"/>
      <c r="F240" s="1497">
        <v>11800</v>
      </c>
      <c r="G240" s="267" t="s">
        <v>56</v>
      </c>
      <c r="H240" s="3" t="s">
        <v>199</v>
      </c>
      <c r="I240" s="3"/>
    </row>
    <row r="241" spans="1:9">
      <c r="A241" s="2">
        <v>44616</v>
      </c>
      <c r="B241" s="267"/>
      <c r="C241" s="267" t="s">
        <v>205</v>
      </c>
      <c r="D241" s="15" t="s">
        <v>48</v>
      </c>
      <c r="E241" s="1497">
        <v>9000</v>
      </c>
      <c r="F241" s="1497"/>
      <c r="G241" s="267" t="s">
        <v>56</v>
      </c>
      <c r="H241" s="3"/>
      <c r="I241" s="3"/>
    </row>
    <row r="242" spans="1:9">
      <c r="A242" s="2">
        <v>44616</v>
      </c>
      <c r="B242" s="267"/>
      <c r="C242" s="267" t="s">
        <v>86</v>
      </c>
      <c r="D242" s="3" t="s">
        <v>107</v>
      </c>
      <c r="E242" s="1497">
        <v>2500</v>
      </c>
      <c r="F242" s="1497"/>
      <c r="G242" s="267" t="s">
        <v>27</v>
      </c>
      <c r="H242" s="3"/>
      <c r="I242" s="3"/>
    </row>
    <row r="243" spans="1:9">
      <c r="A243" s="2">
        <v>44616</v>
      </c>
      <c r="B243" s="267"/>
      <c r="C243" s="267" t="s">
        <v>77</v>
      </c>
      <c r="D243" s="3" t="s">
        <v>273</v>
      </c>
      <c r="E243" s="1497"/>
      <c r="F243" s="1497">
        <v>2500</v>
      </c>
      <c r="G243" s="267" t="s">
        <v>56</v>
      </c>
      <c r="H243" s="3"/>
      <c r="I243" s="3"/>
    </row>
    <row r="244" spans="1:9">
      <c r="A244" s="2">
        <v>44616</v>
      </c>
      <c r="B244" s="267"/>
      <c r="C244" s="267" t="s">
        <v>88</v>
      </c>
      <c r="D244" s="3" t="s">
        <v>259</v>
      </c>
      <c r="E244" s="1497">
        <v>9000</v>
      </c>
      <c r="F244" s="1497"/>
      <c r="G244" s="267" t="s">
        <v>27</v>
      </c>
      <c r="H244" s="3"/>
      <c r="I244" s="3"/>
    </row>
    <row r="245" spans="1:9">
      <c r="A245" s="2">
        <v>44616</v>
      </c>
      <c r="B245" s="267"/>
      <c r="C245" s="267" t="s">
        <v>88</v>
      </c>
      <c r="D245" s="15" t="s">
        <v>88</v>
      </c>
      <c r="E245" s="1497">
        <v>54000</v>
      </c>
      <c r="F245" s="1497"/>
      <c r="G245" s="267" t="s">
        <v>56</v>
      </c>
      <c r="H245" s="71">
        <v>37000</v>
      </c>
      <c r="I245" s="3"/>
    </row>
    <row r="246" spans="1:9">
      <c r="A246" s="2">
        <v>44616</v>
      </c>
      <c r="B246" s="267"/>
      <c r="C246" s="267" t="s">
        <v>88</v>
      </c>
      <c r="D246" s="15" t="s">
        <v>232</v>
      </c>
      <c r="E246" s="1497">
        <v>28520</v>
      </c>
      <c r="F246" s="1497"/>
      <c r="G246" s="267" t="s">
        <v>27</v>
      </c>
      <c r="H246" s="3"/>
      <c r="I246" s="3"/>
    </row>
    <row r="247" spans="1:9">
      <c r="A247" s="168"/>
      <c r="B247" s="227"/>
      <c r="C247" s="227"/>
      <c r="D247" s="169"/>
      <c r="E247" s="1451">
        <f>SUM(E132:E246)</f>
        <v>1695133.5799999998</v>
      </c>
      <c r="F247" s="1451">
        <f>SUM(F132:F246)</f>
        <v>1103374.4100000001</v>
      </c>
      <c r="G247" s="227"/>
      <c r="H247" s="161"/>
      <c r="I247" s="170"/>
    </row>
    <row r="248" spans="1:9">
      <c r="A248" s="236" t="s">
        <v>279</v>
      </c>
      <c r="B248" s="237"/>
      <c r="C248" s="237"/>
      <c r="D248" s="237"/>
      <c r="E248" s="1499"/>
      <c r="F248" s="1499"/>
      <c r="G248" s="237"/>
      <c r="H248" s="237"/>
      <c r="I248" s="238"/>
    </row>
    <row r="249" spans="1:9">
      <c r="A249" s="2">
        <v>44622</v>
      </c>
      <c r="B249" s="267"/>
      <c r="C249" s="267" t="s">
        <v>79</v>
      </c>
      <c r="D249" s="71" t="s">
        <v>277</v>
      </c>
      <c r="E249" s="1497">
        <v>2500</v>
      </c>
      <c r="F249" s="1497"/>
      <c r="G249" s="267" t="s">
        <v>56</v>
      </c>
      <c r="H249" s="267"/>
      <c r="I249" s="267"/>
    </row>
    <row r="250" spans="1:9">
      <c r="A250" s="2">
        <v>44622</v>
      </c>
      <c r="B250" s="267"/>
      <c r="C250" s="267" t="s">
        <v>156</v>
      </c>
      <c r="D250" s="15" t="s">
        <v>156</v>
      </c>
      <c r="E250" s="1497">
        <v>12557.95</v>
      </c>
      <c r="F250" s="1497"/>
      <c r="G250" s="267" t="s">
        <v>108</v>
      </c>
      <c r="H250" s="3"/>
      <c r="I250" s="3"/>
    </row>
    <row r="251" spans="1:9">
      <c r="A251" s="2">
        <v>44622</v>
      </c>
      <c r="B251" s="267"/>
      <c r="C251" s="267" t="s">
        <v>150</v>
      </c>
      <c r="D251" s="3" t="s">
        <v>278</v>
      </c>
      <c r="E251" s="1497">
        <v>19000</v>
      </c>
      <c r="F251" s="1497"/>
      <c r="G251" s="267" t="s">
        <v>56</v>
      </c>
      <c r="H251" s="3"/>
      <c r="I251" s="3"/>
    </row>
    <row r="252" spans="1:9">
      <c r="A252" s="2">
        <v>44622</v>
      </c>
      <c r="B252" s="267"/>
      <c r="C252" s="267" t="s">
        <v>55</v>
      </c>
      <c r="D252" s="3" t="s">
        <v>280</v>
      </c>
      <c r="E252" s="1497">
        <v>4800</v>
      </c>
      <c r="F252" s="1497"/>
      <c r="G252" s="267" t="s">
        <v>56</v>
      </c>
      <c r="H252" s="3"/>
      <c r="I252" s="3"/>
    </row>
    <row r="253" spans="1:9">
      <c r="A253" s="2">
        <v>44622</v>
      </c>
      <c r="B253" s="267"/>
      <c r="C253" s="267" t="s">
        <v>86</v>
      </c>
      <c r="D253" s="3" t="s">
        <v>86</v>
      </c>
      <c r="E253" s="70">
        <v>2500</v>
      </c>
      <c r="F253" s="1497"/>
      <c r="G253" s="267" t="s">
        <v>56</v>
      </c>
      <c r="H253" s="3"/>
      <c r="I253" s="3"/>
    </row>
    <row r="254" spans="1:9">
      <c r="A254" s="2">
        <v>44622</v>
      </c>
      <c r="B254" s="267"/>
      <c r="C254" s="267" t="s">
        <v>77</v>
      </c>
      <c r="D254" s="3" t="s">
        <v>179</v>
      </c>
      <c r="E254" s="1497"/>
      <c r="F254" s="1497">
        <v>148083.4</v>
      </c>
      <c r="G254" s="267"/>
      <c r="H254" s="3"/>
      <c r="I254" s="3"/>
    </row>
    <row r="255" spans="1:9">
      <c r="A255" s="2"/>
      <c r="B255" s="267"/>
      <c r="C255" s="267"/>
      <c r="D255" s="3"/>
      <c r="E255" s="1497"/>
      <c r="F255" s="1497"/>
      <c r="G255" s="267"/>
      <c r="H255" s="3"/>
      <c r="I255" s="3"/>
    </row>
    <row r="256" spans="1:9">
      <c r="A256" s="2">
        <v>44623</v>
      </c>
      <c r="B256" s="267"/>
      <c r="C256" s="267" t="s">
        <v>282</v>
      </c>
      <c r="D256" s="3" t="s">
        <v>281</v>
      </c>
      <c r="E256" s="1497">
        <v>17657.39</v>
      </c>
      <c r="F256" s="1497"/>
      <c r="G256" s="267" t="s">
        <v>27</v>
      </c>
      <c r="H256" s="3"/>
      <c r="I256" s="3"/>
    </row>
    <row r="257" spans="1:9">
      <c r="A257" s="2">
        <v>44623</v>
      </c>
      <c r="B257" s="267"/>
      <c r="C257" s="267" t="s">
        <v>29</v>
      </c>
      <c r="D257" s="3" t="s">
        <v>284</v>
      </c>
      <c r="E257" s="1497"/>
      <c r="F257" s="1497">
        <v>17500</v>
      </c>
      <c r="G257" s="267" t="s">
        <v>27</v>
      </c>
      <c r="H257" s="3"/>
      <c r="I257" s="3"/>
    </row>
    <row r="258" spans="1:9">
      <c r="A258" s="2">
        <v>44623</v>
      </c>
      <c r="B258" s="267"/>
      <c r="C258" s="267" t="s">
        <v>29</v>
      </c>
      <c r="D258" s="3" t="s">
        <v>53</v>
      </c>
      <c r="E258" s="1497">
        <v>7250.01</v>
      </c>
      <c r="F258" s="1497"/>
      <c r="G258" s="267" t="s">
        <v>27</v>
      </c>
      <c r="H258" s="3"/>
      <c r="I258" s="3"/>
    </row>
    <row r="259" spans="1:9">
      <c r="A259" s="2">
        <v>44623</v>
      </c>
      <c r="B259" s="267"/>
      <c r="C259" s="267" t="s">
        <v>29</v>
      </c>
      <c r="D259" s="15" t="s">
        <v>283</v>
      </c>
      <c r="E259" s="1497">
        <v>22564.080000000002</v>
      </c>
      <c r="F259" s="1497"/>
      <c r="G259" s="267" t="s">
        <v>27</v>
      </c>
      <c r="H259" s="3"/>
      <c r="I259" s="3"/>
    </row>
    <row r="260" spans="1:9">
      <c r="A260" s="2">
        <v>44623</v>
      </c>
      <c r="B260" s="267"/>
      <c r="C260" s="267" t="s">
        <v>29</v>
      </c>
      <c r="D260" s="15" t="s">
        <v>285</v>
      </c>
      <c r="E260" s="1497">
        <v>10000</v>
      </c>
      <c r="F260" s="1497"/>
      <c r="G260" s="267" t="s">
        <v>27</v>
      </c>
      <c r="H260" s="3"/>
      <c r="I260" s="3"/>
    </row>
    <row r="261" spans="1:9">
      <c r="A261" s="2">
        <v>44623</v>
      </c>
      <c r="B261" s="267"/>
      <c r="C261" s="267" t="s">
        <v>29</v>
      </c>
      <c r="D261" s="15" t="s">
        <v>207</v>
      </c>
      <c r="E261" s="1497">
        <v>27800</v>
      </c>
      <c r="F261" s="1497"/>
      <c r="G261" s="267" t="s">
        <v>27</v>
      </c>
      <c r="H261" s="3"/>
      <c r="I261" s="3"/>
    </row>
    <row r="262" spans="1:9">
      <c r="A262" s="2">
        <v>44623</v>
      </c>
      <c r="B262" s="267"/>
      <c r="C262" s="267" t="s">
        <v>29</v>
      </c>
      <c r="D262" s="15" t="s">
        <v>35</v>
      </c>
      <c r="E262" s="1497">
        <v>17764</v>
      </c>
      <c r="F262" s="1497"/>
      <c r="G262" s="267" t="s">
        <v>27</v>
      </c>
      <c r="H262" s="3"/>
      <c r="I262" s="3"/>
    </row>
    <row r="263" spans="1:9">
      <c r="A263" s="2">
        <v>44623</v>
      </c>
      <c r="B263" s="267"/>
      <c r="C263" s="267" t="s">
        <v>79</v>
      </c>
      <c r="D263" s="3" t="s">
        <v>151</v>
      </c>
      <c r="E263" s="1497">
        <v>28115.439999999999</v>
      </c>
      <c r="F263" s="1497"/>
      <c r="G263" s="267" t="s">
        <v>27</v>
      </c>
      <c r="H263" s="3"/>
      <c r="I263" s="3"/>
    </row>
    <row r="264" spans="1:9">
      <c r="A264" s="2">
        <v>44623</v>
      </c>
      <c r="B264" s="267"/>
      <c r="C264" s="267" t="s">
        <v>94</v>
      </c>
      <c r="D264" s="3" t="s">
        <v>17</v>
      </c>
      <c r="E264" s="1497">
        <v>4354.78</v>
      </c>
      <c r="F264" s="1497"/>
      <c r="G264" s="267" t="s">
        <v>27</v>
      </c>
      <c r="H264" s="3"/>
      <c r="I264" s="3"/>
    </row>
    <row r="265" spans="1:9">
      <c r="A265" s="2">
        <v>44623</v>
      </c>
      <c r="B265" s="267" t="s">
        <v>286</v>
      </c>
      <c r="C265" s="267" t="s">
        <v>55</v>
      </c>
      <c r="D265" s="15" t="s">
        <v>225</v>
      </c>
      <c r="E265" s="1497">
        <v>500</v>
      </c>
      <c r="F265" s="1497"/>
      <c r="G265" s="267" t="s">
        <v>56</v>
      </c>
      <c r="H265" s="3"/>
      <c r="I265" s="3"/>
    </row>
    <row r="266" spans="1:9">
      <c r="A266" s="2">
        <v>44623</v>
      </c>
      <c r="B266" s="267"/>
      <c r="C266" s="267" t="s">
        <v>29</v>
      </c>
      <c r="D266" s="3" t="s">
        <v>45</v>
      </c>
      <c r="E266" s="1497">
        <v>13614</v>
      </c>
      <c r="F266" s="1497"/>
      <c r="G266" s="267" t="s">
        <v>27</v>
      </c>
      <c r="H266" s="3"/>
      <c r="I266" s="3"/>
    </row>
    <row r="267" spans="1:9">
      <c r="A267" s="2">
        <v>44623</v>
      </c>
      <c r="B267" s="267"/>
      <c r="C267" s="267" t="s">
        <v>29</v>
      </c>
      <c r="D267" s="3" t="s">
        <v>45</v>
      </c>
      <c r="E267" s="1497">
        <v>27000</v>
      </c>
      <c r="F267" s="1497"/>
      <c r="G267" s="267" t="s">
        <v>287</v>
      </c>
      <c r="H267" s="3"/>
      <c r="I267" s="3"/>
    </row>
    <row r="268" spans="1:9">
      <c r="A268" s="2">
        <v>44623</v>
      </c>
      <c r="B268" s="267"/>
      <c r="C268" s="267" t="s">
        <v>29</v>
      </c>
      <c r="D268" s="3" t="s">
        <v>288</v>
      </c>
      <c r="E268" s="1497">
        <v>4320</v>
      </c>
      <c r="F268" s="1497"/>
      <c r="G268" s="267" t="s">
        <v>56</v>
      </c>
      <c r="H268" s="3"/>
      <c r="I268" s="3"/>
    </row>
    <row r="269" spans="1:9">
      <c r="A269" s="2">
        <v>44623</v>
      </c>
      <c r="B269" s="267"/>
      <c r="C269" s="267" t="s">
        <v>77</v>
      </c>
      <c r="D269" s="3" t="s">
        <v>273</v>
      </c>
      <c r="E269" s="1497"/>
      <c r="F269" s="1497" t="s">
        <v>289</v>
      </c>
      <c r="G269" s="267" t="s">
        <v>27</v>
      </c>
      <c r="H269" s="3"/>
      <c r="I269" s="3"/>
    </row>
    <row r="270" spans="1:9">
      <c r="A270" s="2">
        <v>44624</v>
      </c>
      <c r="B270" s="267"/>
      <c r="C270" s="267" t="s">
        <v>88</v>
      </c>
      <c r="D270" s="3" t="s">
        <v>208</v>
      </c>
      <c r="E270" s="1497">
        <v>9450</v>
      </c>
      <c r="F270" s="1497"/>
      <c r="G270" s="267" t="s">
        <v>56</v>
      </c>
      <c r="H270" s="3"/>
      <c r="I270" s="3"/>
    </row>
    <row r="271" spans="1:9">
      <c r="A271" s="2">
        <v>44624</v>
      </c>
      <c r="B271" s="267"/>
      <c r="C271" s="267" t="s">
        <v>55</v>
      </c>
      <c r="D271" s="3" t="s">
        <v>290</v>
      </c>
      <c r="E271" s="1497">
        <v>2100</v>
      </c>
      <c r="F271" s="1497"/>
      <c r="G271" s="267" t="s">
        <v>56</v>
      </c>
      <c r="H271" s="3"/>
      <c r="I271" s="3"/>
    </row>
    <row r="272" spans="1:9">
      <c r="A272" s="2">
        <v>44624</v>
      </c>
      <c r="B272" s="267"/>
      <c r="C272" s="267" t="s">
        <v>94</v>
      </c>
      <c r="D272" s="3" t="s">
        <v>13</v>
      </c>
      <c r="E272" s="1497">
        <v>1880</v>
      </c>
      <c r="F272" s="1497"/>
      <c r="G272" s="267" t="s">
        <v>27</v>
      </c>
      <c r="H272" s="3"/>
      <c r="I272" s="3"/>
    </row>
    <row r="273" spans="1:9">
      <c r="A273" s="2">
        <v>44624</v>
      </c>
      <c r="B273" s="267"/>
      <c r="C273" s="267" t="s">
        <v>176</v>
      </c>
      <c r="D273" s="3" t="s">
        <v>291</v>
      </c>
      <c r="E273" s="1497">
        <v>3500</v>
      </c>
      <c r="F273" s="1497"/>
      <c r="G273" s="267" t="s">
        <v>56</v>
      </c>
      <c r="H273" s="3"/>
      <c r="I273" s="3"/>
    </row>
    <row r="274" spans="1:9">
      <c r="A274" s="2">
        <v>44624</v>
      </c>
      <c r="B274" s="267"/>
      <c r="C274" s="267" t="s">
        <v>88</v>
      </c>
      <c r="D274" s="3" t="s">
        <v>144</v>
      </c>
      <c r="E274" s="1497">
        <v>5000</v>
      </c>
      <c r="F274" s="1497"/>
      <c r="G274" s="267" t="s">
        <v>27</v>
      </c>
      <c r="H274" s="3"/>
      <c r="I274" s="3"/>
    </row>
    <row r="275" spans="1:9">
      <c r="A275" s="2">
        <v>44624</v>
      </c>
      <c r="B275" s="267"/>
      <c r="C275" s="267" t="s">
        <v>88</v>
      </c>
      <c r="D275" s="3" t="s">
        <v>88</v>
      </c>
      <c r="E275" s="1497">
        <v>47500</v>
      </c>
      <c r="F275" s="1497"/>
      <c r="G275" s="267" t="s">
        <v>56</v>
      </c>
      <c r="H275" s="3" t="s">
        <v>292</v>
      </c>
      <c r="I275" s="3"/>
    </row>
    <row r="276" spans="1:9">
      <c r="A276" s="2">
        <v>44627</v>
      </c>
      <c r="B276" s="267"/>
      <c r="C276" s="267" t="s">
        <v>97</v>
      </c>
      <c r="D276" s="15" t="s">
        <v>294</v>
      </c>
      <c r="E276" s="1497">
        <v>2340</v>
      </c>
      <c r="F276" s="1497"/>
      <c r="G276" s="267" t="s">
        <v>27</v>
      </c>
      <c r="H276" s="3"/>
      <c r="I276" s="3"/>
    </row>
    <row r="277" spans="1:9">
      <c r="A277" s="2">
        <v>44627</v>
      </c>
      <c r="B277" s="267"/>
      <c r="C277" s="267" t="s">
        <v>97</v>
      </c>
      <c r="D277" s="15" t="s">
        <v>293</v>
      </c>
      <c r="E277" s="1497">
        <v>39875</v>
      </c>
      <c r="F277" s="1497"/>
      <c r="G277" s="267" t="s">
        <v>27</v>
      </c>
      <c r="H277" s="3"/>
      <c r="I277" s="3"/>
    </row>
    <row r="278" spans="1:9">
      <c r="A278" s="2">
        <v>44627</v>
      </c>
      <c r="B278" s="267"/>
      <c r="C278" s="267" t="s">
        <v>55</v>
      </c>
      <c r="D278" s="3" t="s">
        <v>70</v>
      </c>
      <c r="E278" s="1497">
        <v>807</v>
      </c>
      <c r="F278" s="1497"/>
      <c r="G278" s="267" t="s">
        <v>27</v>
      </c>
      <c r="H278" s="3"/>
      <c r="I278" s="3"/>
    </row>
    <row r="279" spans="1:9">
      <c r="A279" s="2">
        <v>44627</v>
      </c>
      <c r="B279" s="267"/>
      <c r="C279" s="267" t="s">
        <v>79</v>
      </c>
      <c r="D279" s="3" t="s">
        <v>151</v>
      </c>
      <c r="E279" s="1497">
        <v>11747</v>
      </c>
      <c r="F279" s="1497"/>
      <c r="G279" s="267" t="s">
        <v>27</v>
      </c>
      <c r="H279" s="3"/>
      <c r="I279" s="3"/>
    </row>
    <row r="280" spans="1:9">
      <c r="A280" s="2">
        <v>44627</v>
      </c>
      <c r="B280" s="267"/>
      <c r="C280" s="267" t="s">
        <v>103</v>
      </c>
      <c r="D280" s="3" t="s">
        <v>100</v>
      </c>
      <c r="E280" s="1497">
        <v>1436.45</v>
      </c>
      <c r="F280" s="1497"/>
      <c r="G280" s="267" t="s">
        <v>27</v>
      </c>
      <c r="H280" s="3"/>
      <c r="I280" s="3"/>
    </row>
    <row r="281" spans="1:9">
      <c r="A281" s="2">
        <v>44627</v>
      </c>
      <c r="B281" s="267"/>
      <c r="C281" s="267" t="s">
        <v>103</v>
      </c>
      <c r="D281" s="3" t="s">
        <v>100</v>
      </c>
      <c r="E281" s="1497">
        <v>1965.94</v>
      </c>
      <c r="F281" s="1497"/>
      <c r="G281" s="267" t="s">
        <v>27</v>
      </c>
      <c r="H281" s="3"/>
      <c r="I281" s="3"/>
    </row>
    <row r="282" spans="1:9">
      <c r="A282" s="2">
        <v>44627</v>
      </c>
      <c r="B282" s="267"/>
      <c r="C282" s="267" t="s">
        <v>103</v>
      </c>
      <c r="D282" s="3" t="s">
        <v>295</v>
      </c>
      <c r="E282" s="1497">
        <v>1264.51</v>
      </c>
      <c r="F282" s="1497"/>
      <c r="G282" s="267" t="s">
        <v>27</v>
      </c>
      <c r="H282" s="3"/>
      <c r="I282" s="3"/>
    </row>
    <row r="283" spans="1:9">
      <c r="A283" s="2">
        <v>44627</v>
      </c>
      <c r="B283" s="267"/>
      <c r="C283" s="267" t="s">
        <v>103</v>
      </c>
      <c r="D283" s="3" t="s">
        <v>295</v>
      </c>
      <c r="E283" s="1497">
        <v>1159.6600000000001</v>
      </c>
      <c r="F283" s="1497"/>
      <c r="G283" s="267" t="s">
        <v>27</v>
      </c>
      <c r="H283" s="3"/>
      <c r="I283" s="3"/>
    </row>
    <row r="284" spans="1:9">
      <c r="A284" s="2">
        <v>44627</v>
      </c>
      <c r="B284" s="267"/>
      <c r="C284" s="267" t="s">
        <v>77</v>
      </c>
      <c r="D284" s="3" t="s">
        <v>296</v>
      </c>
      <c r="E284" s="1497"/>
      <c r="F284" s="1497">
        <v>14800</v>
      </c>
      <c r="G284" s="267" t="s">
        <v>72</v>
      </c>
      <c r="H284" s="3" t="s">
        <v>297</v>
      </c>
      <c r="I284" s="3"/>
    </row>
    <row r="285" spans="1:9">
      <c r="A285" s="2">
        <v>44627</v>
      </c>
      <c r="B285" s="267"/>
      <c r="C285" s="267" t="s">
        <v>92</v>
      </c>
      <c r="D285" s="3" t="s">
        <v>304</v>
      </c>
      <c r="E285" s="1497"/>
      <c r="F285" s="1497">
        <v>3025</v>
      </c>
      <c r="G285" s="267" t="s">
        <v>56</v>
      </c>
      <c r="H285" s="3"/>
      <c r="I285" s="3"/>
    </row>
    <row r="286" spans="1:9">
      <c r="A286" s="2">
        <v>44627</v>
      </c>
      <c r="B286" s="267"/>
      <c r="C286" s="267" t="s">
        <v>92</v>
      </c>
      <c r="D286" s="3" t="s">
        <v>300</v>
      </c>
      <c r="E286" s="1497"/>
      <c r="F286" s="1497">
        <v>30000</v>
      </c>
      <c r="G286" s="267" t="s">
        <v>56</v>
      </c>
      <c r="H286" s="3" t="s">
        <v>305</v>
      </c>
      <c r="I286" s="3"/>
    </row>
    <row r="287" spans="1:9">
      <c r="A287" s="2">
        <v>44627</v>
      </c>
      <c r="B287" s="267"/>
      <c r="C287" s="267" t="s">
        <v>92</v>
      </c>
      <c r="D287" s="3" t="s">
        <v>46</v>
      </c>
      <c r="E287" s="1497"/>
      <c r="F287" s="1497">
        <v>5980</v>
      </c>
      <c r="G287" s="267" t="s">
        <v>27</v>
      </c>
      <c r="H287" s="3"/>
      <c r="I287" s="3"/>
    </row>
    <row r="288" spans="1:9">
      <c r="A288" s="2">
        <v>44627</v>
      </c>
      <c r="B288" s="267"/>
      <c r="C288" s="267" t="s">
        <v>92</v>
      </c>
      <c r="D288" s="3" t="s">
        <v>302</v>
      </c>
      <c r="E288" s="1497"/>
      <c r="F288" s="1497">
        <v>17300</v>
      </c>
      <c r="G288" s="267" t="s">
        <v>27</v>
      </c>
      <c r="H288" s="3"/>
      <c r="I288" s="3"/>
    </row>
    <row r="289" spans="1:9">
      <c r="A289" s="2">
        <v>44627</v>
      </c>
      <c r="B289" s="267"/>
      <c r="C289" s="267" t="s">
        <v>92</v>
      </c>
      <c r="D289" s="15" t="s">
        <v>306</v>
      </c>
      <c r="E289" s="1497">
        <v>1500</v>
      </c>
      <c r="F289" s="1497"/>
      <c r="G289" s="267" t="s">
        <v>56</v>
      </c>
      <c r="H289" s="3"/>
      <c r="I289" s="3"/>
    </row>
    <row r="290" spans="1:9">
      <c r="A290" s="2">
        <v>44627</v>
      </c>
      <c r="B290" s="267"/>
      <c r="C290" s="267" t="s">
        <v>308</v>
      </c>
      <c r="D290" s="3" t="s">
        <v>307</v>
      </c>
      <c r="E290" s="1497">
        <v>9500</v>
      </c>
      <c r="F290" s="1497"/>
      <c r="G290" s="267" t="s">
        <v>27</v>
      </c>
      <c r="H290" s="3"/>
      <c r="I290" s="3"/>
    </row>
    <row r="291" spans="1:9">
      <c r="A291" s="2">
        <v>44627</v>
      </c>
      <c r="B291" s="267"/>
      <c r="C291" s="267" t="s">
        <v>79</v>
      </c>
      <c r="D291" s="3" t="s">
        <v>151</v>
      </c>
      <c r="E291" s="1497">
        <v>2477.1</v>
      </c>
      <c r="F291" s="1497"/>
      <c r="G291" s="267" t="s">
        <v>27</v>
      </c>
      <c r="H291" s="3"/>
      <c r="I291" s="3"/>
    </row>
    <row r="292" spans="1:9">
      <c r="A292" s="2">
        <v>44627</v>
      </c>
      <c r="B292" s="267"/>
      <c r="C292" s="267" t="s">
        <v>79</v>
      </c>
      <c r="D292" s="3" t="s">
        <v>310</v>
      </c>
      <c r="E292" s="1497">
        <v>5020</v>
      </c>
      <c r="F292" s="1497"/>
      <c r="G292" s="267" t="s">
        <v>27</v>
      </c>
      <c r="H292" s="3"/>
      <c r="I292" s="3"/>
    </row>
    <row r="293" spans="1:9">
      <c r="A293" s="2">
        <v>44628</v>
      </c>
      <c r="B293" s="267"/>
      <c r="C293" s="267" t="s">
        <v>185</v>
      </c>
      <c r="D293" s="3" t="s">
        <v>185</v>
      </c>
      <c r="E293" s="1497"/>
      <c r="F293" s="1497">
        <v>400000</v>
      </c>
      <c r="G293" s="267" t="s">
        <v>27</v>
      </c>
      <c r="H293" s="3"/>
      <c r="I293" s="3"/>
    </row>
    <row r="294" spans="1:9">
      <c r="A294" s="2">
        <v>44628</v>
      </c>
      <c r="B294" s="267"/>
      <c r="C294" s="267" t="s">
        <v>185</v>
      </c>
      <c r="D294" s="3" t="s">
        <v>311</v>
      </c>
      <c r="E294" s="1497">
        <v>149023.59</v>
      </c>
      <c r="F294" s="1497"/>
      <c r="G294" s="267" t="s">
        <v>27</v>
      </c>
      <c r="H294" s="3"/>
      <c r="I294" s="3"/>
    </row>
    <row r="295" spans="1:9">
      <c r="A295" s="2">
        <v>44628</v>
      </c>
      <c r="B295" s="267"/>
      <c r="C295" s="267" t="s">
        <v>28</v>
      </c>
      <c r="D295" s="15" t="s">
        <v>312</v>
      </c>
      <c r="E295" s="1497">
        <v>215746.6</v>
      </c>
      <c r="F295" s="1497"/>
      <c r="G295" s="267" t="s">
        <v>27</v>
      </c>
      <c r="H295" s="3"/>
      <c r="I295" s="3"/>
    </row>
    <row r="296" spans="1:9" ht="45">
      <c r="A296" s="2">
        <v>44628</v>
      </c>
      <c r="B296" s="267"/>
      <c r="C296" s="267" t="s">
        <v>29</v>
      </c>
      <c r="D296" s="3" t="s">
        <v>12</v>
      </c>
      <c r="E296" s="1497">
        <v>72000</v>
      </c>
      <c r="F296" s="1497"/>
      <c r="G296" s="267" t="s">
        <v>72</v>
      </c>
      <c r="H296" s="69" t="s">
        <v>313</v>
      </c>
      <c r="I296" s="3"/>
    </row>
    <row r="297" spans="1:9">
      <c r="A297" s="2">
        <v>44628</v>
      </c>
      <c r="B297" s="267"/>
      <c r="C297" s="267" t="s">
        <v>29</v>
      </c>
      <c r="D297" s="3" t="s">
        <v>12</v>
      </c>
      <c r="E297" s="1497">
        <v>25200</v>
      </c>
      <c r="F297" s="1497"/>
      <c r="G297" s="267" t="s">
        <v>314</v>
      </c>
      <c r="H297" s="3"/>
      <c r="I297" s="3"/>
    </row>
    <row r="298" spans="1:9">
      <c r="A298" s="2">
        <v>44628</v>
      </c>
      <c r="B298" s="267"/>
      <c r="C298" s="267" t="s">
        <v>92</v>
      </c>
      <c r="D298" s="3" t="s">
        <v>299</v>
      </c>
      <c r="E298" s="1497"/>
      <c r="F298" s="1497">
        <v>7350</v>
      </c>
      <c r="G298" s="267" t="s">
        <v>56</v>
      </c>
      <c r="H298" s="3"/>
      <c r="I298" s="3"/>
    </row>
    <row r="299" spans="1:9">
      <c r="A299" s="2">
        <v>44628</v>
      </c>
      <c r="B299" s="267"/>
      <c r="C299" s="267" t="s">
        <v>62</v>
      </c>
      <c r="D299" s="3" t="s">
        <v>315</v>
      </c>
      <c r="E299" s="1497">
        <v>240</v>
      </c>
      <c r="F299" s="1497"/>
      <c r="G299" s="267" t="s">
        <v>56</v>
      </c>
      <c r="H299" s="3"/>
      <c r="I299" s="3"/>
    </row>
    <row r="300" spans="1:9">
      <c r="A300" s="2">
        <v>44628</v>
      </c>
      <c r="B300" s="267"/>
      <c r="C300" s="267" t="s">
        <v>62</v>
      </c>
      <c r="D300" s="3" t="s">
        <v>316</v>
      </c>
      <c r="E300" s="1497">
        <v>360</v>
      </c>
      <c r="F300" s="1497"/>
      <c r="G300" s="267" t="s">
        <v>56</v>
      </c>
      <c r="H300" s="3"/>
      <c r="I300" s="3"/>
    </row>
    <row r="301" spans="1:9">
      <c r="A301" s="2">
        <v>44628</v>
      </c>
      <c r="B301" s="267"/>
      <c r="C301" s="267" t="s">
        <v>29</v>
      </c>
      <c r="D301" s="3" t="s">
        <v>48</v>
      </c>
      <c r="E301" s="1497">
        <v>50000</v>
      </c>
      <c r="F301" s="1497"/>
      <c r="G301" s="267" t="s">
        <v>27</v>
      </c>
      <c r="H301" s="3"/>
      <c r="I301" s="3"/>
    </row>
    <row r="302" spans="1:9">
      <c r="A302" s="2">
        <v>44628</v>
      </c>
      <c r="B302" s="267"/>
      <c r="C302" s="267" t="s">
        <v>29</v>
      </c>
      <c r="D302" s="3" t="s">
        <v>48</v>
      </c>
      <c r="E302" s="1497">
        <v>70000</v>
      </c>
      <c r="F302" s="1497"/>
      <c r="G302" s="267" t="s">
        <v>56</v>
      </c>
      <c r="H302" s="3"/>
      <c r="I302" s="3"/>
    </row>
    <row r="303" spans="1:9">
      <c r="A303" s="2">
        <v>44628</v>
      </c>
      <c r="B303" s="267"/>
      <c r="C303" s="267" t="s">
        <v>92</v>
      </c>
      <c r="D303" s="3" t="s">
        <v>317</v>
      </c>
      <c r="E303" s="1497"/>
      <c r="F303" s="1497">
        <v>5750</v>
      </c>
      <c r="G303" s="267" t="s">
        <v>56</v>
      </c>
      <c r="H303" s="3"/>
      <c r="I303" s="3"/>
    </row>
    <row r="304" spans="1:9">
      <c r="A304" s="2">
        <v>44629</v>
      </c>
      <c r="B304" s="267"/>
      <c r="C304" s="267" t="s">
        <v>77</v>
      </c>
      <c r="D304" s="3" t="s">
        <v>318</v>
      </c>
      <c r="E304" s="1497"/>
      <c r="F304" s="1497"/>
      <c r="G304" s="267" t="s">
        <v>27</v>
      </c>
      <c r="H304" s="3"/>
      <c r="I304" s="3"/>
    </row>
    <row r="305" spans="1:9">
      <c r="A305" s="2">
        <v>44629</v>
      </c>
      <c r="B305" s="267"/>
      <c r="C305" s="267" t="s">
        <v>150</v>
      </c>
      <c r="D305" s="3" t="s">
        <v>319</v>
      </c>
      <c r="E305" s="1497">
        <v>5000</v>
      </c>
      <c r="F305" s="1497"/>
      <c r="G305" s="267" t="s">
        <v>56</v>
      </c>
      <c r="H305" s="3"/>
      <c r="I305" s="3"/>
    </row>
    <row r="306" spans="1:9">
      <c r="A306" s="2">
        <v>44629</v>
      </c>
      <c r="B306" s="267"/>
      <c r="C306" s="267" t="s">
        <v>28</v>
      </c>
      <c r="D306" s="3" t="s">
        <v>328</v>
      </c>
      <c r="E306" s="1497">
        <v>39544.300000000003</v>
      </c>
      <c r="F306" s="1497"/>
      <c r="G306" s="267" t="s">
        <v>56</v>
      </c>
      <c r="H306" s="3"/>
      <c r="I306" s="3"/>
    </row>
    <row r="307" spans="1:9">
      <c r="A307" s="2">
        <v>44629</v>
      </c>
      <c r="B307" s="267"/>
      <c r="C307" s="267" t="s">
        <v>55</v>
      </c>
      <c r="D307" s="3" t="s">
        <v>320</v>
      </c>
      <c r="E307" s="1497">
        <v>350</v>
      </c>
      <c r="F307" s="1497"/>
      <c r="G307" s="267" t="s">
        <v>56</v>
      </c>
      <c r="H307" s="3"/>
      <c r="I307" s="3"/>
    </row>
    <row r="308" spans="1:9">
      <c r="A308" s="2">
        <v>44629</v>
      </c>
      <c r="B308" s="267"/>
      <c r="C308" s="267" t="s">
        <v>76</v>
      </c>
      <c r="D308" s="3" t="s">
        <v>266</v>
      </c>
      <c r="E308" s="1497"/>
      <c r="F308" s="1497">
        <v>29200</v>
      </c>
      <c r="G308" s="267" t="s">
        <v>56</v>
      </c>
      <c r="H308" s="3"/>
      <c r="I308" s="3"/>
    </row>
    <row r="309" spans="1:9" ht="30">
      <c r="A309" s="54">
        <v>44629</v>
      </c>
      <c r="B309" s="267"/>
      <c r="C309" s="51" t="s">
        <v>77</v>
      </c>
      <c r="D309" s="74" t="s">
        <v>321</v>
      </c>
      <c r="E309" s="1497"/>
      <c r="F309" s="51">
        <v>722400</v>
      </c>
      <c r="G309" s="51" t="s">
        <v>72</v>
      </c>
      <c r="H309" s="48" t="s">
        <v>322</v>
      </c>
      <c r="I309" s="3"/>
    </row>
    <row r="310" spans="1:9">
      <c r="A310" s="2">
        <v>44629</v>
      </c>
      <c r="B310" s="267"/>
      <c r="C310" s="267" t="s">
        <v>62</v>
      </c>
      <c r="D310" s="15" t="s">
        <v>38</v>
      </c>
      <c r="E310" s="1497">
        <v>140</v>
      </c>
      <c r="F310" s="1497"/>
      <c r="G310" s="267" t="s">
        <v>56</v>
      </c>
      <c r="H310" s="75"/>
      <c r="I310" s="3"/>
    </row>
    <row r="311" spans="1:9">
      <c r="A311" s="2">
        <v>44629</v>
      </c>
      <c r="B311" s="267"/>
      <c r="C311" s="267" t="s">
        <v>62</v>
      </c>
      <c r="D311" s="15" t="s">
        <v>38</v>
      </c>
      <c r="E311" s="1497">
        <v>640</v>
      </c>
      <c r="F311" s="1497"/>
      <c r="G311" s="267" t="s">
        <v>56</v>
      </c>
      <c r="H311" s="75" t="s">
        <v>325</v>
      </c>
      <c r="I311" s="3"/>
    </row>
    <row r="312" spans="1:9">
      <c r="A312" s="2">
        <v>44629</v>
      </c>
      <c r="B312" s="267"/>
      <c r="C312" s="267" t="s">
        <v>55</v>
      </c>
      <c r="D312" s="15" t="s">
        <v>323</v>
      </c>
      <c r="E312" s="1497">
        <v>250</v>
      </c>
      <c r="F312" s="1497"/>
      <c r="G312" s="267" t="s">
        <v>56</v>
      </c>
      <c r="H312" s="75" t="s">
        <v>325</v>
      </c>
      <c r="I312" s="3"/>
    </row>
    <row r="313" spans="1:9">
      <c r="A313" s="2">
        <v>44629</v>
      </c>
      <c r="B313" s="267"/>
      <c r="C313" s="267" t="s">
        <v>55</v>
      </c>
      <c r="D313" s="15" t="s">
        <v>324</v>
      </c>
      <c r="E313" s="1497">
        <v>300</v>
      </c>
      <c r="F313" s="1497"/>
      <c r="G313" s="267" t="s">
        <v>56</v>
      </c>
      <c r="H313" s="75" t="s">
        <v>325</v>
      </c>
      <c r="I313" s="3"/>
    </row>
    <row r="314" spans="1:9">
      <c r="A314" s="2">
        <v>44630</v>
      </c>
      <c r="B314" s="267"/>
      <c r="C314" s="267" t="s">
        <v>92</v>
      </c>
      <c r="D314" s="3" t="s">
        <v>301</v>
      </c>
      <c r="E314" s="1497"/>
      <c r="F314" s="1497">
        <v>3400</v>
      </c>
      <c r="G314" s="267" t="s">
        <v>27</v>
      </c>
      <c r="H314" s="3"/>
      <c r="I314" s="3"/>
    </row>
    <row r="315" spans="1:9">
      <c r="A315" s="2">
        <v>44630</v>
      </c>
      <c r="B315" s="267"/>
      <c r="C315" s="267" t="s">
        <v>55</v>
      </c>
      <c r="D315" s="15" t="s">
        <v>109</v>
      </c>
      <c r="E315" s="1497">
        <v>130</v>
      </c>
      <c r="F315" s="1497"/>
      <c r="G315" s="267" t="s">
        <v>56</v>
      </c>
      <c r="H315" s="3"/>
      <c r="I315" s="3"/>
    </row>
    <row r="316" spans="1:9">
      <c r="A316" s="2">
        <v>44630</v>
      </c>
      <c r="B316" s="267"/>
      <c r="C316" s="267" t="s">
        <v>55</v>
      </c>
      <c r="D316" s="3" t="s">
        <v>326</v>
      </c>
      <c r="E316" s="1497">
        <v>370</v>
      </c>
      <c r="F316" s="1497"/>
      <c r="G316" s="267" t="s">
        <v>56</v>
      </c>
      <c r="H316" s="3"/>
      <c r="I316" s="3"/>
    </row>
    <row r="317" spans="1:9">
      <c r="A317" s="2">
        <v>44630</v>
      </c>
      <c r="B317" s="267"/>
      <c r="C317" s="267" t="s">
        <v>327</v>
      </c>
      <c r="D317" s="3" t="s">
        <v>15</v>
      </c>
      <c r="E317" s="1497">
        <v>6902.47</v>
      </c>
      <c r="F317" s="1497"/>
      <c r="G317" s="267" t="s">
        <v>27</v>
      </c>
      <c r="H317" s="3"/>
      <c r="I317" s="3"/>
    </row>
    <row r="318" spans="1:9">
      <c r="A318" s="2">
        <v>44630</v>
      </c>
      <c r="B318" s="267">
        <v>1</v>
      </c>
      <c r="C318" s="267" t="s">
        <v>28</v>
      </c>
      <c r="D318" s="15" t="s">
        <v>329</v>
      </c>
      <c r="E318" s="1497">
        <v>847.5</v>
      </c>
      <c r="F318" s="1497"/>
      <c r="G318" s="267" t="s">
        <v>27</v>
      </c>
      <c r="H318" s="3"/>
      <c r="I318" s="3"/>
    </row>
    <row r="319" spans="1:9">
      <c r="A319" s="2">
        <v>44630</v>
      </c>
      <c r="B319" s="267">
        <v>1</v>
      </c>
      <c r="C319" s="267" t="s">
        <v>28</v>
      </c>
      <c r="D319" s="3" t="s">
        <v>330</v>
      </c>
      <c r="E319" s="1497">
        <v>804.8</v>
      </c>
      <c r="F319" s="1497"/>
      <c r="G319" s="267" t="s">
        <v>27</v>
      </c>
      <c r="H319" s="3"/>
      <c r="I319" s="3"/>
    </row>
    <row r="320" spans="1:9">
      <c r="A320" s="2">
        <v>44630</v>
      </c>
      <c r="B320" s="267"/>
      <c r="C320" s="267" t="s">
        <v>29</v>
      </c>
      <c r="D320" s="3" t="s">
        <v>38</v>
      </c>
      <c r="E320" s="1497">
        <v>200</v>
      </c>
      <c r="F320" s="1497"/>
      <c r="G320" s="267" t="s">
        <v>56</v>
      </c>
      <c r="H320" s="3"/>
      <c r="I320" s="3"/>
    </row>
    <row r="321" spans="1:9">
      <c r="A321" s="2">
        <v>44630</v>
      </c>
      <c r="B321" s="267"/>
      <c r="C321" s="267" t="s">
        <v>150</v>
      </c>
      <c r="D321" s="3" t="s">
        <v>319</v>
      </c>
      <c r="E321" s="1497">
        <v>10000</v>
      </c>
      <c r="F321" s="1497"/>
      <c r="G321" s="267" t="s">
        <v>56</v>
      </c>
      <c r="H321" s="3"/>
      <c r="I321" s="3"/>
    </row>
    <row r="322" spans="1:9">
      <c r="A322" s="2">
        <v>44630</v>
      </c>
      <c r="B322" s="267"/>
      <c r="C322" s="267" t="s">
        <v>150</v>
      </c>
      <c r="D322" s="3" t="s">
        <v>27</v>
      </c>
      <c r="E322" s="1497"/>
      <c r="F322" s="1497">
        <v>10000</v>
      </c>
      <c r="G322" s="267" t="s">
        <v>27</v>
      </c>
      <c r="H322" s="3"/>
      <c r="I322" s="3"/>
    </row>
    <row r="323" spans="1:9">
      <c r="A323" s="2">
        <v>44630</v>
      </c>
      <c r="B323" s="267">
        <v>1</v>
      </c>
      <c r="C323" s="267" t="s">
        <v>28</v>
      </c>
      <c r="D323" s="3" t="s">
        <v>331</v>
      </c>
      <c r="E323" s="1497">
        <v>10708.1</v>
      </c>
      <c r="F323" s="1497"/>
      <c r="G323" s="267" t="s">
        <v>27</v>
      </c>
      <c r="H323" s="3"/>
      <c r="I323" s="3"/>
    </row>
    <row r="324" spans="1:9">
      <c r="A324" s="2">
        <v>44630</v>
      </c>
      <c r="B324" s="267"/>
      <c r="C324" s="267" t="s">
        <v>333</v>
      </c>
      <c r="D324" s="3" t="s">
        <v>332</v>
      </c>
      <c r="E324" s="1497">
        <v>3000</v>
      </c>
      <c r="F324" s="1497"/>
      <c r="G324" s="267" t="s">
        <v>27</v>
      </c>
      <c r="H324" s="3"/>
      <c r="I324" s="3"/>
    </row>
    <row r="325" spans="1:9">
      <c r="A325" s="2">
        <v>44630</v>
      </c>
      <c r="B325" s="267"/>
      <c r="C325" s="267" t="s">
        <v>29</v>
      </c>
      <c r="D325" s="3" t="s">
        <v>71</v>
      </c>
      <c r="E325" s="1497">
        <v>24000</v>
      </c>
      <c r="F325" s="1497"/>
      <c r="G325" s="267" t="s">
        <v>56</v>
      </c>
      <c r="H325" s="3"/>
      <c r="I325" s="3"/>
    </row>
    <row r="326" spans="1:9">
      <c r="A326" s="2">
        <v>44631</v>
      </c>
      <c r="B326" s="267"/>
      <c r="C326" s="267" t="s">
        <v>90</v>
      </c>
      <c r="D326" s="3" t="s">
        <v>334</v>
      </c>
      <c r="E326" s="1497">
        <v>14643</v>
      </c>
      <c r="F326" s="1497"/>
      <c r="G326" s="267" t="s">
        <v>27</v>
      </c>
      <c r="H326" s="3"/>
      <c r="I326" s="3"/>
    </row>
    <row r="327" spans="1:9">
      <c r="A327" s="2">
        <v>44631</v>
      </c>
      <c r="B327" s="267"/>
      <c r="C327" s="267" t="s">
        <v>62</v>
      </c>
      <c r="D327" s="3" t="s">
        <v>335</v>
      </c>
      <c r="E327" s="1497">
        <v>100</v>
      </c>
      <c r="F327" s="1497"/>
      <c r="G327" s="267" t="s">
        <v>56</v>
      </c>
      <c r="H327" s="3"/>
      <c r="I327" s="3"/>
    </row>
    <row r="328" spans="1:9">
      <c r="A328" s="2">
        <v>44631</v>
      </c>
      <c r="B328" s="267"/>
      <c r="C328" s="267" t="s">
        <v>29</v>
      </c>
      <c r="D328" s="3" t="s">
        <v>80</v>
      </c>
      <c r="E328" s="1497">
        <v>1800</v>
      </c>
      <c r="F328" s="1497"/>
      <c r="G328" s="267" t="s">
        <v>56</v>
      </c>
      <c r="H328" s="3" t="s">
        <v>336</v>
      </c>
      <c r="I328" s="3"/>
    </row>
    <row r="329" spans="1:9">
      <c r="A329" s="2">
        <v>44631</v>
      </c>
      <c r="B329" s="267"/>
      <c r="C329" s="267" t="s">
        <v>88</v>
      </c>
      <c r="D329" s="3" t="s">
        <v>88</v>
      </c>
      <c r="E329" s="1497">
        <v>63000</v>
      </c>
      <c r="F329" s="1497"/>
      <c r="G329" s="267" t="s">
        <v>56</v>
      </c>
      <c r="H329" s="3"/>
      <c r="I329" s="3"/>
    </row>
    <row r="330" spans="1:9">
      <c r="A330" s="2">
        <v>44631</v>
      </c>
      <c r="B330" s="267"/>
      <c r="C330" s="267" t="s">
        <v>28</v>
      </c>
      <c r="D330" s="3" t="s">
        <v>337</v>
      </c>
      <c r="E330" s="1497">
        <v>1560</v>
      </c>
      <c r="F330" s="1497"/>
      <c r="G330" s="267" t="s">
        <v>56</v>
      </c>
      <c r="H330" s="3"/>
      <c r="I330" s="3"/>
    </row>
    <row r="331" spans="1:9">
      <c r="A331" s="2">
        <v>44631</v>
      </c>
      <c r="B331" s="267"/>
      <c r="C331" s="267" t="s">
        <v>28</v>
      </c>
      <c r="D331" s="15" t="s">
        <v>211</v>
      </c>
      <c r="E331" s="1497">
        <v>3180</v>
      </c>
      <c r="F331" s="1497"/>
      <c r="G331" s="267" t="s">
        <v>56</v>
      </c>
      <c r="H331" s="3"/>
      <c r="I331" s="3"/>
    </row>
    <row r="332" spans="1:9">
      <c r="A332" s="2">
        <v>44631</v>
      </c>
      <c r="B332" s="267"/>
      <c r="C332" s="267" t="s">
        <v>77</v>
      </c>
      <c r="D332" s="15" t="s">
        <v>338</v>
      </c>
      <c r="E332" s="1497"/>
      <c r="F332" s="1497">
        <v>75000</v>
      </c>
      <c r="G332" s="267" t="s">
        <v>56</v>
      </c>
      <c r="H332" s="3"/>
      <c r="I332" s="3"/>
    </row>
    <row r="333" spans="1:9">
      <c r="A333" s="2">
        <v>44631</v>
      </c>
      <c r="B333" s="267"/>
      <c r="C333" s="267" t="s">
        <v>77</v>
      </c>
      <c r="D333" s="15" t="s">
        <v>339</v>
      </c>
      <c r="E333" s="1497">
        <v>32000</v>
      </c>
      <c r="F333" s="1497"/>
      <c r="G333" s="267" t="s">
        <v>56</v>
      </c>
      <c r="H333" s="3"/>
      <c r="I333" s="3"/>
    </row>
    <row r="334" spans="1:9">
      <c r="A334" s="2">
        <v>44631</v>
      </c>
      <c r="B334" s="267"/>
      <c r="C334" s="267" t="s">
        <v>176</v>
      </c>
      <c r="D334" s="3" t="s">
        <v>232</v>
      </c>
      <c r="E334" s="1497">
        <v>13000</v>
      </c>
      <c r="F334" s="1497"/>
      <c r="G334" s="267" t="s">
        <v>56</v>
      </c>
      <c r="H334" s="3"/>
      <c r="I334" s="3"/>
    </row>
    <row r="335" spans="1:9">
      <c r="A335" s="2">
        <v>44631</v>
      </c>
      <c r="B335" s="267"/>
      <c r="C335" s="267" t="s">
        <v>79</v>
      </c>
      <c r="D335" s="3" t="s">
        <v>340</v>
      </c>
      <c r="E335" s="1497">
        <v>4200</v>
      </c>
      <c r="F335" s="1497"/>
      <c r="G335" s="267" t="s">
        <v>56</v>
      </c>
      <c r="H335" s="3"/>
      <c r="I335" s="3"/>
    </row>
    <row r="336" spans="1:9">
      <c r="A336" s="2">
        <v>44631</v>
      </c>
      <c r="B336" s="267"/>
      <c r="C336" s="267" t="s">
        <v>150</v>
      </c>
      <c r="D336" s="3" t="s">
        <v>341</v>
      </c>
      <c r="E336" s="1497">
        <v>7450</v>
      </c>
      <c r="F336" s="1497"/>
      <c r="G336" s="267" t="s">
        <v>27</v>
      </c>
      <c r="H336" s="3"/>
      <c r="I336" s="3"/>
    </row>
    <row r="337" spans="1:9">
      <c r="A337" s="2">
        <v>44631</v>
      </c>
      <c r="B337" s="267"/>
      <c r="C337" s="267" t="s">
        <v>79</v>
      </c>
      <c r="D337" s="15" t="s">
        <v>151</v>
      </c>
      <c r="E337" s="1497">
        <v>2500</v>
      </c>
      <c r="F337" s="1497"/>
      <c r="G337" s="267" t="s">
        <v>27</v>
      </c>
      <c r="H337" s="3"/>
      <c r="I337" s="3"/>
    </row>
    <row r="338" spans="1:9">
      <c r="A338" s="2">
        <v>44631</v>
      </c>
      <c r="B338" s="267"/>
      <c r="C338" s="267" t="s">
        <v>86</v>
      </c>
      <c r="D338" s="15" t="s">
        <v>107</v>
      </c>
      <c r="E338" s="1497">
        <v>3002.57</v>
      </c>
      <c r="F338" s="1497"/>
      <c r="G338" s="267" t="s">
        <v>27</v>
      </c>
      <c r="H338" s="3"/>
      <c r="I338" s="3"/>
    </row>
    <row r="339" spans="1:9">
      <c r="A339" s="2">
        <v>44631</v>
      </c>
      <c r="B339" s="267"/>
      <c r="C339" s="267" t="s">
        <v>92</v>
      </c>
      <c r="D339" s="15" t="s">
        <v>298</v>
      </c>
      <c r="E339" s="1497"/>
      <c r="F339" s="1497">
        <v>29500</v>
      </c>
      <c r="G339" s="267" t="s">
        <v>27</v>
      </c>
      <c r="H339" s="3"/>
      <c r="I339" s="3"/>
    </row>
    <row r="340" spans="1:9">
      <c r="A340" s="2">
        <v>44632</v>
      </c>
      <c r="B340" s="267"/>
      <c r="C340" s="267" t="s">
        <v>176</v>
      </c>
      <c r="D340" s="3" t="s">
        <v>175</v>
      </c>
      <c r="E340" s="1497">
        <v>1500</v>
      </c>
      <c r="F340" s="1497"/>
      <c r="G340" s="267" t="s">
        <v>27</v>
      </c>
      <c r="H340" s="3"/>
      <c r="I340" s="3"/>
    </row>
    <row r="341" spans="1:9">
      <c r="A341" s="2">
        <v>44634</v>
      </c>
      <c r="B341" s="267"/>
      <c r="C341" s="267" t="s">
        <v>29</v>
      </c>
      <c r="D341" s="3" t="s">
        <v>342</v>
      </c>
      <c r="E341" s="1497">
        <v>2420</v>
      </c>
      <c r="F341" s="1497"/>
      <c r="G341" s="267" t="s">
        <v>56</v>
      </c>
      <c r="H341" s="3"/>
      <c r="I341" s="3"/>
    </row>
    <row r="342" spans="1:9">
      <c r="A342" s="2">
        <v>44634</v>
      </c>
      <c r="B342" s="267"/>
      <c r="C342" s="267" t="s">
        <v>79</v>
      </c>
      <c r="D342" s="3" t="s">
        <v>343</v>
      </c>
      <c r="E342" s="1497">
        <v>4400</v>
      </c>
      <c r="F342" s="1497"/>
      <c r="G342" s="267" t="s">
        <v>56</v>
      </c>
      <c r="H342" s="3"/>
      <c r="I342" s="3"/>
    </row>
    <row r="343" spans="1:9">
      <c r="A343" s="2">
        <v>44634</v>
      </c>
      <c r="B343" s="267"/>
      <c r="C343" s="267" t="s">
        <v>86</v>
      </c>
      <c r="D343" s="3" t="s">
        <v>104</v>
      </c>
      <c r="E343" s="1497">
        <v>2500</v>
      </c>
      <c r="F343" s="1497"/>
      <c r="G343" s="267" t="s">
        <v>56</v>
      </c>
      <c r="H343" s="3"/>
      <c r="I343" s="3"/>
    </row>
    <row r="344" spans="1:9">
      <c r="A344" s="2">
        <v>44635</v>
      </c>
      <c r="B344" s="267"/>
      <c r="C344" s="267" t="s">
        <v>150</v>
      </c>
      <c r="D344" s="3" t="s">
        <v>284</v>
      </c>
      <c r="E344" s="1497">
        <v>3600</v>
      </c>
      <c r="F344" s="1497"/>
      <c r="G344" s="267" t="s">
        <v>27</v>
      </c>
      <c r="H344" s="3"/>
      <c r="I344" s="3"/>
    </row>
    <row r="345" spans="1:9">
      <c r="A345" s="2">
        <v>44635</v>
      </c>
      <c r="B345" s="267"/>
      <c r="C345" s="267" t="s">
        <v>79</v>
      </c>
      <c r="D345" s="15" t="s">
        <v>344</v>
      </c>
      <c r="E345" s="1497">
        <v>2300</v>
      </c>
      <c r="F345" s="1497"/>
      <c r="G345" s="267" t="s">
        <v>27</v>
      </c>
      <c r="H345" s="3"/>
      <c r="I345" s="3"/>
    </row>
    <row r="346" spans="1:9">
      <c r="A346" s="2">
        <v>44635</v>
      </c>
      <c r="B346" s="267"/>
      <c r="C346" s="267" t="s">
        <v>79</v>
      </c>
      <c r="D346" s="15" t="s">
        <v>345</v>
      </c>
      <c r="E346" s="1497">
        <v>10200</v>
      </c>
      <c r="F346" s="1497"/>
      <c r="G346" s="267" t="s">
        <v>27</v>
      </c>
      <c r="H346" s="3"/>
      <c r="I346" s="3"/>
    </row>
    <row r="347" spans="1:9">
      <c r="A347" s="2">
        <v>44635</v>
      </c>
      <c r="B347" s="267"/>
      <c r="C347" s="267" t="s">
        <v>97</v>
      </c>
      <c r="D347" s="15" t="s">
        <v>351</v>
      </c>
      <c r="E347" s="11">
        <v>6000</v>
      </c>
      <c r="F347" s="1497"/>
      <c r="G347" s="267" t="s">
        <v>27</v>
      </c>
      <c r="H347" s="3"/>
      <c r="I347" s="3"/>
    </row>
    <row r="348" spans="1:9">
      <c r="A348" s="2">
        <v>44635</v>
      </c>
      <c r="B348" s="267"/>
      <c r="C348" s="267" t="s">
        <v>97</v>
      </c>
      <c r="D348" s="15" t="s">
        <v>352</v>
      </c>
      <c r="E348" s="11">
        <v>4900</v>
      </c>
      <c r="F348" s="1497"/>
      <c r="G348" s="267" t="s">
        <v>27</v>
      </c>
      <c r="H348" s="3"/>
      <c r="I348" s="3"/>
    </row>
    <row r="349" spans="1:9">
      <c r="A349" s="2">
        <v>44635</v>
      </c>
      <c r="B349" s="267"/>
      <c r="C349" s="267" t="s">
        <v>77</v>
      </c>
      <c r="D349" s="15" t="s">
        <v>346</v>
      </c>
      <c r="E349" s="11"/>
      <c r="F349" s="1497">
        <v>14200</v>
      </c>
      <c r="G349" s="267" t="s">
        <v>27</v>
      </c>
      <c r="H349" s="3"/>
      <c r="I349" s="3"/>
    </row>
    <row r="350" spans="1:9">
      <c r="A350" s="2">
        <v>44636</v>
      </c>
      <c r="B350" s="267"/>
      <c r="C350" s="267" t="s">
        <v>79</v>
      </c>
      <c r="D350" s="3" t="s">
        <v>347</v>
      </c>
      <c r="E350" s="1497">
        <v>400</v>
      </c>
      <c r="F350" s="1497"/>
      <c r="G350" s="267" t="s">
        <v>56</v>
      </c>
      <c r="H350" s="3"/>
      <c r="I350" s="3"/>
    </row>
    <row r="351" spans="1:9">
      <c r="A351" s="2">
        <v>44636</v>
      </c>
      <c r="B351" s="267"/>
      <c r="C351" s="267" t="s">
        <v>156</v>
      </c>
      <c r="D351" s="3" t="s">
        <v>348</v>
      </c>
      <c r="E351" s="1497">
        <v>110939</v>
      </c>
      <c r="F351" s="1497"/>
      <c r="G351" s="267" t="s">
        <v>108</v>
      </c>
      <c r="H351" s="3"/>
      <c r="I351" s="3"/>
    </row>
    <row r="352" spans="1:9">
      <c r="A352" s="2">
        <v>44636</v>
      </c>
      <c r="B352" s="267"/>
      <c r="C352" s="267" t="s">
        <v>55</v>
      </c>
      <c r="D352" s="3" t="s">
        <v>349</v>
      </c>
      <c r="E352" s="1497">
        <v>550</v>
      </c>
      <c r="F352" s="1497"/>
      <c r="G352" s="267" t="s">
        <v>56</v>
      </c>
      <c r="H352" s="3"/>
      <c r="I352" s="3"/>
    </row>
    <row r="353" spans="1:9">
      <c r="A353" s="2">
        <v>44636</v>
      </c>
      <c r="B353" s="267"/>
      <c r="C353" s="267" t="s">
        <v>97</v>
      </c>
      <c r="D353" s="3" t="s">
        <v>350</v>
      </c>
      <c r="E353" s="1497">
        <v>5500</v>
      </c>
      <c r="F353" s="1497"/>
      <c r="G353" s="267" t="s">
        <v>27</v>
      </c>
      <c r="H353" s="3"/>
      <c r="I353" s="3"/>
    </row>
    <row r="354" spans="1:9">
      <c r="A354" s="2">
        <v>44636</v>
      </c>
      <c r="B354" s="267"/>
      <c r="C354" s="267" t="s">
        <v>55</v>
      </c>
      <c r="D354" s="3" t="s">
        <v>353</v>
      </c>
      <c r="E354" s="1497">
        <v>600</v>
      </c>
      <c r="F354" s="1497"/>
      <c r="G354" s="267" t="s">
        <v>56</v>
      </c>
      <c r="H354" s="3"/>
      <c r="I354" s="3"/>
    </row>
    <row r="355" spans="1:9">
      <c r="A355" s="2">
        <v>44636</v>
      </c>
      <c r="B355" s="267"/>
      <c r="C355" s="267" t="s">
        <v>86</v>
      </c>
      <c r="D355" s="3" t="s">
        <v>195</v>
      </c>
      <c r="E355" s="1497">
        <v>4003.4</v>
      </c>
      <c r="F355" s="1497"/>
      <c r="G355" s="267" t="s">
        <v>27</v>
      </c>
      <c r="H355" s="3"/>
      <c r="I355" s="3"/>
    </row>
    <row r="356" spans="1:9">
      <c r="A356" s="2">
        <v>44636</v>
      </c>
      <c r="B356" s="267"/>
      <c r="C356" s="267" t="s">
        <v>90</v>
      </c>
      <c r="D356" s="3" t="s">
        <v>112</v>
      </c>
      <c r="E356" s="1497">
        <v>1500</v>
      </c>
      <c r="F356" s="1497"/>
      <c r="G356" s="267" t="s">
        <v>56</v>
      </c>
      <c r="H356" s="3"/>
      <c r="I356" s="3"/>
    </row>
    <row r="357" spans="1:9">
      <c r="A357" s="2">
        <v>44636</v>
      </c>
      <c r="B357" s="267"/>
      <c r="C357" s="267" t="s">
        <v>77</v>
      </c>
      <c r="D357" s="3" t="s">
        <v>359</v>
      </c>
      <c r="E357" s="1497"/>
      <c r="F357" s="1497">
        <v>235400</v>
      </c>
      <c r="G357" s="267" t="s">
        <v>56</v>
      </c>
      <c r="H357" s="3"/>
      <c r="I357" s="3"/>
    </row>
    <row r="358" spans="1:9">
      <c r="A358" s="2">
        <v>44636</v>
      </c>
      <c r="B358" s="267"/>
      <c r="C358" s="267" t="s">
        <v>29</v>
      </c>
      <c r="D358" s="3" t="s">
        <v>354</v>
      </c>
      <c r="E358" s="1497">
        <v>164600</v>
      </c>
      <c r="F358" s="1497"/>
      <c r="G358" s="267" t="s">
        <v>56</v>
      </c>
      <c r="H358" s="3"/>
      <c r="I358" s="3"/>
    </row>
    <row r="359" spans="1:9">
      <c r="A359" s="2">
        <v>44636</v>
      </c>
      <c r="B359" s="267"/>
      <c r="C359" s="267" t="s">
        <v>77</v>
      </c>
      <c r="D359" s="3" t="s">
        <v>360</v>
      </c>
      <c r="E359" s="1497"/>
      <c r="F359" s="1497">
        <v>60000</v>
      </c>
      <c r="G359" s="267" t="s">
        <v>56</v>
      </c>
      <c r="H359" s="3"/>
      <c r="I359" s="3"/>
    </row>
    <row r="360" spans="1:9">
      <c r="A360" s="2">
        <v>44637</v>
      </c>
      <c r="B360" s="267"/>
      <c r="C360" s="267" t="s">
        <v>62</v>
      </c>
      <c r="D360" s="3" t="s">
        <v>38</v>
      </c>
      <c r="E360" s="1497">
        <v>950</v>
      </c>
      <c r="F360" s="1497"/>
      <c r="G360" s="267" t="s">
        <v>56</v>
      </c>
      <c r="H360" s="3" t="s">
        <v>355</v>
      </c>
      <c r="I360" s="3"/>
    </row>
    <row r="361" spans="1:9">
      <c r="A361" s="2">
        <v>44637</v>
      </c>
      <c r="B361" s="267"/>
      <c r="C361" s="267" t="s">
        <v>92</v>
      </c>
      <c r="D361" s="3" t="s">
        <v>356</v>
      </c>
      <c r="E361" s="1497"/>
      <c r="F361" s="1497">
        <v>31800</v>
      </c>
      <c r="G361" s="267" t="s">
        <v>56</v>
      </c>
      <c r="H361" s="3"/>
      <c r="I361" s="3"/>
    </row>
    <row r="362" spans="1:9">
      <c r="A362" s="2">
        <v>44637</v>
      </c>
      <c r="B362" s="267"/>
      <c r="C362" s="267" t="s">
        <v>156</v>
      </c>
      <c r="D362" s="15" t="s">
        <v>358</v>
      </c>
      <c r="E362" s="1497">
        <v>11500</v>
      </c>
      <c r="F362" s="1497"/>
      <c r="G362" s="267" t="s">
        <v>27</v>
      </c>
      <c r="H362" s="3"/>
      <c r="I362" s="3"/>
    </row>
    <row r="363" spans="1:9">
      <c r="A363" s="2">
        <v>44637</v>
      </c>
      <c r="B363" s="267"/>
      <c r="C363" s="267" t="s">
        <v>156</v>
      </c>
      <c r="D363" s="15" t="s">
        <v>358</v>
      </c>
      <c r="E363" s="1497"/>
      <c r="F363" s="1497">
        <v>11500</v>
      </c>
      <c r="G363" s="267" t="s">
        <v>108</v>
      </c>
      <c r="H363" s="3"/>
      <c r="I363" s="3"/>
    </row>
    <row r="364" spans="1:9">
      <c r="A364" s="2">
        <v>44637</v>
      </c>
      <c r="B364" s="267"/>
      <c r="C364" s="267" t="s">
        <v>29</v>
      </c>
      <c r="D364" s="3" t="s">
        <v>361</v>
      </c>
      <c r="E364" s="1497">
        <v>2800</v>
      </c>
      <c r="F364" s="1497"/>
      <c r="G364" s="267" t="s">
        <v>56</v>
      </c>
      <c r="H364" s="3"/>
      <c r="I364" s="3"/>
    </row>
    <row r="365" spans="1:9">
      <c r="A365" s="2">
        <v>44637</v>
      </c>
      <c r="B365" s="267"/>
      <c r="C365" s="267" t="s">
        <v>55</v>
      </c>
      <c r="D365" s="3" t="s">
        <v>362</v>
      </c>
      <c r="E365" s="1497">
        <v>3060</v>
      </c>
      <c r="F365" s="1497"/>
      <c r="G365" s="267" t="s">
        <v>56</v>
      </c>
      <c r="H365" s="3"/>
      <c r="I365" s="3"/>
    </row>
    <row r="366" spans="1:9" s="76" customFormat="1" ht="30">
      <c r="A366" s="46">
        <v>44637</v>
      </c>
      <c r="B366" s="47"/>
      <c r="C366" s="47" t="s">
        <v>29</v>
      </c>
      <c r="D366" s="48" t="s">
        <v>48</v>
      </c>
      <c r="E366" s="47">
        <v>361200</v>
      </c>
      <c r="F366" s="47"/>
      <c r="G366" s="47" t="s">
        <v>72</v>
      </c>
      <c r="H366" s="48" t="s">
        <v>363</v>
      </c>
      <c r="I366" s="48"/>
    </row>
    <row r="367" spans="1:9">
      <c r="A367" s="2">
        <v>44637</v>
      </c>
      <c r="B367" s="267"/>
      <c r="C367" s="267" t="s">
        <v>29</v>
      </c>
      <c r="D367" s="3" t="s">
        <v>48</v>
      </c>
      <c r="E367" s="1497">
        <v>100000</v>
      </c>
      <c r="F367" s="1497"/>
      <c r="G367" s="267" t="s">
        <v>56</v>
      </c>
      <c r="H367" s="3"/>
      <c r="I367" s="3"/>
    </row>
    <row r="368" spans="1:9">
      <c r="A368" s="2">
        <v>44637</v>
      </c>
      <c r="B368" s="267"/>
      <c r="C368" s="267" t="s">
        <v>79</v>
      </c>
      <c r="D368" s="3" t="s">
        <v>166</v>
      </c>
      <c r="E368" s="1497">
        <v>32000</v>
      </c>
      <c r="F368" s="1497"/>
      <c r="G368" s="267" t="s">
        <v>27</v>
      </c>
      <c r="H368" s="3"/>
      <c r="I368" s="3"/>
    </row>
    <row r="369" spans="1:9">
      <c r="A369" s="2">
        <v>44637</v>
      </c>
      <c r="B369" s="267"/>
      <c r="C369" s="267" t="s">
        <v>150</v>
      </c>
      <c r="D369" s="3" t="s">
        <v>319</v>
      </c>
      <c r="E369" s="1497">
        <v>30000</v>
      </c>
      <c r="F369" s="1497"/>
      <c r="G369" s="267" t="s">
        <v>27</v>
      </c>
      <c r="H369" s="3"/>
      <c r="I369" s="3"/>
    </row>
    <row r="370" spans="1:9">
      <c r="A370" s="2">
        <v>44637</v>
      </c>
      <c r="B370" s="267"/>
      <c r="C370" s="267" t="s">
        <v>88</v>
      </c>
      <c r="D370" s="3" t="s">
        <v>364</v>
      </c>
      <c r="E370" s="1497">
        <v>12000</v>
      </c>
      <c r="F370" s="1497"/>
      <c r="G370" s="267" t="s">
        <v>56</v>
      </c>
      <c r="H370" s="3"/>
      <c r="I370" s="3"/>
    </row>
    <row r="371" spans="1:9">
      <c r="A371" s="2">
        <v>44638</v>
      </c>
      <c r="B371" s="267"/>
      <c r="C371" s="267" t="s">
        <v>55</v>
      </c>
      <c r="D371" s="3" t="s">
        <v>365</v>
      </c>
      <c r="E371" s="1497">
        <v>330</v>
      </c>
      <c r="F371" s="1497"/>
      <c r="G371" s="267" t="s">
        <v>56</v>
      </c>
      <c r="H371" s="3"/>
      <c r="I371" s="3"/>
    </row>
    <row r="372" spans="1:9">
      <c r="A372" s="2">
        <v>44638</v>
      </c>
      <c r="B372" s="267"/>
      <c r="C372" s="267" t="s">
        <v>176</v>
      </c>
      <c r="D372" s="3" t="s">
        <v>175</v>
      </c>
      <c r="E372" s="1497">
        <v>3000</v>
      </c>
      <c r="F372" s="1497"/>
      <c r="G372" s="267" t="s">
        <v>56</v>
      </c>
      <c r="H372" s="3"/>
      <c r="I372" s="3"/>
    </row>
    <row r="373" spans="1:9">
      <c r="A373" s="2">
        <v>44638</v>
      </c>
      <c r="B373" s="267"/>
      <c r="C373" s="267" t="s">
        <v>88</v>
      </c>
      <c r="D373" s="3" t="s">
        <v>144</v>
      </c>
      <c r="E373" s="1497">
        <v>5000</v>
      </c>
      <c r="F373" s="1497"/>
      <c r="G373" s="267" t="s">
        <v>27</v>
      </c>
      <c r="H373" s="3"/>
      <c r="I373" s="3"/>
    </row>
    <row r="374" spans="1:9">
      <c r="A374" s="2">
        <v>44638</v>
      </c>
      <c r="B374" s="267"/>
      <c r="C374" s="267" t="s">
        <v>55</v>
      </c>
      <c r="D374" s="3" t="s">
        <v>366</v>
      </c>
      <c r="E374" s="1497"/>
      <c r="F374" s="1497">
        <v>800</v>
      </c>
      <c r="G374" s="267" t="s">
        <v>56</v>
      </c>
      <c r="H374" s="3"/>
      <c r="I374" s="3"/>
    </row>
    <row r="375" spans="1:9">
      <c r="A375" s="2">
        <v>44641</v>
      </c>
      <c r="B375" s="267"/>
      <c r="C375" s="267" t="s">
        <v>79</v>
      </c>
      <c r="D375" s="3" t="s">
        <v>151</v>
      </c>
      <c r="E375" s="1497">
        <v>5000</v>
      </c>
      <c r="F375" s="1497"/>
      <c r="G375" s="267" t="s">
        <v>27</v>
      </c>
      <c r="H375" s="3"/>
      <c r="I375" s="3"/>
    </row>
    <row r="376" spans="1:9">
      <c r="A376" s="2">
        <v>44641</v>
      </c>
      <c r="B376" s="267"/>
      <c r="C376" s="267" t="s">
        <v>79</v>
      </c>
      <c r="D376" s="3" t="s">
        <v>151</v>
      </c>
      <c r="E376" s="1497">
        <v>480</v>
      </c>
      <c r="F376" s="1497"/>
      <c r="G376" s="267" t="s">
        <v>27</v>
      </c>
      <c r="H376" s="3"/>
      <c r="I376" s="3"/>
    </row>
    <row r="377" spans="1:9">
      <c r="A377" s="2">
        <v>44641</v>
      </c>
      <c r="B377" s="267"/>
      <c r="C377" s="267" t="s">
        <v>92</v>
      </c>
      <c r="D377" s="15" t="s">
        <v>367</v>
      </c>
      <c r="E377" s="1497"/>
      <c r="F377" s="1497">
        <v>17599.990000000002</v>
      </c>
      <c r="G377" s="267" t="s">
        <v>27</v>
      </c>
      <c r="H377" s="3"/>
      <c r="I377" s="3"/>
    </row>
    <row r="378" spans="1:9">
      <c r="A378" s="2">
        <v>44641</v>
      </c>
      <c r="B378" s="267"/>
      <c r="C378" s="267" t="s">
        <v>150</v>
      </c>
      <c r="D378" s="3" t="s">
        <v>358</v>
      </c>
      <c r="E378" s="1497">
        <v>300</v>
      </c>
      <c r="F378" s="1497"/>
      <c r="G378" s="267" t="s">
        <v>27</v>
      </c>
      <c r="H378" s="3"/>
      <c r="I378" s="3"/>
    </row>
    <row r="379" spans="1:9">
      <c r="A379" s="2">
        <v>44641</v>
      </c>
      <c r="B379" s="267"/>
      <c r="C379" s="267" t="s">
        <v>77</v>
      </c>
      <c r="D379" s="3" t="s">
        <v>368</v>
      </c>
      <c r="E379" s="1497"/>
      <c r="F379" s="1497">
        <v>28350</v>
      </c>
      <c r="G379" s="267" t="s">
        <v>27</v>
      </c>
      <c r="H379" s="3"/>
      <c r="I379" s="3"/>
    </row>
    <row r="380" spans="1:9">
      <c r="A380" s="2">
        <v>44641</v>
      </c>
      <c r="B380" s="267"/>
      <c r="C380" s="267" t="s">
        <v>62</v>
      </c>
      <c r="D380" s="3" t="s">
        <v>38</v>
      </c>
      <c r="E380" s="1497">
        <v>940</v>
      </c>
      <c r="F380" s="1497"/>
      <c r="G380" s="267" t="s">
        <v>56</v>
      </c>
      <c r="H380" s="3"/>
      <c r="I380" s="3"/>
    </row>
    <row r="381" spans="1:9">
      <c r="A381" s="2">
        <v>44641</v>
      </c>
      <c r="B381" s="267"/>
      <c r="C381" s="267" t="s">
        <v>86</v>
      </c>
      <c r="D381" s="3" t="s">
        <v>195</v>
      </c>
      <c r="E381" s="1497">
        <v>6005.7</v>
      </c>
      <c r="F381" s="1497"/>
      <c r="G381" s="267" t="s">
        <v>27</v>
      </c>
      <c r="H381" s="3"/>
      <c r="I381" s="3"/>
    </row>
    <row r="382" spans="1:9">
      <c r="A382" s="2">
        <v>44641</v>
      </c>
      <c r="B382" s="267"/>
      <c r="C382" s="267" t="s">
        <v>86</v>
      </c>
      <c r="D382" s="3" t="s">
        <v>195</v>
      </c>
      <c r="E382" s="1497">
        <v>5306.3</v>
      </c>
      <c r="F382" s="1497"/>
      <c r="G382" s="267" t="s">
        <v>27</v>
      </c>
      <c r="H382" s="3"/>
      <c r="I382" s="3"/>
    </row>
    <row r="383" spans="1:9">
      <c r="A383" s="2">
        <v>44641</v>
      </c>
      <c r="B383" s="267"/>
      <c r="C383" s="267" t="s">
        <v>86</v>
      </c>
      <c r="D383" s="3" t="s">
        <v>195</v>
      </c>
      <c r="E383" s="1497">
        <v>5304.81</v>
      </c>
      <c r="F383" s="1497"/>
      <c r="G383" s="267" t="s">
        <v>27</v>
      </c>
      <c r="H383" s="3"/>
      <c r="I383" s="3"/>
    </row>
    <row r="384" spans="1:9">
      <c r="A384" s="2">
        <v>44642</v>
      </c>
      <c r="B384" s="267"/>
      <c r="C384" s="267" t="s">
        <v>86</v>
      </c>
      <c r="D384" s="3" t="s">
        <v>104</v>
      </c>
      <c r="E384" s="1497">
        <v>2500</v>
      </c>
      <c r="F384" s="1497"/>
      <c r="G384" s="267" t="s">
        <v>56</v>
      </c>
      <c r="H384" s="3"/>
      <c r="I384" s="3"/>
    </row>
    <row r="385" spans="1:9">
      <c r="A385" s="2">
        <v>44642</v>
      </c>
      <c r="B385" s="267" t="s">
        <v>370</v>
      </c>
      <c r="C385" s="267" t="s">
        <v>55</v>
      </c>
      <c r="D385" s="15" t="s">
        <v>369</v>
      </c>
      <c r="E385" s="1497">
        <v>300</v>
      </c>
      <c r="F385" s="1497"/>
      <c r="G385" s="267" t="s">
        <v>56</v>
      </c>
      <c r="H385" s="3"/>
      <c r="I385" s="3"/>
    </row>
    <row r="386" spans="1:9">
      <c r="A386" s="2">
        <v>44642</v>
      </c>
      <c r="B386" s="267"/>
      <c r="C386" s="267" t="s">
        <v>29</v>
      </c>
      <c r="D386" s="3" t="s">
        <v>246</v>
      </c>
      <c r="E386" s="1497">
        <v>4015</v>
      </c>
      <c r="F386" s="1497"/>
      <c r="G386" s="267" t="s">
        <v>27</v>
      </c>
      <c r="H386" s="3"/>
      <c r="I386" s="3"/>
    </row>
    <row r="387" spans="1:9">
      <c r="A387" s="2">
        <v>44642</v>
      </c>
      <c r="B387" s="267"/>
      <c r="C387" s="267" t="s">
        <v>373</v>
      </c>
      <c r="D387" s="3" t="s">
        <v>371</v>
      </c>
      <c r="E387" s="1497"/>
      <c r="F387" s="1497">
        <v>43680</v>
      </c>
      <c r="G387" s="267" t="s">
        <v>72</v>
      </c>
      <c r="H387" s="3" t="s">
        <v>372</v>
      </c>
      <c r="I387" s="3"/>
    </row>
    <row r="388" spans="1:9">
      <c r="A388" s="2">
        <v>44642</v>
      </c>
      <c r="B388" s="267"/>
      <c r="C388" s="267" t="s">
        <v>373</v>
      </c>
      <c r="D388" s="3" t="s">
        <v>374</v>
      </c>
      <c r="E388" s="1497"/>
      <c r="F388" s="1497">
        <v>59500</v>
      </c>
      <c r="G388" s="267" t="s">
        <v>72</v>
      </c>
      <c r="H388" s="3" t="s">
        <v>375</v>
      </c>
      <c r="I388" s="3"/>
    </row>
    <row r="389" spans="1:9">
      <c r="A389" s="2">
        <v>44642</v>
      </c>
      <c r="B389" s="267"/>
      <c r="C389" s="267" t="s">
        <v>29</v>
      </c>
      <c r="D389" s="3" t="s">
        <v>43</v>
      </c>
      <c r="E389" s="1497">
        <v>6901.11</v>
      </c>
      <c r="F389" s="1497"/>
      <c r="G389" s="267" t="s">
        <v>27</v>
      </c>
      <c r="H389" s="3"/>
      <c r="I389" s="3"/>
    </row>
    <row r="390" spans="1:9">
      <c r="A390" s="2">
        <v>44642</v>
      </c>
      <c r="B390" s="267"/>
      <c r="C390" s="267" t="s">
        <v>92</v>
      </c>
      <c r="D390" s="3" t="s">
        <v>299</v>
      </c>
      <c r="E390" s="1497"/>
      <c r="F390" s="1497">
        <v>14500</v>
      </c>
      <c r="G390" s="267" t="s">
        <v>56</v>
      </c>
      <c r="H390" s="3"/>
      <c r="I390" s="3"/>
    </row>
    <row r="391" spans="1:9">
      <c r="A391" s="2">
        <v>44642</v>
      </c>
      <c r="B391" s="267"/>
      <c r="C391" s="267" t="s">
        <v>92</v>
      </c>
      <c r="D391" s="3" t="s">
        <v>376</v>
      </c>
      <c r="E391" s="1497"/>
      <c r="F391" s="1497">
        <v>6500</v>
      </c>
      <c r="G391" s="267" t="s">
        <v>56</v>
      </c>
      <c r="H391" s="3"/>
      <c r="I391" s="3"/>
    </row>
    <row r="392" spans="1:9">
      <c r="A392" s="2">
        <v>44642</v>
      </c>
      <c r="B392" s="267"/>
      <c r="C392" s="267" t="s">
        <v>176</v>
      </c>
      <c r="D392" s="3" t="s">
        <v>175</v>
      </c>
      <c r="E392" s="1497">
        <v>2000</v>
      </c>
      <c r="F392" s="1497"/>
      <c r="G392" s="267" t="s">
        <v>27</v>
      </c>
      <c r="H392" s="3"/>
      <c r="I392" s="3"/>
    </row>
    <row r="393" spans="1:9">
      <c r="A393" s="2">
        <v>44642</v>
      </c>
      <c r="B393" s="267"/>
      <c r="C393" s="267" t="s">
        <v>92</v>
      </c>
      <c r="D393" s="3" t="s">
        <v>357</v>
      </c>
      <c r="E393" s="1497"/>
      <c r="F393" s="1497">
        <v>25000</v>
      </c>
      <c r="G393" s="267" t="s">
        <v>56</v>
      </c>
      <c r="H393" s="3"/>
      <c r="I393" s="3"/>
    </row>
    <row r="394" spans="1:9">
      <c r="A394" s="2">
        <v>44642</v>
      </c>
      <c r="B394" s="267"/>
      <c r="C394" s="267" t="s">
        <v>77</v>
      </c>
      <c r="D394" s="15" t="s">
        <v>377</v>
      </c>
      <c r="E394" s="1497"/>
      <c r="F394" s="1497">
        <v>158000</v>
      </c>
      <c r="G394" s="267" t="s">
        <v>56</v>
      </c>
      <c r="H394" s="3"/>
      <c r="I394" s="3"/>
    </row>
    <row r="395" spans="1:9">
      <c r="A395" s="2">
        <v>44642</v>
      </c>
      <c r="B395" s="267"/>
      <c r="C395" s="267" t="s">
        <v>92</v>
      </c>
      <c r="D395" s="3" t="s">
        <v>378</v>
      </c>
      <c r="E395" s="1497"/>
      <c r="F395" s="1497">
        <v>9800</v>
      </c>
      <c r="G395" s="267" t="s">
        <v>56</v>
      </c>
      <c r="H395" s="3"/>
      <c r="I395" s="3"/>
    </row>
    <row r="396" spans="1:9">
      <c r="A396" s="2">
        <v>44642</v>
      </c>
      <c r="B396" s="267"/>
      <c r="C396" s="267" t="s">
        <v>308</v>
      </c>
      <c r="D396" s="3" t="s">
        <v>232</v>
      </c>
      <c r="E396" s="1497">
        <v>25000</v>
      </c>
      <c r="F396" s="1497"/>
      <c r="G396" s="267" t="s">
        <v>56</v>
      </c>
      <c r="H396" s="3"/>
      <c r="I396" s="3"/>
    </row>
    <row r="397" spans="1:9">
      <c r="A397" s="2">
        <v>44643</v>
      </c>
      <c r="B397" s="267"/>
      <c r="C397" s="267" t="s">
        <v>79</v>
      </c>
      <c r="D397" s="3" t="s">
        <v>181</v>
      </c>
      <c r="E397" s="1497">
        <v>3318.55</v>
      </c>
      <c r="F397" s="1497"/>
      <c r="G397" s="267" t="s">
        <v>27</v>
      </c>
      <c r="H397" s="3"/>
      <c r="I397" s="3"/>
    </row>
    <row r="398" spans="1:9">
      <c r="A398" s="2">
        <v>44643</v>
      </c>
      <c r="B398" s="267"/>
      <c r="C398" s="267" t="s">
        <v>79</v>
      </c>
      <c r="D398" s="3" t="s">
        <v>379</v>
      </c>
      <c r="E398" s="1497">
        <v>686.33</v>
      </c>
      <c r="F398" s="1497"/>
      <c r="G398" s="267" t="s">
        <v>27</v>
      </c>
      <c r="H398" s="3"/>
      <c r="I398" s="3"/>
    </row>
    <row r="399" spans="1:9">
      <c r="A399" s="2">
        <v>44643</v>
      </c>
      <c r="B399" s="267"/>
      <c r="C399" s="267" t="s">
        <v>79</v>
      </c>
      <c r="D399" s="15" t="s">
        <v>379</v>
      </c>
      <c r="E399" s="1497">
        <v>686.33</v>
      </c>
      <c r="F399" s="1497"/>
      <c r="G399" s="267" t="s">
        <v>27</v>
      </c>
      <c r="H399" s="3"/>
      <c r="I399" s="3"/>
    </row>
    <row r="400" spans="1:9">
      <c r="A400" s="2">
        <v>44643</v>
      </c>
      <c r="B400" s="267"/>
      <c r="C400" s="267" t="s">
        <v>77</v>
      </c>
      <c r="D400" s="3" t="s">
        <v>359</v>
      </c>
      <c r="E400" s="1497"/>
      <c r="F400" s="1497">
        <v>36600</v>
      </c>
      <c r="G400" s="267" t="s">
        <v>56</v>
      </c>
      <c r="H400" s="3"/>
      <c r="I400" s="3"/>
    </row>
    <row r="401" spans="1:9">
      <c r="A401" s="2">
        <v>44643</v>
      </c>
      <c r="B401" s="267"/>
      <c r="C401" s="267" t="s">
        <v>55</v>
      </c>
      <c r="D401" s="3" t="s">
        <v>380</v>
      </c>
      <c r="E401" s="1497">
        <v>380</v>
      </c>
      <c r="F401" s="1497"/>
      <c r="G401" s="267" t="s">
        <v>56</v>
      </c>
      <c r="H401" s="3"/>
      <c r="I401" s="3"/>
    </row>
    <row r="402" spans="1:9">
      <c r="A402" s="2">
        <v>44643</v>
      </c>
      <c r="B402" s="267"/>
      <c r="C402" s="267" t="s">
        <v>29</v>
      </c>
      <c r="D402" s="3" t="s">
        <v>381</v>
      </c>
      <c r="E402" s="1497">
        <v>53600</v>
      </c>
      <c r="F402" s="1497"/>
      <c r="G402" s="267" t="s">
        <v>27</v>
      </c>
      <c r="H402" s="3"/>
      <c r="I402" s="3"/>
    </row>
    <row r="403" spans="1:9">
      <c r="A403" s="2">
        <v>44643</v>
      </c>
      <c r="B403" s="267"/>
      <c r="C403" s="267" t="s">
        <v>29</v>
      </c>
      <c r="D403" s="3" t="s">
        <v>382</v>
      </c>
      <c r="E403" s="1497">
        <v>5200</v>
      </c>
      <c r="F403" s="1497"/>
      <c r="G403" s="267" t="s">
        <v>27</v>
      </c>
      <c r="H403" s="3"/>
      <c r="I403" s="3"/>
    </row>
    <row r="404" spans="1:9">
      <c r="A404" s="2">
        <v>44643</v>
      </c>
      <c r="B404" s="267"/>
      <c r="C404" s="267" t="s">
        <v>327</v>
      </c>
      <c r="D404" s="3" t="s">
        <v>196</v>
      </c>
      <c r="E404" s="1497"/>
      <c r="F404" s="1497">
        <v>45980</v>
      </c>
      <c r="G404" s="267" t="s">
        <v>27</v>
      </c>
      <c r="H404" s="3"/>
      <c r="I404" s="3"/>
    </row>
    <row r="405" spans="1:9">
      <c r="A405" s="2">
        <v>44704</v>
      </c>
      <c r="B405" s="267"/>
      <c r="C405" s="267" t="s">
        <v>150</v>
      </c>
      <c r="D405" s="3" t="s">
        <v>319</v>
      </c>
      <c r="E405" s="1497">
        <v>43600</v>
      </c>
      <c r="F405" s="1497"/>
      <c r="G405" s="267" t="s">
        <v>56</v>
      </c>
      <c r="H405" s="3"/>
      <c r="I405" s="3"/>
    </row>
    <row r="406" spans="1:9">
      <c r="A406" s="2">
        <v>44643</v>
      </c>
      <c r="B406" s="267"/>
      <c r="C406" s="267" t="s">
        <v>150</v>
      </c>
      <c r="D406" s="15" t="s">
        <v>383</v>
      </c>
      <c r="E406" s="1497"/>
      <c r="F406" s="1497">
        <v>43600</v>
      </c>
      <c r="G406" s="267" t="s">
        <v>27</v>
      </c>
      <c r="H406" s="3"/>
      <c r="I406" s="3"/>
    </row>
    <row r="407" spans="1:9">
      <c r="A407" s="2">
        <v>44704</v>
      </c>
      <c r="B407" s="267"/>
      <c r="C407" s="267" t="s">
        <v>150</v>
      </c>
      <c r="D407" s="3" t="s">
        <v>319</v>
      </c>
      <c r="E407" s="1497">
        <v>19700</v>
      </c>
      <c r="F407" s="1497"/>
      <c r="G407" s="267" t="s">
        <v>56</v>
      </c>
      <c r="H407" s="3"/>
      <c r="I407" s="3"/>
    </row>
    <row r="408" spans="1:9">
      <c r="A408" s="2">
        <v>44643</v>
      </c>
      <c r="B408" s="267"/>
      <c r="C408" s="267" t="s">
        <v>150</v>
      </c>
      <c r="D408" s="15" t="s">
        <v>383</v>
      </c>
      <c r="E408" s="1497"/>
      <c r="F408" s="1497">
        <v>19700</v>
      </c>
      <c r="G408" s="267" t="s">
        <v>27</v>
      </c>
      <c r="H408" s="3"/>
      <c r="I408" s="3"/>
    </row>
    <row r="409" spans="1:9">
      <c r="A409" s="2">
        <v>44643</v>
      </c>
      <c r="B409" s="267"/>
      <c r="C409" s="267" t="s">
        <v>77</v>
      </c>
      <c r="D409" s="3" t="s">
        <v>179</v>
      </c>
      <c r="E409" s="1497"/>
      <c r="F409" s="1497">
        <v>3907.5</v>
      </c>
      <c r="G409" s="267" t="s">
        <v>27</v>
      </c>
      <c r="H409" s="3"/>
      <c r="I409" s="3"/>
    </row>
    <row r="410" spans="1:9">
      <c r="A410" s="2">
        <v>44643</v>
      </c>
      <c r="B410" s="267"/>
      <c r="C410" s="267" t="s">
        <v>29</v>
      </c>
      <c r="D410" s="15" t="s">
        <v>190</v>
      </c>
      <c r="E410" s="1497">
        <v>59500</v>
      </c>
      <c r="F410" s="1497"/>
      <c r="G410" s="267" t="s">
        <v>72</v>
      </c>
      <c r="H410" s="3" t="s">
        <v>375</v>
      </c>
      <c r="I410" s="3"/>
    </row>
    <row r="411" spans="1:9">
      <c r="A411" s="2">
        <v>44643</v>
      </c>
      <c r="B411" s="267"/>
      <c r="C411" s="267" t="s">
        <v>90</v>
      </c>
      <c r="D411" s="3" t="s">
        <v>112</v>
      </c>
      <c r="E411" s="1497">
        <v>1200</v>
      </c>
      <c r="F411" s="1497"/>
      <c r="G411" s="267" t="s">
        <v>56</v>
      </c>
      <c r="H411" s="3"/>
      <c r="I411" s="3"/>
    </row>
    <row r="412" spans="1:9">
      <c r="A412" s="2">
        <v>44643</v>
      </c>
      <c r="B412" s="267"/>
      <c r="C412" s="267" t="s">
        <v>29</v>
      </c>
      <c r="D412" s="3" t="s">
        <v>384</v>
      </c>
      <c r="E412" s="1497">
        <v>7230</v>
      </c>
      <c r="F412" s="1497"/>
      <c r="G412" s="267" t="s">
        <v>27</v>
      </c>
      <c r="H412" s="3"/>
      <c r="I412" s="3"/>
    </row>
    <row r="413" spans="1:9">
      <c r="A413" s="2">
        <v>44643</v>
      </c>
      <c r="B413" s="267"/>
      <c r="C413" s="267" t="s">
        <v>29</v>
      </c>
      <c r="D413" s="3" t="s">
        <v>44</v>
      </c>
      <c r="E413" s="1497">
        <v>7130</v>
      </c>
      <c r="F413" s="1497"/>
      <c r="G413" s="267" t="s">
        <v>27</v>
      </c>
      <c r="H413" s="3"/>
      <c r="I413" s="3"/>
    </row>
    <row r="414" spans="1:9">
      <c r="A414" s="2">
        <v>44643</v>
      </c>
      <c r="B414" s="267"/>
      <c r="C414" s="267" t="s">
        <v>176</v>
      </c>
      <c r="D414" s="52" t="s">
        <v>175</v>
      </c>
      <c r="E414" s="51">
        <v>3768.74</v>
      </c>
      <c r="F414" s="1497"/>
      <c r="G414" s="267" t="s">
        <v>27</v>
      </c>
      <c r="H414" s="3"/>
      <c r="I414" s="3"/>
    </row>
    <row r="415" spans="1:9">
      <c r="A415" s="2">
        <v>44643</v>
      </c>
      <c r="B415" s="267"/>
      <c r="C415" s="267" t="s">
        <v>29</v>
      </c>
      <c r="D415" s="3" t="s">
        <v>53</v>
      </c>
      <c r="E415" s="1497">
        <v>11820</v>
      </c>
      <c r="F415" s="1497"/>
      <c r="G415" s="267" t="s">
        <v>27</v>
      </c>
      <c r="H415" s="3" t="s">
        <v>377</v>
      </c>
      <c r="I415" s="3"/>
    </row>
    <row r="416" spans="1:9">
      <c r="A416" s="2">
        <v>44643</v>
      </c>
      <c r="B416" s="267"/>
      <c r="C416" s="267" t="s">
        <v>88</v>
      </c>
      <c r="D416" s="3" t="s">
        <v>259</v>
      </c>
      <c r="E416" s="1497">
        <v>22500</v>
      </c>
      <c r="F416" s="1497"/>
      <c r="G416" s="267" t="s">
        <v>56</v>
      </c>
      <c r="H416" s="3" t="s">
        <v>386</v>
      </c>
      <c r="I416" s="3"/>
    </row>
    <row r="417" spans="1:9">
      <c r="A417" s="2">
        <v>44643</v>
      </c>
      <c r="B417" s="267"/>
      <c r="C417" s="267" t="s">
        <v>176</v>
      </c>
      <c r="D417" s="3" t="s">
        <v>175</v>
      </c>
      <c r="E417" s="1497">
        <v>10000</v>
      </c>
      <c r="F417" s="1497"/>
      <c r="G417" s="267" t="s">
        <v>56</v>
      </c>
      <c r="H417" s="3" t="s">
        <v>387</v>
      </c>
      <c r="I417" s="3"/>
    </row>
    <row r="418" spans="1:9">
      <c r="A418" s="2">
        <v>44645</v>
      </c>
      <c r="B418" s="267" t="s">
        <v>389</v>
      </c>
      <c r="C418" s="267" t="s">
        <v>103</v>
      </c>
      <c r="D418" s="3" t="s">
        <v>388</v>
      </c>
      <c r="E418" s="1497">
        <v>1474.48</v>
      </c>
      <c r="F418" s="1497"/>
      <c r="G418" s="267" t="s">
        <v>56</v>
      </c>
      <c r="H418" s="3"/>
      <c r="I418" s="3"/>
    </row>
    <row r="419" spans="1:9">
      <c r="A419" s="2">
        <v>44645</v>
      </c>
      <c r="B419" s="267" t="s">
        <v>389</v>
      </c>
      <c r="C419" s="267" t="s">
        <v>103</v>
      </c>
      <c r="D419" s="3" t="s">
        <v>390</v>
      </c>
      <c r="E419" s="1497">
        <v>547.15</v>
      </c>
      <c r="F419" s="1497"/>
      <c r="G419" s="267" t="s">
        <v>56</v>
      </c>
      <c r="H419" s="3"/>
      <c r="I419" s="3"/>
    </row>
    <row r="420" spans="1:9">
      <c r="A420" s="2">
        <v>44645</v>
      </c>
      <c r="B420" s="267" t="s">
        <v>389</v>
      </c>
      <c r="C420" s="267" t="s">
        <v>103</v>
      </c>
      <c r="D420" s="3" t="s">
        <v>391</v>
      </c>
      <c r="E420" s="1497">
        <v>478.38</v>
      </c>
      <c r="F420" s="1497"/>
      <c r="G420" s="267" t="s">
        <v>56</v>
      </c>
      <c r="H420" s="3"/>
      <c r="I420" s="3"/>
    </row>
    <row r="421" spans="1:9">
      <c r="A421" s="2">
        <v>44645</v>
      </c>
      <c r="B421" s="267" t="s">
        <v>389</v>
      </c>
      <c r="C421" s="267" t="s">
        <v>103</v>
      </c>
      <c r="D421" s="3" t="s">
        <v>392</v>
      </c>
      <c r="E421" s="1497">
        <v>463.84</v>
      </c>
      <c r="F421" s="1497"/>
      <c r="G421" s="267" t="s">
        <v>56</v>
      </c>
      <c r="H421" s="3"/>
      <c r="I421" s="3"/>
    </row>
    <row r="422" spans="1:9">
      <c r="A422" s="2">
        <v>44645</v>
      </c>
      <c r="B422" s="267" t="s">
        <v>389</v>
      </c>
      <c r="C422" s="267" t="s">
        <v>103</v>
      </c>
      <c r="D422" s="3" t="s">
        <v>393</v>
      </c>
      <c r="E422" s="1497">
        <v>743.56</v>
      </c>
      <c r="F422" s="1497"/>
      <c r="G422" s="267" t="s">
        <v>56</v>
      </c>
      <c r="H422" s="3"/>
      <c r="I422" s="3"/>
    </row>
    <row r="423" spans="1:9">
      <c r="A423" s="2">
        <v>44645</v>
      </c>
      <c r="B423" s="267" t="s">
        <v>389</v>
      </c>
      <c r="C423" s="267" t="s">
        <v>103</v>
      </c>
      <c r="D423" s="3" t="s">
        <v>394</v>
      </c>
      <c r="E423" s="1497">
        <v>680.07</v>
      </c>
      <c r="F423" s="1497"/>
      <c r="G423" s="267" t="s">
        <v>56</v>
      </c>
      <c r="H423" s="3"/>
      <c r="I423" s="3"/>
    </row>
    <row r="424" spans="1:9">
      <c r="A424" s="2">
        <v>44645</v>
      </c>
      <c r="B424" s="267"/>
      <c r="C424" s="267" t="s">
        <v>389</v>
      </c>
      <c r="D424" s="15" t="s">
        <v>395</v>
      </c>
      <c r="E424" s="1497">
        <v>1852.57</v>
      </c>
      <c r="F424" s="1497"/>
      <c r="G424" s="267" t="s">
        <v>56</v>
      </c>
      <c r="H424" s="3"/>
      <c r="I424" s="3"/>
    </row>
    <row r="425" spans="1:9">
      <c r="A425" s="2">
        <v>44645</v>
      </c>
      <c r="B425" s="267"/>
      <c r="C425" s="267" t="s">
        <v>79</v>
      </c>
      <c r="D425" s="3" t="s">
        <v>277</v>
      </c>
      <c r="E425" s="1497">
        <v>1000</v>
      </c>
      <c r="F425" s="1497"/>
      <c r="G425" s="267" t="s">
        <v>56</v>
      </c>
      <c r="H425" s="71">
        <v>7240.05</v>
      </c>
      <c r="I425" s="3"/>
    </row>
    <row r="426" spans="1:9">
      <c r="A426" s="2">
        <v>44645</v>
      </c>
      <c r="B426" s="267"/>
      <c r="C426" s="267" t="s">
        <v>55</v>
      </c>
      <c r="D426" s="3" t="s">
        <v>396</v>
      </c>
      <c r="E426" s="1497">
        <v>160</v>
      </c>
      <c r="F426" s="1497"/>
      <c r="G426" s="267" t="s">
        <v>56</v>
      </c>
      <c r="H426" s="3"/>
      <c r="I426" s="3"/>
    </row>
    <row r="427" spans="1:9">
      <c r="A427" s="2">
        <v>44645</v>
      </c>
      <c r="B427" s="267"/>
      <c r="C427" s="267" t="s">
        <v>92</v>
      </c>
      <c r="D427" s="3" t="s">
        <v>385</v>
      </c>
      <c r="E427" s="1497"/>
      <c r="F427" s="1497">
        <v>3543.71</v>
      </c>
      <c r="G427" s="267" t="s">
        <v>27</v>
      </c>
      <c r="H427" s="3"/>
      <c r="I427" s="3"/>
    </row>
    <row r="428" spans="1:9">
      <c r="A428" s="2">
        <v>44645</v>
      </c>
      <c r="B428" s="267"/>
      <c r="C428" s="267" t="s">
        <v>55</v>
      </c>
      <c r="D428" s="3" t="s">
        <v>38</v>
      </c>
      <c r="E428" s="1497">
        <v>100</v>
      </c>
      <c r="F428" s="1497"/>
      <c r="G428" s="267" t="s">
        <v>56</v>
      </c>
      <c r="H428" s="3"/>
      <c r="I428" s="3"/>
    </row>
    <row r="429" spans="1:9">
      <c r="A429" s="2">
        <v>44645</v>
      </c>
      <c r="B429" s="267"/>
      <c r="C429" s="267" t="s">
        <v>92</v>
      </c>
      <c r="D429" s="3" t="s">
        <v>397</v>
      </c>
      <c r="E429" s="1497"/>
      <c r="F429" s="1497">
        <v>9800</v>
      </c>
      <c r="G429" s="267" t="s">
        <v>56</v>
      </c>
      <c r="H429" s="3"/>
      <c r="I429" s="3"/>
    </row>
    <row r="430" spans="1:9">
      <c r="A430" s="2">
        <v>44645</v>
      </c>
      <c r="B430" s="267"/>
      <c r="C430" s="267" t="s">
        <v>160</v>
      </c>
      <c r="D430" s="3" t="s">
        <v>397</v>
      </c>
      <c r="E430" s="1497"/>
      <c r="F430" s="1497">
        <v>1000</v>
      </c>
      <c r="G430" s="267" t="s">
        <v>56</v>
      </c>
      <c r="H430" s="3" t="s">
        <v>398</v>
      </c>
      <c r="I430" s="3"/>
    </row>
    <row r="431" spans="1:9">
      <c r="A431" s="2">
        <v>44645</v>
      </c>
      <c r="B431" s="267"/>
      <c r="C431" s="267" t="s">
        <v>88</v>
      </c>
      <c r="D431" s="3" t="s">
        <v>88</v>
      </c>
      <c r="E431" s="1497"/>
      <c r="F431" s="1497"/>
      <c r="G431" s="267" t="s">
        <v>56</v>
      </c>
      <c r="H431" s="3"/>
      <c r="I431" s="3"/>
    </row>
    <row r="432" spans="1:9">
      <c r="A432" s="2">
        <v>44648</v>
      </c>
      <c r="B432" s="267"/>
      <c r="C432" s="267" t="s">
        <v>97</v>
      </c>
      <c r="D432" s="3" t="s">
        <v>399</v>
      </c>
      <c r="E432" s="1497">
        <v>157186</v>
      </c>
      <c r="F432" s="1497"/>
      <c r="G432" s="267" t="s">
        <v>27</v>
      </c>
      <c r="H432" s="3"/>
      <c r="I432" s="3"/>
    </row>
    <row r="433" spans="1:9">
      <c r="A433" s="2">
        <v>44648</v>
      </c>
      <c r="B433" s="267"/>
      <c r="C433" s="267" t="s">
        <v>156</v>
      </c>
      <c r="D433" s="15" t="s">
        <v>156</v>
      </c>
      <c r="E433" s="1497">
        <v>11350</v>
      </c>
      <c r="F433" s="1497"/>
      <c r="G433" s="267" t="s">
        <v>27</v>
      </c>
      <c r="H433" s="3"/>
      <c r="I433" s="3"/>
    </row>
    <row r="434" spans="1:9">
      <c r="A434" s="2">
        <v>44648</v>
      </c>
      <c r="B434" s="267"/>
      <c r="C434" s="267" t="s">
        <v>160</v>
      </c>
      <c r="D434" s="3" t="s">
        <v>400</v>
      </c>
      <c r="E434" s="1497"/>
      <c r="F434" s="1497">
        <v>7100</v>
      </c>
      <c r="G434" s="267" t="s">
        <v>56</v>
      </c>
      <c r="H434" s="3" t="s">
        <v>401</v>
      </c>
      <c r="I434" s="3"/>
    </row>
    <row r="435" spans="1:9">
      <c r="A435" s="2">
        <v>44648</v>
      </c>
      <c r="B435" s="267"/>
      <c r="C435" s="267" t="s">
        <v>92</v>
      </c>
      <c r="D435" s="3" t="s">
        <v>402</v>
      </c>
      <c r="E435" s="1497">
        <v>6800</v>
      </c>
      <c r="F435" s="1497"/>
      <c r="G435" s="267" t="s">
        <v>27</v>
      </c>
      <c r="H435" s="3"/>
      <c r="I435" s="3"/>
    </row>
    <row r="436" spans="1:9">
      <c r="A436" s="2">
        <v>44648</v>
      </c>
      <c r="B436" s="267"/>
      <c r="C436" s="267" t="s">
        <v>79</v>
      </c>
      <c r="D436" s="3" t="s">
        <v>340</v>
      </c>
      <c r="E436" s="1497">
        <v>2500</v>
      </c>
      <c r="F436" s="1497"/>
      <c r="G436" s="267" t="s">
        <v>56</v>
      </c>
      <c r="H436" s="3"/>
      <c r="I436" s="3"/>
    </row>
    <row r="437" spans="1:9">
      <c r="A437" s="2">
        <v>44649</v>
      </c>
      <c r="B437" s="267"/>
      <c r="C437" s="267" t="s">
        <v>150</v>
      </c>
      <c r="D437" s="3" t="s">
        <v>358</v>
      </c>
      <c r="E437" s="1497">
        <v>100</v>
      </c>
      <c r="F437" s="1497"/>
      <c r="G437" s="267" t="s">
        <v>56</v>
      </c>
      <c r="H437" s="3"/>
      <c r="I437" s="3"/>
    </row>
    <row r="438" spans="1:9">
      <c r="A438" s="2">
        <v>44649</v>
      </c>
      <c r="B438" s="267"/>
      <c r="C438" s="267" t="s">
        <v>150</v>
      </c>
      <c r="D438" s="15" t="s">
        <v>358</v>
      </c>
      <c r="E438" s="1497"/>
      <c r="F438" s="1497">
        <v>100</v>
      </c>
      <c r="G438" s="267" t="s">
        <v>56</v>
      </c>
      <c r="H438" s="3"/>
      <c r="I438" s="3"/>
    </row>
    <row r="439" spans="1:9">
      <c r="A439" s="2">
        <v>44649</v>
      </c>
      <c r="B439" s="267"/>
      <c r="C439" s="267" t="s">
        <v>62</v>
      </c>
      <c r="D439" s="3" t="s">
        <v>407</v>
      </c>
      <c r="E439" s="1497">
        <v>700</v>
      </c>
      <c r="F439" s="1497"/>
      <c r="G439" s="267" t="s">
        <v>56</v>
      </c>
      <c r="H439" s="3"/>
      <c r="I439" s="3"/>
    </row>
    <row r="440" spans="1:9">
      <c r="A440" s="2">
        <v>44649</v>
      </c>
      <c r="B440" s="267"/>
      <c r="C440" s="267" t="s">
        <v>92</v>
      </c>
      <c r="D440" s="3" t="s">
        <v>371</v>
      </c>
      <c r="E440" s="1497"/>
      <c r="F440" s="1497">
        <v>8600</v>
      </c>
      <c r="G440" s="267" t="s">
        <v>72</v>
      </c>
      <c r="H440" s="45" t="s">
        <v>408</v>
      </c>
      <c r="I440" s="3"/>
    </row>
    <row r="441" spans="1:9">
      <c r="A441" s="2">
        <v>44649</v>
      </c>
      <c r="B441" s="267"/>
      <c r="C441" s="267" t="s">
        <v>409</v>
      </c>
      <c r="D441" s="3" t="s">
        <v>405</v>
      </c>
      <c r="E441" s="1497"/>
      <c r="F441" s="1497">
        <v>20000</v>
      </c>
      <c r="G441" s="267" t="s">
        <v>56</v>
      </c>
      <c r="H441" s="3"/>
      <c r="I441" s="3"/>
    </row>
    <row r="442" spans="1:9">
      <c r="A442" s="2">
        <v>44649</v>
      </c>
      <c r="B442" s="267"/>
      <c r="C442" s="267" t="s">
        <v>409</v>
      </c>
      <c r="D442" s="3" t="s">
        <v>405</v>
      </c>
      <c r="E442" s="1497"/>
      <c r="F442" s="1497">
        <v>19687.150000000001</v>
      </c>
      <c r="G442" s="267" t="s">
        <v>27</v>
      </c>
      <c r="H442" s="3"/>
      <c r="I442" s="3"/>
    </row>
    <row r="443" spans="1:9">
      <c r="A443" s="2">
        <v>44649</v>
      </c>
      <c r="B443" s="267"/>
      <c r="C443" s="267" t="s">
        <v>409</v>
      </c>
      <c r="D443" s="3" t="s">
        <v>405</v>
      </c>
      <c r="E443" s="1497"/>
      <c r="F443" s="1497">
        <v>19687.150000000001</v>
      </c>
      <c r="G443" s="267" t="s">
        <v>27</v>
      </c>
      <c r="H443" s="3"/>
      <c r="I443" s="3"/>
    </row>
    <row r="444" spans="1:9">
      <c r="A444" s="2">
        <v>44649</v>
      </c>
      <c r="B444" s="267"/>
      <c r="C444" s="267" t="s">
        <v>160</v>
      </c>
      <c r="D444" s="15" t="s">
        <v>410</v>
      </c>
      <c r="E444" s="1497"/>
      <c r="F444" s="1497">
        <v>7200</v>
      </c>
      <c r="G444" s="267" t="s">
        <v>56</v>
      </c>
      <c r="H444" s="3"/>
      <c r="I444" s="3"/>
    </row>
    <row r="445" spans="1:9">
      <c r="A445" s="2">
        <v>44650</v>
      </c>
      <c r="B445" s="267"/>
      <c r="C445" s="267" t="s">
        <v>150</v>
      </c>
      <c r="D445" s="3" t="s">
        <v>197</v>
      </c>
      <c r="E445" s="1497">
        <v>6000</v>
      </c>
      <c r="F445" s="1497"/>
      <c r="G445" s="267" t="s">
        <v>27</v>
      </c>
      <c r="H445" s="3"/>
      <c r="I445" s="3"/>
    </row>
    <row r="446" spans="1:9">
      <c r="A446" s="2">
        <v>44650</v>
      </c>
      <c r="B446" s="267"/>
      <c r="C446" s="267" t="s">
        <v>86</v>
      </c>
      <c r="D446" s="3" t="s">
        <v>104</v>
      </c>
      <c r="E446" s="1497">
        <v>2500</v>
      </c>
      <c r="F446" s="1497"/>
      <c r="G446" s="267" t="s">
        <v>56</v>
      </c>
      <c r="H446" s="3"/>
      <c r="I446" s="3"/>
    </row>
    <row r="447" spans="1:9">
      <c r="A447" s="2">
        <v>44650</v>
      </c>
      <c r="B447" s="267"/>
      <c r="C447" s="267" t="s">
        <v>90</v>
      </c>
      <c r="D447" s="3" t="s">
        <v>112</v>
      </c>
      <c r="E447" s="1497">
        <v>1350</v>
      </c>
      <c r="F447" s="1497"/>
      <c r="G447" s="267" t="s">
        <v>56</v>
      </c>
      <c r="H447" s="3"/>
      <c r="I447" s="3"/>
    </row>
    <row r="448" spans="1:9">
      <c r="A448" s="2">
        <v>44650</v>
      </c>
      <c r="B448" s="267"/>
      <c r="C448" s="267" t="s">
        <v>409</v>
      </c>
      <c r="D448" s="3" t="s">
        <v>411</v>
      </c>
      <c r="E448" s="1497"/>
      <c r="F448" s="1497">
        <v>32900</v>
      </c>
      <c r="G448" s="267" t="s">
        <v>27</v>
      </c>
      <c r="H448" s="3"/>
      <c r="I448" s="3"/>
    </row>
    <row r="449" spans="1:9">
      <c r="A449" s="2">
        <v>44650</v>
      </c>
      <c r="B449" s="267"/>
      <c r="C449" s="267" t="s">
        <v>92</v>
      </c>
      <c r="D449" s="3" t="s">
        <v>357</v>
      </c>
      <c r="E449" s="1497"/>
      <c r="F449" s="1497">
        <v>9200</v>
      </c>
      <c r="G449" s="267" t="s">
        <v>56</v>
      </c>
      <c r="H449" s="3"/>
      <c r="I449" s="3"/>
    </row>
    <row r="450" spans="1:9" ht="30">
      <c r="A450" s="2">
        <v>44650</v>
      </c>
      <c r="B450" s="267"/>
      <c r="C450" s="267" t="s">
        <v>92</v>
      </c>
      <c r="D450" s="3" t="s">
        <v>357</v>
      </c>
      <c r="E450" s="1497"/>
      <c r="F450" s="1497">
        <v>13320</v>
      </c>
      <c r="G450" s="267" t="s">
        <v>72</v>
      </c>
      <c r="H450" s="69" t="s">
        <v>413</v>
      </c>
      <c r="I450" s="3"/>
    </row>
    <row r="451" spans="1:9" ht="45">
      <c r="A451" s="2">
        <v>44650</v>
      </c>
      <c r="B451" s="267"/>
      <c r="C451" s="267" t="s">
        <v>29</v>
      </c>
      <c r="D451" s="15" t="s">
        <v>246</v>
      </c>
      <c r="E451" s="1497">
        <v>21920</v>
      </c>
      <c r="F451" s="1497"/>
      <c r="G451" s="267" t="s">
        <v>72</v>
      </c>
      <c r="H451" s="69" t="s">
        <v>414</v>
      </c>
      <c r="I451" s="3"/>
    </row>
    <row r="452" spans="1:9">
      <c r="A452" s="2">
        <v>44650</v>
      </c>
      <c r="B452" s="267"/>
      <c r="C452" s="267" t="s">
        <v>29</v>
      </c>
      <c r="D452" s="15" t="s">
        <v>246</v>
      </c>
      <c r="E452" s="1497">
        <v>10250</v>
      </c>
      <c r="F452" s="1497"/>
      <c r="G452" s="267" t="s">
        <v>56</v>
      </c>
      <c r="H452" s="3"/>
      <c r="I452" s="3"/>
    </row>
    <row r="453" spans="1:9">
      <c r="A453" s="2">
        <v>44650</v>
      </c>
      <c r="B453" s="267"/>
      <c r="C453" s="267" t="s">
        <v>29</v>
      </c>
      <c r="D453" s="15" t="s">
        <v>415</v>
      </c>
      <c r="E453" s="1497">
        <v>2880</v>
      </c>
      <c r="F453" s="1497"/>
      <c r="G453" s="267" t="s">
        <v>56</v>
      </c>
      <c r="H453" s="81">
        <v>28280</v>
      </c>
      <c r="I453" s="3"/>
    </row>
    <row r="454" spans="1:9">
      <c r="A454" s="2">
        <v>44650</v>
      </c>
      <c r="B454" s="267"/>
      <c r="C454" s="267" t="s">
        <v>77</v>
      </c>
      <c r="D454" s="3" t="s">
        <v>421</v>
      </c>
      <c r="E454" s="1497"/>
      <c r="F454" s="1497">
        <v>52000</v>
      </c>
      <c r="G454" s="267" t="s">
        <v>56</v>
      </c>
      <c r="H454" s="71">
        <v>80280</v>
      </c>
      <c r="I454" s="3"/>
    </row>
    <row r="455" spans="1:9">
      <c r="A455" s="2">
        <v>44650</v>
      </c>
      <c r="B455" s="267"/>
      <c r="C455" s="267" t="s">
        <v>88</v>
      </c>
      <c r="D455" s="3" t="s">
        <v>144</v>
      </c>
      <c r="E455" s="1497">
        <v>20000</v>
      </c>
      <c r="F455" s="1497"/>
      <c r="G455" s="267" t="s">
        <v>56</v>
      </c>
      <c r="H455" s="3"/>
      <c r="I455" s="3"/>
    </row>
    <row r="456" spans="1:9">
      <c r="A456" s="2">
        <v>44650</v>
      </c>
      <c r="B456" s="267"/>
      <c r="C456" s="267" t="s">
        <v>176</v>
      </c>
      <c r="D456" s="3" t="s">
        <v>175</v>
      </c>
      <c r="E456" s="1497">
        <v>6000</v>
      </c>
      <c r="F456" s="1497"/>
      <c r="G456" s="267" t="s">
        <v>56</v>
      </c>
      <c r="H456" s="71">
        <v>54280</v>
      </c>
      <c r="I456" s="3"/>
    </row>
    <row r="457" spans="1:9">
      <c r="A457" s="2">
        <v>44650</v>
      </c>
      <c r="B457" s="267"/>
      <c r="C457" s="267" t="s">
        <v>79</v>
      </c>
      <c r="D457" s="15" t="s">
        <v>151</v>
      </c>
      <c r="E457" s="1497">
        <v>3500</v>
      </c>
      <c r="F457" s="1497"/>
      <c r="G457" s="267" t="s">
        <v>56</v>
      </c>
      <c r="H457" s="3"/>
      <c r="I457" s="3"/>
    </row>
    <row r="458" spans="1:9">
      <c r="A458" s="2">
        <v>44650</v>
      </c>
      <c r="B458" s="267"/>
      <c r="C458" s="267" t="s">
        <v>77</v>
      </c>
      <c r="D458" s="3" t="s">
        <v>422</v>
      </c>
      <c r="E458" s="1497"/>
      <c r="F458" s="1497">
        <v>260700</v>
      </c>
      <c r="G458" s="267" t="s">
        <v>72</v>
      </c>
      <c r="H458" s="83" t="s">
        <v>424</v>
      </c>
      <c r="I458" s="3"/>
    </row>
    <row r="459" spans="1:9">
      <c r="A459" s="2">
        <v>44651</v>
      </c>
      <c r="B459" s="267"/>
      <c r="C459" s="267" t="s">
        <v>77</v>
      </c>
      <c r="D459" s="3" t="s">
        <v>423</v>
      </c>
      <c r="E459" s="1497"/>
      <c r="F459" s="1497">
        <v>492400</v>
      </c>
      <c r="G459" s="267" t="s">
        <v>56</v>
      </c>
      <c r="H459" s="3" t="s">
        <v>425</v>
      </c>
      <c r="I459" s="3"/>
    </row>
    <row r="460" spans="1:9">
      <c r="A460" s="2">
        <v>44651</v>
      </c>
      <c r="B460" s="267"/>
      <c r="C460" s="267" t="s">
        <v>29</v>
      </c>
      <c r="D460" s="15" t="s">
        <v>426</v>
      </c>
      <c r="E460" s="1497">
        <v>41700</v>
      </c>
      <c r="F460" s="1497"/>
      <c r="G460" s="267" t="s">
        <v>56</v>
      </c>
      <c r="H460" s="3"/>
      <c r="I460" s="3"/>
    </row>
    <row r="461" spans="1:9">
      <c r="A461" s="2">
        <v>44651</v>
      </c>
      <c r="B461" s="267"/>
      <c r="C461" s="267" t="s">
        <v>79</v>
      </c>
      <c r="D461" s="15" t="s">
        <v>427</v>
      </c>
      <c r="E461" s="1497">
        <v>7500</v>
      </c>
      <c r="F461" s="1497"/>
      <c r="G461" s="267" t="s">
        <v>56</v>
      </c>
      <c r="H461" s="3"/>
      <c r="I461" s="3"/>
    </row>
    <row r="462" spans="1:9">
      <c r="A462" s="84">
        <v>44651</v>
      </c>
      <c r="B462" s="57"/>
      <c r="C462" s="57" t="s">
        <v>29</v>
      </c>
      <c r="D462" s="85" t="s">
        <v>48</v>
      </c>
      <c r="E462" s="57">
        <v>371150</v>
      </c>
      <c r="F462" s="57"/>
      <c r="G462" s="57" t="s">
        <v>72</v>
      </c>
      <c r="H462" s="85"/>
      <c r="I462" s="85"/>
    </row>
    <row r="463" spans="1:9" ht="15.75" thickBot="1">
      <c r="A463" s="171"/>
      <c r="B463" s="244"/>
      <c r="C463" s="244"/>
      <c r="D463" s="115"/>
      <c r="E463" s="1451">
        <f>SUM(E249:E462)</f>
        <v>3086024.5599999991</v>
      </c>
      <c r="F463" s="1451">
        <f>SUM(F249:F462)</f>
        <v>3342943.8999999994</v>
      </c>
      <c r="G463" s="244"/>
      <c r="H463" s="115"/>
      <c r="I463" s="115"/>
    </row>
    <row r="464" spans="1:9" ht="15.75" thickBot="1">
      <c r="A464" s="239"/>
      <c r="B464" s="240"/>
      <c r="C464" s="240"/>
      <c r="D464" s="240"/>
      <c r="E464" s="241"/>
      <c r="F464" s="241"/>
      <c r="G464" s="240"/>
      <c r="H464" s="240"/>
      <c r="I464" s="242"/>
    </row>
    <row r="465" spans="1:9">
      <c r="A465" s="4">
        <v>44652</v>
      </c>
      <c r="B465" s="62"/>
      <c r="C465" s="62" t="s">
        <v>29</v>
      </c>
      <c r="D465" s="5" t="s">
        <v>12</v>
      </c>
      <c r="E465" s="62">
        <v>43450</v>
      </c>
      <c r="F465" s="62"/>
      <c r="G465" s="62" t="s">
        <v>72</v>
      </c>
      <c r="H465" s="5" t="s">
        <v>422</v>
      </c>
      <c r="I465" s="5"/>
    </row>
    <row r="466" spans="1:9">
      <c r="A466" s="2">
        <v>44652</v>
      </c>
      <c r="B466" s="267"/>
      <c r="C466" s="267" t="s">
        <v>308</v>
      </c>
      <c r="D466" s="3" t="s">
        <v>232</v>
      </c>
      <c r="E466" s="1497">
        <v>9500</v>
      </c>
      <c r="F466" s="1497"/>
      <c r="G466" s="266" t="s">
        <v>56</v>
      </c>
      <c r="H466" s="3"/>
      <c r="I466" s="3"/>
    </row>
    <row r="467" spans="1:9">
      <c r="A467" s="2">
        <v>44652</v>
      </c>
      <c r="B467" s="267"/>
      <c r="C467" s="267" t="s">
        <v>88</v>
      </c>
      <c r="D467" s="3" t="s">
        <v>88</v>
      </c>
      <c r="E467" s="1497">
        <v>40300</v>
      </c>
      <c r="F467" s="1497"/>
      <c r="G467" s="267" t="s">
        <v>56</v>
      </c>
      <c r="H467" s="3"/>
      <c r="I467" s="3"/>
    </row>
    <row r="468" spans="1:9">
      <c r="A468" s="2">
        <v>44652</v>
      </c>
      <c r="B468" s="267"/>
      <c r="C468" s="267" t="s">
        <v>79</v>
      </c>
      <c r="D468" s="3" t="s">
        <v>151</v>
      </c>
      <c r="E468" s="1497">
        <v>2000</v>
      </c>
      <c r="F468" s="1497"/>
      <c r="G468" s="267" t="s">
        <v>56</v>
      </c>
      <c r="H468" s="3"/>
      <c r="I468" s="3"/>
    </row>
    <row r="469" spans="1:9">
      <c r="A469" s="2">
        <v>44652</v>
      </c>
      <c r="B469" s="267"/>
      <c r="C469" s="267" t="s">
        <v>77</v>
      </c>
      <c r="D469" s="3" t="s">
        <v>428</v>
      </c>
      <c r="E469" s="1497"/>
      <c r="F469" s="1497">
        <v>13500</v>
      </c>
      <c r="G469" s="267" t="s">
        <v>56</v>
      </c>
      <c r="H469" s="3"/>
      <c r="I469" s="3"/>
    </row>
    <row r="470" spans="1:9">
      <c r="A470" s="2">
        <v>44652</v>
      </c>
      <c r="B470" s="267"/>
      <c r="C470" s="267" t="s">
        <v>77</v>
      </c>
      <c r="D470" s="15" t="s">
        <v>429</v>
      </c>
      <c r="E470" s="1497"/>
      <c r="F470" s="1497">
        <v>58000</v>
      </c>
      <c r="G470" s="267" t="s">
        <v>56</v>
      </c>
      <c r="H470" s="3"/>
      <c r="I470" s="3"/>
    </row>
    <row r="471" spans="1:9">
      <c r="A471" s="2">
        <v>44652</v>
      </c>
      <c r="B471" s="267"/>
      <c r="C471" s="267" t="s">
        <v>79</v>
      </c>
      <c r="D471" s="15" t="s">
        <v>435</v>
      </c>
      <c r="E471" s="1497">
        <v>3736.84</v>
      </c>
      <c r="F471" s="1497"/>
      <c r="G471" s="267" t="s">
        <v>27</v>
      </c>
      <c r="H471" s="3"/>
      <c r="I471" s="3"/>
    </row>
    <row r="472" spans="1:9">
      <c r="A472" s="2">
        <v>44652</v>
      </c>
      <c r="B472" s="267"/>
      <c r="C472" s="267" t="s">
        <v>65</v>
      </c>
      <c r="D472" s="15" t="s">
        <v>436</v>
      </c>
      <c r="E472" s="1497">
        <v>792.07</v>
      </c>
      <c r="F472" s="1497"/>
      <c r="G472" s="267" t="s">
        <v>27</v>
      </c>
      <c r="H472" s="3"/>
      <c r="I472" s="3"/>
    </row>
    <row r="473" spans="1:9">
      <c r="A473" s="2">
        <v>44652</v>
      </c>
      <c r="B473" s="267"/>
      <c r="C473" s="267" t="s">
        <v>65</v>
      </c>
      <c r="D473" s="15" t="s">
        <v>437</v>
      </c>
      <c r="E473" s="1497">
        <v>792.07</v>
      </c>
      <c r="F473" s="1497"/>
      <c r="G473" s="267" t="s">
        <v>27</v>
      </c>
      <c r="H473" s="3"/>
      <c r="I473" s="3"/>
    </row>
    <row r="474" spans="1:9">
      <c r="A474" s="2">
        <v>44652</v>
      </c>
      <c r="B474" s="267"/>
      <c r="C474" s="267" t="s">
        <v>97</v>
      </c>
      <c r="D474" s="15" t="s">
        <v>438</v>
      </c>
      <c r="E474" s="1497">
        <v>7450</v>
      </c>
      <c r="F474" s="1497"/>
      <c r="G474" s="267" t="s">
        <v>27</v>
      </c>
      <c r="H474" s="3"/>
      <c r="I474" s="3"/>
    </row>
    <row r="475" spans="1:9">
      <c r="A475" s="2">
        <v>44652</v>
      </c>
      <c r="B475" s="267"/>
      <c r="C475" s="267" t="s">
        <v>97</v>
      </c>
      <c r="D475" s="15" t="s">
        <v>439</v>
      </c>
      <c r="E475" s="1497">
        <v>39875</v>
      </c>
      <c r="F475" s="1497"/>
      <c r="G475" s="267" t="s">
        <v>27</v>
      </c>
      <c r="H475" s="3"/>
      <c r="I475" s="3"/>
    </row>
    <row r="476" spans="1:9">
      <c r="A476" s="2">
        <v>44652</v>
      </c>
      <c r="B476" s="267"/>
      <c r="C476" s="267" t="s">
        <v>55</v>
      </c>
      <c r="D476" s="15" t="s">
        <v>446</v>
      </c>
      <c r="E476" s="1497">
        <v>680</v>
      </c>
      <c r="F476" s="1497"/>
      <c r="G476" s="267"/>
      <c r="H476" s="3"/>
      <c r="I476" s="3"/>
    </row>
    <row r="477" spans="1:9">
      <c r="A477" s="2">
        <v>44655</v>
      </c>
      <c r="B477" s="267"/>
      <c r="C477" s="267" t="s">
        <v>92</v>
      </c>
      <c r="D477" s="3" t="s">
        <v>420</v>
      </c>
      <c r="E477" s="1497"/>
      <c r="F477" s="1497">
        <v>20030</v>
      </c>
      <c r="G477" s="267" t="s">
        <v>27</v>
      </c>
      <c r="H477" s="3"/>
      <c r="I477" s="3"/>
    </row>
    <row r="478" spans="1:9">
      <c r="A478" s="2">
        <v>44655</v>
      </c>
      <c r="B478" s="267"/>
      <c r="C478" s="267" t="s">
        <v>176</v>
      </c>
      <c r="D478" s="3" t="s">
        <v>430</v>
      </c>
      <c r="E478" s="1497">
        <v>8000</v>
      </c>
      <c r="F478" s="1497"/>
      <c r="G478" s="267" t="s">
        <v>56</v>
      </c>
      <c r="H478" s="3"/>
      <c r="I478" s="3"/>
    </row>
    <row r="479" spans="1:9">
      <c r="A479" s="2">
        <v>44655</v>
      </c>
      <c r="B479" s="267"/>
      <c r="C479" s="267" t="s">
        <v>29</v>
      </c>
      <c r="D479" s="3" t="s">
        <v>431</v>
      </c>
      <c r="E479" s="1497">
        <v>7100</v>
      </c>
      <c r="F479" s="1497"/>
      <c r="G479" s="267" t="s">
        <v>27</v>
      </c>
      <c r="H479" s="3"/>
      <c r="I479" s="3"/>
    </row>
    <row r="480" spans="1:9">
      <c r="A480" s="2">
        <v>44655</v>
      </c>
      <c r="B480" s="267"/>
      <c r="C480" s="267" t="s">
        <v>29</v>
      </c>
      <c r="D480" s="3" t="s">
        <v>32</v>
      </c>
      <c r="E480" s="1497">
        <v>1740</v>
      </c>
      <c r="F480" s="1497"/>
      <c r="G480" s="267" t="s">
        <v>56</v>
      </c>
      <c r="H480" s="3" t="s">
        <v>405</v>
      </c>
      <c r="I480" s="3"/>
    </row>
    <row r="481" spans="1:9">
      <c r="A481" s="2">
        <v>44655</v>
      </c>
      <c r="B481" s="267"/>
      <c r="C481" s="267" t="s">
        <v>433</v>
      </c>
      <c r="D481" s="3" t="s">
        <v>319</v>
      </c>
      <c r="E481" s="1497">
        <v>30000</v>
      </c>
      <c r="F481" s="1497"/>
      <c r="G481" s="267" t="s">
        <v>56</v>
      </c>
      <c r="H481" s="3"/>
      <c r="I481" s="3"/>
    </row>
    <row r="482" spans="1:9">
      <c r="A482" s="2">
        <v>44655</v>
      </c>
      <c r="B482" s="267"/>
      <c r="C482" s="267" t="s">
        <v>433</v>
      </c>
      <c r="D482" s="3" t="s">
        <v>319</v>
      </c>
      <c r="E482" s="1497"/>
      <c r="F482" s="1497">
        <v>30000</v>
      </c>
      <c r="G482" s="267" t="s">
        <v>27</v>
      </c>
      <c r="H482" s="3"/>
      <c r="I482" s="3"/>
    </row>
    <row r="483" spans="1:9">
      <c r="A483" s="2">
        <v>44655</v>
      </c>
      <c r="B483" s="267"/>
      <c r="C483" s="267" t="s">
        <v>29</v>
      </c>
      <c r="D483" s="15" t="s">
        <v>432</v>
      </c>
      <c r="E483" s="1497">
        <v>30215</v>
      </c>
      <c r="F483" s="1497"/>
      <c r="G483" s="267" t="s">
        <v>27</v>
      </c>
      <c r="H483" s="3"/>
      <c r="I483" s="3"/>
    </row>
    <row r="484" spans="1:9">
      <c r="A484" s="2">
        <v>44655</v>
      </c>
      <c r="B484" s="267"/>
      <c r="C484" s="267" t="s">
        <v>29</v>
      </c>
      <c r="D484" s="15" t="s">
        <v>71</v>
      </c>
      <c r="E484" s="1497">
        <v>261600</v>
      </c>
      <c r="F484" s="1497"/>
      <c r="G484" s="267" t="s">
        <v>56</v>
      </c>
      <c r="H484" s="3"/>
      <c r="I484" s="3"/>
    </row>
    <row r="485" spans="1:9">
      <c r="A485" s="2">
        <v>44655</v>
      </c>
      <c r="B485" s="267"/>
      <c r="C485" s="267" t="s">
        <v>29</v>
      </c>
      <c r="D485" s="3" t="s">
        <v>71</v>
      </c>
      <c r="E485" s="1497">
        <v>58000</v>
      </c>
      <c r="F485" s="1497"/>
      <c r="G485" s="267" t="s">
        <v>56</v>
      </c>
      <c r="H485" s="3"/>
      <c r="I485" s="3"/>
    </row>
    <row r="486" spans="1:9">
      <c r="A486" s="2">
        <v>44655</v>
      </c>
      <c r="B486" s="267"/>
      <c r="C486" s="267" t="s">
        <v>79</v>
      </c>
      <c r="D486" s="3" t="s">
        <v>434</v>
      </c>
      <c r="E486" s="1497">
        <v>4910</v>
      </c>
      <c r="F486" s="1497"/>
      <c r="G486" s="267" t="s">
        <v>56</v>
      </c>
      <c r="H486" s="3"/>
      <c r="I486" s="3"/>
    </row>
    <row r="487" spans="1:9">
      <c r="A487" s="2">
        <v>44655</v>
      </c>
      <c r="B487" s="267"/>
      <c r="C487" s="267" t="s">
        <v>92</v>
      </c>
      <c r="D487" s="3" t="s">
        <v>441</v>
      </c>
      <c r="E487" s="1497"/>
      <c r="F487" s="1497">
        <v>64480</v>
      </c>
      <c r="G487" s="267" t="s">
        <v>72</v>
      </c>
      <c r="H487" s="3"/>
      <c r="I487" s="3"/>
    </row>
    <row r="488" spans="1:9">
      <c r="A488" s="2">
        <v>44655</v>
      </c>
      <c r="B488" s="267"/>
      <c r="C488" s="267" t="s">
        <v>103</v>
      </c>
      <c r="D488" s="3" t="s">
        <v>444</v>
      </c>
      <c r="E488" s="1497">
        <v>470.91</v>
      </c>
      <c r="F488" s="1497"/>
      <c r="G488" s="267" t="s">
        <v>72</v>
      </c>
      <c r="H488" s="3"/>
      <c r="I488" s="3"/>
    </row>
    <row r="489" spans="1:9">
      <c r="A489" s="2">
        <v>44655</v>
      </c>
      <c r="B489" s="267"/>
      <c r="C489" s="267" t="s">
        <v>103</v>
      </c>
      <c r="D489" s="3" t="s">
        <v>388</v>
      </c>
      <c r="E489" s="1497">
        <v>9689.14</v>
      </c>
      <c r="F489" s="1497"/>
      <c r="G489" s="267" t="s">
        <v>72</v>
      </c>
      <c r="H489" s="3"/>
      <c r="I489" s="3"/>
    </row>
    <row r="490" spans="1:9">
      <c r="A490" s="2">
        <v>44655</v>
      </c>
      <c r="B490" s="267"/>
      <c r="C490" s="267" t="s">
        <v>103</v>
      </c>
      <c r="D490" s="3" t="s">
        <v>442</v>
      </c>
      <c r="E490" s="1497">
        <v>6852.37</v>
      </c>
      <c r="F490" s="1497"/>
      <c r="G490" s="267" t="s">
        <v>72</v>
      </c>
      <c r="H490" s="3"/>
      <c r="I490" s="3"/>
    </row>
    <row r="491" spans="1:9">
      <c r="A491" s="2">
        <v>44655</v>
      </c>
      <c r="B491" s="267"/>
      <c r="C491" s="267" t="s">
        <v>103</v>
      </c>
      <c r="D491" s="3" t="s">
        <v>443</v>
      </c>
      <c r="E491" s="1497">
        <v>6195.4</v>
      </c>
      <c r="F491" s="1497"/>
      <c r="G491" s="267" t="s">
        <v>72</v>
      </c>
      <c r="H491" s="3"/>
      <c r="I491" s="3"/>
    </row>
    <row r="492" spans="1:9">
      <c r="A492" s="2">
        <v>44655</v>
      </c>
      <c r="B492" s="267"/>
      <c r="C492" s="267" t="s">
        <v>103</v>
      </c>
      <c r="D492" s="15" t="s">
        <v>24</v>
      </c>
      <c r="E492" s="1497">
        <v>1967.93</v>
      </c>
      <c r="F492" s="1497"/>
      <c r="G492" s="267" t="s">
        <v>72</v>
      </c>
      <c r="H492" s="3"/>
      <c r="I492" s="3"/>
    </row>
    <row r="493" spans="1:9">
      <c r="A493" s="2">
        <v>44655</v>
      </c>
      <c r="B493" s="267"/>
      <c r="C493" s="267" t="s">
        <v>103</v>
      </c>
      <c r="D493" s="15" t="s">
        <v>26</v>
      </c>
      <c r="E493" s="1497">
        <v>4347.28</v>
      </c>
      <c r="F493" s="1497"/>
      <c r="G493" s="267" t="s">
        <v>72</v>
      </c>
      <c r="H493" s="3"/>
      <c r="I493" s="3"/>
    </row>
    <row r="494" spans="1:9">
      <c r="A494" s="2">
        <v>44655</v>
      </c>
      <c r="B494" s="267"/>
      <c r="C494" s="267" t="s">
        <v>103</v>
      </c>
      <c r="D494" s="15" t="s">
        <v>26</v>
      </c>
      <c r="E494" s="1497">
        <v>4984.45</v>
      </c>
      <c r="F494" s="1497"/>
      <c r="G494" s="267" t="s">
        <v>72</v>
      </c>
      <c r="H494" s="3" t="s">
        <v>445</v>
      </c>
      <c r="I494" s="3"/>
    </row>
    <row r="495" spans="1:9">
      <c r="A495" s="2">
        <v>44655</v>
      </c>
      <c r="B495" s="267"/>
      <c r="C495" s="267" t="s">
        <v>92</v>
      </c>
      <c r="D495" s="15" t="s">
        <v>456</v>
      </c>
      <c r="E495" s="1497"/>
      <c r="F495" s="1497">
        <v>6398.33</v>
      </c>
      <c r="G495" s="267" t="s">
        <v>27</v>
      </c>
      <c r="H495" s="3"/>
      <c r="I495" s="3"/>
    </row>
    <row r="496" spans="1:9">
      <c r="A496" s="2">
        <v>44656</v>
      </c>
      <c r="B496" s="267"/>
      <c r="C496" s="267" t="s">
        <v>29</v>
      </c>
      <c r="D496" s="3" t="s">
        <v>190</v>
      </c>
      <c r="E496" s="1497">
        <v>43450</v>
      </c>
      <c r="F496" s="1497"/>
      <c r="G496" s="267" t="s">
        <v>72</v>
      </c>
      <c r="H496" s="3" t="s">
        <v>440</v>
      </c>
      <c r="I496" s="3"/>
    </row>
    <row r="497" spans="1:9">
      <c r="A497" s="2">
        <v>44656</v>
      </c>
      <c r="B497" s="267"/>
      <c r="C497" s="267" t="s">
        <v>55</v>
      </c>
      <c r="D497" s="15" t="s">
        <v>80</v>
      </c>
      <c r="E497" s="1497">
        <v>2700</v>
      </c>
      <c r="F497" s="1497"/>
      <c r="G497" s="267" t="s">
        <v>56</v>
      </c>
      <c r="H497" s="3" t="s">
        <v>416</v>
      </c>
      <c r="I497" s="3"/>
    </row>
    <row r="498" spans="1:9">
      <c r="A498" s="2">
        <v>44656</v>
      </c>
      <c r="B498" s="267"/>
      <c r="C498" s="267" t="s">
        <v>79</v>
      </c>
      <c r="D498" s="15" t="s">
        <v>70</v>
      </c>
      <c r="E498" s="1497">
        <v>4422.8</v>
      </c>
      <c r="F498" s="1497"/>
      <c r="G498" s="267" t="s">
        <v>27</v>
      </c>
      <c r="H498" s="3"/>
      <c r="I498" s="3"/>
    </row>
    <row r="499" spans="1:9">
      <c r="A499" s="2">
        <v>44656</v>
      </c>
      <c r="B499" s="267"/>
      <c r="C499" s="267" t="s">
        <v>160</v>
      </c>
      <c r="D499" s="3" t="s">
        <v>447</v>
      </c>
      <c r="E499" s="1497"/>
      <c r="F499" s="1497">
        <v>1200</v>
      </c>
      <c r="G499" s="267" t="s">
        <v>56</v>
      </c>
      <c r="H499" s="3"/>
      <c r="I499" s="3"/>
    </row>
    <row r="500" spans="1:9">
      <c r="A500" s="2">
        <v>44656</v>
      </c>
      <c r="B500" s="267"/>
      <c r="C500" s="267" t="s">
        <v>77</v>
      </c>
      <c r="D500" s="3" t="s">
        <v>449</v>
      </c>
      <c r="E500" s="1497"/>
      <c r="F500" s="1497">
        <v>28000</v>
      </c>
      <c r="G500" s="267" t="s">
        <v>56</v>
      </c>
      <c r="H500" s="3"/>
      <c r="I500" s="3"/>
    </row>
    <row r="501" spans="1:9">
      <c r="A501" s="2">
        <v>44656</v>
      </c>
      <c r="B501" s="267"/>
      <c r="C501" s="267" t="s">
        <v>55</v>
      </c>
      <c r="D501" s="15" t="s">
        <v>38</v>
      </c>
      <c r="E501" s="1497">
        <v>450</v>
      </c>
      <c r="F501" s="1497"/>
      <c r="G501" s="267" t="s">
        <v>56</v>
      </c>
      <c r="H501" s="3"/>
      <c r="I501" s="3"/>
    </row>
    <row r="502" spans="1:9">
      <c r="A502" s="2">
        <v>44656</v>
      </c>
      <c r="B502" s="267"/>
      <c r="C502" s="267" t="s">
        <v>55</v>
      </c>
      <c r="D502" s="15" t="s">
        <v>32</v>
      </c>
      <c r="E502" s="1497">
        <v>266.86</v>
      </c>
      <c r="F502" s="1497"/>
      <c r="G502" s="267" t="s">
        <v>56</v>
      </c>
      <c r="H502" s="3"/>
      <c r="I502" s="3"/>
    </row>
    <row r="503" spans="1:9">
      <c r="A503" s="2">
        <v>44657</v>
      </c>
      <c r="B503" s="267"/>
      <c r="C503" s="267" t="s">
        <v>97</v>
      </c>
      <c r="D503" s="3" t="s">
        <v>450</v>
      </c>
      <c r="E503" s="1497">
        <v>9000</v>
      </c>
      <c r="F503" s="1497"/>
      <c r="G503" s="267" t="s">
        <v>27</v>
      </c>
      <c r="H503" s="3"/>
      <c r="I503" s="3"/>
    </row>
    <row r="504" spans="1:9">
      <c r="A504" s="2">
        <v>44657</v>
      </c>
      <c r="B504" s="267"/>
      <c r="C504" s="267" t="s">
        <v>90</v>
      </c>
      <c r="D504" s="3" t="s">
        <v>453</v>
      </c>
      <c r="E504" s="1497">
        <v>1350</v>
      </c>
      <c r="F504" s="1497"/>
      <c r="G504" s="267"/>
      <c r="H504" s="3"/>
      <c r="I504" s="3"/>
    </row>
    <row r="505" spans="1:9">
      <c r="A505" s="2">
        <v>44657</v>
      </c>
      <c r="B505" s="267"/>
      <c r="C505" s="267" t="s">
        <v>29</v>
      </c>
      <c r="D505" s="3" t="s">
        <v>448</v>
      </c>
      <c r="E505" s="1497">
        <v>10000</v>
      </c>
      <c r="F505" s="1497"/>
      <c r="G505" s="267" t="s">
        <v>56</v>
      </c>
      <c r="H505" s="3"/>
      <c r="I505" s="3"/>
    </row>
    <row r="506" spans="1:9">
      <c r="A506" s="2">
        <v>44657</v>
      </c>
      <c r="B506" s="267"/>
      <c r="C506" s="267" t="s">
        <v>29</v>
      </c>
      <c r="D506" s="3" t="s">
        <v>71</v>
      </c>
      <c r="E506" s="1497">
        <v>28000</v>
      </c>
      <c r="F506" s="1497"/>
      <c r="G506" s="267" t="s">
        <v>56</v>
      </c>
      <c r="H506" s="3"/>
      <c r="I506" s="3"/>
    </row>
    <row r="507" spans="1:9">
      <c r="A507" s="2">
        <v>44657</v>
      </c>
      <c r="B507" s="267"/>
      <c r="C507" s="267" t="s">
        <v>150</v>
      </c>
      <c r="D507" s="3" t="s">
        <v>319</v>
      </c>
      <c r="E507" s="1497"/>
      <c r="F507" s="1497">
        <v>73422.52</v>
      </c>
      <c r="G507" s="267" t="s">
        <v>72</v>
      </c>
      <c r="H507" s="3"/>
      <c r="I507" s="3"/>
    </row>
    <row r="508" spans="1:9">
      <c r="A508" s="2">
        <v>44657</v>
      </c>
      <c r="B508" s="267"/>
      <c r="C508" s="267" t="s">
        <v>150</v>
      </c>
      <c r="D508" s="3" t="s">
        <v>319</v>
      </c>
      <c r="E508" s="1497">
        <v>73422.52</v>
      </c>
      <c r="F508" s="1497"/>
      <c r="G508" s="267" t="s">
        <v>72</v>
      </c>
      <c r="H508" s="3"/>
      <c r="I508" s="3"/>
    </row>
    <row r="509" spans="1:9">
      <c r="A509" s="2">
        <v>44657</v>
      </c>
      <c r="B509" s="267"/>
      <c r="C509" s="267" t="s">
        <v>86</v>
      </c>
      <c r="D509" s="15" t="s">
        <v>104</v>
      </c>
      <c r="E509" s="1497">
        <v>3000</v>
      </c>
      <c r="F509" s="1497"/>
      <c r="G509" s="267" t="s">
        <v>56</v>
      </c>
      <c r="H509" s="75" t="s">
        <v>454</v>
      </c>
      <c r="I509" s="3"/>
    </row>
    <row r="510" spans="1:9">
      <c r="A510" s="2">
        <v>44657</v>
      </c>
      <c r="B510" s="267"/>
      <c r="C510" s="267" t="s">
        <v>92</v>
      </c>
      <c r="D510" s="3" t="s">
        <v>452</v>
      </c>
      <c r="E510" s="1497"/>
      <c r="F510" s="1497">
        <v>15600</v>
      </c>
      <c r="G510" s="267" t="s">
        <v>27</v>
      </c>
      <c r="H510" s="3"/>
      <c r="I510" s="3"/>
    </row>
    <row r="511" spans="1:9">
      <c r="A511" s="2">
        <v>44657</v>
      </c>
      <c r="B511" s="267"/>
      <c r="C511" s="267" t="s">
        <v>92</v>
      </c>
      <c r="D511" s="3" t="s">
        <v>455</v>
      </c>
      <c r="E511" s="1497"/>
      <c r="F511" s="1497">
        <v>3000</v>
      </c>
      <c r="G511" s="267" t="s">
        <v>56</v>
      </c>
      <c r="H511" s="3"/>
      <c r="I511" s="3"/>
    </row>
    <row r="512" spans="1:9">
      <c r="A512" s="2">
        <v>44657</v>
      </c>
      <c r="B512" s="267"/>
      <c r="C512" s="267" t="s">
        <v>92</v>
      </c>
      <c r="D512" s="3" t="s">
        <v>451</v>
      </c>
      <c r="E512" s="1497"/>
      <c r="F512" s="1497">
        <v>15600</v>
      </c>
      <c r="G512" s="267" t="s">
        <v>56</v>
      </c>
      <c r="H512" s="3"/>
      <c r="I512" s="3"/>
    </row>
    <row r="513" spans="1:9">
      <c r="A513" s="2">
        <v>44657</v>
      </c>
      <c r="B513" s="267"/>
      <c r="C513" s="267" t="s">
        <v>62</v>
      </c>
      <c r="D513" s="3" t="s">
        <v>38</v>
      </c>
      <c r="E513" s="1497">
        <v>150</v>
      </c>
      <c r="F513" s="1497"/>
      <c r="G513" s="267" t="s">
        <v>56</v>
      </c>
      <c r="H513" s="3"/>
      <c r="I513" s="3"/>
    </row>
    <row r="514" spans="1:9">
      <c r="A514" s="2">
        <v>44658</v>
      </c>
      <c r="B514" s="267"/>
      <c r="C514" s="267" t="s">
        <v>92</v>
      </c>
      <c r="D514" s="15" t="s">
        <v>457</v>
      </c>
      <c r="E514" s="1497"/>
      <c r="F514" s="1497">
        <v>3270</v>
      </c>
      <c r="G514" s="267" t="s">
        <v>27</v>
      </c>
      <c r="H514" s="3"/>
      <c r="I514" s="3"/>
    </row>
    <row r="515" spans="1:9">
      <c r="A515" s="2">
        <v>44658</v>
      </c>
      <c r="B515" s="267"/>
      <c r="C515" s="267" t="s">
        <v>55</v>
      </c>
      <c r="D515" s="3" t="s">
        <v>458</v>
      </c>
      <c r="E515" s="1497">
        <v>3500</v>
      </c>
      <c r="F515" s="1497"/>
      <c r="G515" s="267" t="s">
        <v>56</v>
      </c>
      <c r="H515" s="3"/>
      <c r="I515" s="3"/>
    </row>
    <row r="516" spans="1:9">
      <c r="A516" s="2">
        <v>44658</v>
      </c>
      <c r="B516" s="267"/>
      <c r="C516" s="267" t="s">
        <v>79</v>
      </c>
      <c r="D516" s="3" t="s">
        <v>151</v>
      </c>
      <c r="E516" s="1497">
        <v>2500</v>
      </c>
      <c r="F516" s="1497"/>
      <c r="G516" s="267" t="s">
        <v>56</v>
      </c>
      <c r="H516" s="3"/>
      <c r="I516" s="3"/>
    </row>
    <row r="517" spans="1:9">
      <c r="A517" s="2">
        <v>44658</v>
      </c>
      <c r="B517" s="267"/>
      <c r="C517" s="267" t="s">
        <v>185</v>
      </c>
      <c r="D517" s="3" t="s">
        <v>459</v>
      </c>
      <c r="E517" s="1497">
        <v>39752.269999999997</v>
      </c>
      <c r="F517" s="1497"/>
      <c r="G517" s="267" t="s">
        <v>27</v>
      </c>
      <c r="H517" s="3"/>
      <c r="I517" s="3"/>
    </row>
    <row r="518" spans="1:9">
      <c r="A518" s="2">
        <v>44659</v>
      </c>
      <c r="B518" s="267"/>
      <c r="C518" s="267" t="s">
        <v>62</v>
      </c>
      <c r="D518" s="3" t="s">
        <v>38</v>
      </c>
      <c r="E518" s="1497">
        <v>720</v>
      </c>
      <c r="F518" s="1497"/>
      <c r="G518" s="267" t="s">
        <v>56</v>
      </c>
      <c r="H518" s="3"/>
      <c r="I518" s="3"/>
    </row>
    <row r="519" spans="1:9">
      <c r="A519" s="2">
        <v>44659</v>
      </c>
      <c r="B519" s="267"/>
      <c r="C519" s="267" t="s">
        <v>92</v>
      </c>
      <c r="D519" s="15" t="s">
        <v>461</v>
      </c>
      <c r="E519" s="1497"/>
      <c r="F519" s="1497">
        <v>3500</v>
      </c>
      <c r="G519" s="267" t="s">
        <v>56</v>
      </c>
      <c r="H519" s="3"/>
      <c r="I519" s="3"/>
    </row>
    <row r="520" spans="1:9">
      <c r="A520" s="2">
        <v>44659</v>
      </c>
      <c r="B520" s="267"/>
      <c r="C520" s="267" t="s">
        <v>92</v>
      </c>
      <c r="D520" s="3" t="s">
        <v>460</v>
      </c>
      <c r="E520" s="1497"/>
      <c r="F520" s="1497">
        <v>8500</v>
      </c>
      <c r="G520" s="267" t="s">
        <v>56</v>
      </c>
      <c r="H520" s="3"/>
      <c r="I520" s="3"/>
    </row>
    <row r="521" spans="1:9">
      <c r="A521" s="2">
        <v>44659</v>
      </c>
      <c r="B521" s="267"/>
      <c r="C521" s="267" t="s">
        <v>77</v>
      </c>
      <c r="D521" s="3" t="s">
        <v>462</v>
      </c>
      <c r="E521" s="1497"/>
      <c r="F521" s="1497">
        <v>100000</v>
      </c>
      <c r="G521" s="267" t="s">
        <v>56</v>
      </c>
      <c r="H521" s="3" t="s">
        <v>463</v>
      </c>
      <c r="I521" s="3"/>
    </row>
    <row r="522" spans="1:9">
      <c r="A522" s="2">
        <v>44659</v>
      </c>
      <c r="B522" s="267"/>
      <c r="C522" s="267" t="s">
        <v>88</v>
      </c>
      <c r="D522" s="3" t="s">
        <v>465</v>
      </c>
      <c r="E522" s="1497">
        <v>61200</v>
      </c>
      <c r="F522" s="1497"/>
      <c r="G522" s="267" t="s">
        <v>56</v>
      </c>
      <c r="H522" s="3" t="s">
        <v>464</v>
      </c>
      <c r="I522" s="3"/>
    </row>
    <row r="523" spans="1:9">
      <c r="A523" s="2">
        <v>44659</v>
      </c>
      <c r="B523" s="267"/>
      <c r="C523" s="267" t="s">
        <v>150</v>
      </c>
      <c r="D523" s="3" t="s">
        <v>466</v>
      </c>
      <c r="E523" s="1497">
        <v>6000</v>
      </c>
      <c r="F523" s="1497"/>
      <c r="G523" s="267" t="s">
        <v>27</v>
      </c>
      <c r="H523" s="3"/>
      <c r="I523" s="3"/>
    </row>
    <row r="524" spans="1:9">
      <c r="A524" s="2">
        <v>44662</v>
      </c>
      <c r="B524" s="267"/>
      <c r="C524" s="267" t="s">
        <v>79</v>
      </c>
      <c r="D524" s="3" t="s">
        <v>151</v>
      </c>
      <c r="E524" s="1497">
        <v>3460.18</v>
      </c>
      <c r="F524" s="1497"/>
      <c r="G524" s="267" t="s">
        <v>56</v>
      </c>
      <c r="H524" s="3"/>
      <c r="I524" s="3"/>
    </row>
    <row r="525" spans="1:9">
      <c r="A525" s="2">
        <v>44662</v>
      </c>
      <c r="B525" s="267"/>
      <c r="C525" s="267" t="s">
        <v>55</v>
      </c>
      <c r="D525" s="15" t="s">
        <v>109</v>
      </c>
      <c r="E525" s="1497">
        <v>210</v>
      </c>
      <c r="F525" s="1497"/>
      <c r="G525" s="267" t="s">
        <v>56</v>
      </c>
      <c r="H525" s="3"/>
      <c r="I525" s="3"/>
    </row>
    <row r="526" spans="1:9">
      <c r="A526" s="2">
        <v>44662</v>
      </c>
      <c r="B526" s="267"/>
      <c r="C526" s="267" t="s">
        <v>55</v>
      </c>
      <c r="D526" s="15" t="s">
        <v>109</v>
      </c>
      <c r="E526" s="1497">
        <v>600</v>
      </c>
      <c r="F526" s="1497"/>
      <c r="G526" s="267" t="s">
        <v>56</v>
      </c>
      <c r="H526" s="3"/>
      <c r="I526" s="3"/>
    </row>
    <row r="527" spans="1:9">
      <c r="A527" s="2">
        <v>44662</v>
      </c>
      <c r="B527" s="267"/>
      <c r="C527" s="267" t="s">
        <v>55</v>
      </c>
      <c r="D527" s="15" t="s">
        <v>467</v>
      </c>
      <c r="E527" s="1497">
        <v>5400</v>
      </c>
      <c r="F527" s="1497"/>
      <c r="G527" s="267" t="s">
        <v>314</v>
      </c>
      <c r="H527" s="3" t="s">
        <v>468</v>
      </c>
      <c r="I527" s="3"/>
    </row>
    <row r="528" spans="1:9">
      <c r="A528" s="2">
        <v>44662</v>
      </c>
      <c r="B528" s="267"/>
      <c r="C528" s="267" t="s">
        <v>94</v>
      </c>
      <c r="D528" s="3" t="s">
        <v>469</v>
      </c>
      <c r="E528" s="1497">
        <v>6464.47</v>
      </c>
      <c r="F528" s="1497"/>
      <c r="G528" s="267" t="s">
        <v>27</v>
      </c>
      <c r="H528" s="3"/>
      <c r="I528" s="3"/>
    </row>
    <row r="529" spans="1:9">
      <c r="A529" s="2">
        <v>44662</v>
      </c>
      <c r="B529" s="267"/>
      <c r="C529" s="267" t="s">
        <v>176</v>
      </c>
      <c r="D529" s="15" t="s">
        <v>470</v>
      </c>
      <c r="E529" s="1497">
        <v>1190</v>
      </c>
      <c r="F529" s="1497"/>
      <c r="G529" s="267" t="s">
        <v>27</v>
      </c>
      <c r="H529" s="3"/>
      <c r="I529" s="3"/>
    </row>
    <row r="530" spans="1:9">
      <c r="A530" s="2">
        <v>44662</v>
      </c>
      <c r="B530" s="267"/>
      <c r="C530" s="267" t="s">
        <v>92</v>
      </c>
      <c r="D530" s="3" t="s">
        <v>471</v>
      </c>
      <c r="E530" s="1497"/>
      <c r="F530" s="1497">
        <v>3700</v>
      </c>
      <c r="G530" s="267" t="s">
        <v>56</v>
      </c>
      <c r="H530" s="3"/>
      <c r="I530" s="3"/>
    </row>
    <row r="531" spans="1:9">
      <c r="A531" s="2">
        <v>44662</v>
      </c>
      <c r="B531" s="267"/>
      <c r="C531" s="267" t="s">
        <v>79</v>
      </c>
      <c r="D531" s="3" t="s">
        <v>151</v>
      </c>
      <c r="E531" s="1497">
        <v>300</v>
      </c>
      <c r="F531" s="1497"/>
      <c r="G531" s="267" t="s">
        <v>56</v>
      </c>
      <c r="H531" s="3"/>
      <c r="I531" s="3"/>
    </row>
    <row r="532" spans="1:9">
      <c r="A532" s="2">
        <v>44662</v>
      </c>
      <c r="B532" s="267"/>
      <c r="C532" s="267" t="s">
        <v>86</v>
      </c>
      <c r="D532" s="3" t="s">
        <v>104</v>
      </c>
      <c r="E532" s="1497">
        <v>2000</v>
      </c>
      <c r="F532" s="1497"/>
      <c r="G532" s="267" t="s">
        <v>56</v>
      </c>
      <c r="H532" s="3"/>
      <c r="I532" s="3"/>
    </row>
    <row r="533" spans="1:9">
      <c r="A533" s="2">
        <v>44662</v>
      </c>
      <c r="B533" s="267"/>
      <c r="C533" s="267" t="s">
        <v>409</v>
      </c>
      <c r="D533" s="3" t="s">
        <v>409</v>
      </c>
      <c r="E533" s="1497"/>
      <c r="F533" s="1497">
        <v>59200</v>
      </c>
      <c r="G533" s="267" t="s">
        <v>56</v>
      </c>
      <c r="H533" s="3"/>
      <c r="I533" s="3"/>
    </row>
    <row r="534" spans="1:9">
      <c r="A534" s="2">
        <v>44662</v>
      </c>
      <c r="B534" s="267"/>
      <c r="C534" s="267" t="s">
        <v>55</v>
      </c>
      <c r="D534" s="3" t="s">
        <v>472</v>
      </c>
      <c r="E534" s="1497">
        <v>2630</v>
      </c>
      <c r="F534" s="1497"/>
      <c r="G534" s="267" t="s">
        <v>56</v>
      </c>
      <c r="H534" s="3"/>
      <c r="I534" s="3"/>
    </row>
    <row r="535" spans="1:9">
      <c r="A535" s="2">
        <v>44662</v>
      </c>
      <c r="B535" s="267"/>
      <c r="C535" s="267" t="s">
        <v>29</v>
      </c>
      <c r="D535" s="15" t="s">
        <v>43</v>
      </c>
      <c r="E535" s="1497">
        <v>226</v>
      </c>
      <c r="F535" s="1497"/>
      <c r="G535" s="267" t="s">
        <v>27</v>
      </c>
      <c r="H535" s="3"/>
      <c r="I535" s="3"/>
    </row>
    <row r="536" spans="1:9">
      <c r="A536" s="2">
        <v>44662</v>
      </c>
      <c r="B536" s="267"/>
      <c r="C536" s="267" t="s">
        <v>77</v>
      </c>
      <c r="D536" s="3" t="s">
        <v>462</v>
      </c>
      <c r="E536" s="1497"/>
      <c r="F536" s="1497">
        <v>26000</v>
      </c>
      <c r="G536" s="267" t="s">
        <v>56</v>
      </c>
      <c r="H536" s="3"/>
      <c r="I536" s="3"/>
    </row>
    <row r="537" spans="1:9">
      <c r="A537" s="2">
        <v>44662</v>
      </c>
      <c r="B537" s="267"/>
      <c r="C537" s="267" t="s">
        <v>29</v>
      </c>
      <c r="D537" s="3" t="s">
        <v>11</v>
      </c>
      <c r="E537" s="1497">
        <v>96100</v>
      </c>
      <c r="F537" s="1497"/>
      <c r="G537" s="267" t="s">
        <v>56</v>
      </c>
      <c r="H537" s="3"/>
      <c r="I537" s="3"/>
    </row>
    <row r="538" spans="1:9">
      <c r="A538" s="2">
        <v>7</v>
      </c>
      <c r="B538" s="267"/>
      <c r="C538" s="267" t="s">
        <v>29</v>
      </c>
      <c r="D538" s="3" t="s">
        <v>71</v>
      </c>
      <c r="E538" s="1497">
        <v>13000</v>
      </c>
      <c r="F538" s="1497"/>
      <c r="G538" s="267" t="s">
        <v>56</v>
      </c>
      <c r="H538" s="3"/>
      <c r="I538" s="3"/>
    </row>
    <row r="539" spans="1:9">
      <c r="A539" s="2">
        <v>44662</v>
      </c>
      <c r="B539" s="267"/>
      <c r="C539" s="267" t="s">
        <v>55</v>
      </c>
      <c r="D539" s="3" t="s">
        <v>473</v>
      </c>
      <c r="E539" s="1497">
        <v>240</v>
      </c>
      <c r="F539" s="1497"/>
      <c r="G539" s="267" t="s">
        <v>56</v>
      </c>
      <c r="H539" s="3"/>
      <c r="I539" s="3"/>
    </row>
    <row r="540" spans="1:9">
      <c r="A540" s="2">
        <v>44663</v>
      </c>
      <c r="B540" s="267"/>
      <c r="C540" s="267" t="s">
        <v>55</v>
      </c>
      <c r="D540" s="3" t="s">
        <v>38</v>
      </c>
      <c r="E540" s="1497">
        <v>1040</v>
      </c>
      <c r="F540" s="1497"/>
      <c r="G540" s="267" t="s">
        <v>56</v>
      </c>
      <c r="H540" s="3"/>
      <c r="I540" s="3"/>
    </row>
    <row r="541" spans="1:9">
      <c r="A541" s="2">
        <v>44663</v>
      </c>
      <c r="B541" s="267"/>
      <c r="C541" s="267" t="s">
        <v>86</v>
      </c>
      <c r="D541" s="3" t="s">
        <v>107</v>
      </c>
      <c r="E541" s="1497">
        <v>2500</v>
      </c>
      <c r="F541" s="1497"/>
      <c r="G541" s="267" t="s">
        <v>56</v>
      </c>
      <c r="H541" s="3"/>
      <c r="I541" s="3"/>
    </row>
    <row r="542" spans="1:9">
      <c r="A542" s="2">
        <v>44663</v>
      </c>
      <c r="B542" s="267"/>
      <c r="C542" s="267" t="s">
        <v>156</v>
      </c>
      <c r="D542" s="3" t="s">
        <v>474</v>
      </c>
      <c r="E542" s="1497">
        <v>30000</v>
      </c>
      <c r="F542" s="1497"/>
      <c r="G542" s="267" t="s">
        <v>27</v>
      </c>
      <c r="H542" s="3"/>
      <c r="I542" s="3"/>
    </row>
    <row r="543" spans="1:9">
      <c r="A543" s="2">
        <v>44663</v>
      </c>
      <c r="B543" s="267"/>
      <c r="C543" s="267" t="s">
        <v>156</v>
      </c>
      <c r="D543" s="3" t="s">
        <v>475</v>
      </c>
      <c r="E543" s="1497">
        <v>6157.04</v>
      </c>
      <c r="F543" s="1497"/>
      <c r="G543" s="267" t="s">
        <v>27</v>
      </c>
      <c r="H543" s="3"/>
      <c r="I543" s="3"/>
    </row>
    <row r="544" spans="1:9">
      <c r="A544" s="2">
        <v>44664</v>
      </c>
      <c r="B544" s="267"/>
      <c r="C544" s="267" t="s">
        <v>55</v>
      </c>
      <c r="D544" s="15" t="s">
        <v>70</v>
      </c>
      <c r="E544" s="1497">
        <v>612</v>
      </c>
      <c r="F544" s="1497"/>
      <c r="G544" s="267" t="s">
        <v>56</v>
      </c>
      <c r="H544" s="3"/>
      <c r="I544" s="3"/>
    </row>
    <row r="545" spans="1:9">
      <c r="A545" s="2">
        <v>44664</v>
      </c>
      <c r="B545" s="267"/>
      <c r="C545" s="267" t="s">
        <v>92</v>
      </c>
      <c r="D545" s="3" t="s">
        <v>476</v>
      </c>
      <c r="E545" s="1497"/>
      <c r="F545" s="1497">
        <v>2800</v>
      </c>
      <c r="G545" s="267" t="s">
        <v>56</v>
      </c>
      <c r="H545" s="3"/>
      <c r="I545" s="3"/>
    </row>
    <row r="546" spans="1:9">
      <c r="A546" s="2">
        <v>44664</v>
      </c>
      <c r="B546" s="267"/>
      <c r="C546" s="267" t="s">
        <v>92</v>
      </c>
      <c r="D546" s="3" t="s">
        <v>477</v>
      </c>
      <c r="E546" s="1497"/>
      <c r="F546" s="1497">
        <v>4200</v>
      </c>
      <c r="G546" s="267" t="s">
        <v>56</v>
      </c>
      <c r="H546" s="3"/>
      <c r="I546" s="3"/>
    </row>
    <row r="547" spans="1:9">
      <c r="A547" s="2">
        <v>44664</v>
      </c>
      <c r="B547" s="267"/>
      <c r="C547" s="267" t="s">
        <v>55</v>
      </c>
      <c r="D547" s="15" t="s">
        <v>478</v>
      </c>
      <c r="E547" s="1497">
        <v>1320</v>
      </c>
      <c r="F547" s="1497"/>
      <c r="G547" s="267" t="s">
        <v>56</v>
      </c>
      <c r="H547" s="3"/>
      <c r="I547" s="3"/>
    </row>
    <row r="548" spans="1:9">
      <c r="A548" s="2">
        <v>44664</v>
      </c>
      <c r="B548" s="267"/>
      <c r="C548" s="267" t="s">
        <v>28</v>
      </c>
      <c r="D548" s="3" t="s">
        <v>479</v>
      </c>
      <c r="E548" s="1497">
        <v>1300</v>
      </c>
      <c r="F548" s="1497"/>
      <c r="G548" s="267" t="s">
        <v>56</v>
      </c>
      <c r="H548" s="3"/>
      <c r="I548" s="3"/>
    </row>
    <row r="549" spans="1:9">
      <c r="A549" s="2">
        <v>44664</v>
      </c>
      <c r="B549" s="267"/>
      <c r="C549" s="267" t="s">
        <v>29</v>
      </c>
      <c r="D549" s="3" t="s">
        <v>123</v>
      </c>
      <c r="E549" s="1497">
        <v>3000</v>
      </c>
      <c r="F549" s="1497"/>
      <c r="G549" s="267" t="s">
        <v>56</v>
      </c>
      <c r="H549" s="86">
        <v>1865</v>
      </c>
      <c r="I549" s="3"/>
    </row>
    <row r="550" spans="1:9">
      <c r="A550" s="2">
        <v>44664</v>
      </c>
      <c r="B550" s="267"/>
      <c r="C550" s="267" t="s">
        <v>77</v>
      </c>
      <c r="D550" s="3" t="s">
        <v>480</v>
      </c>
      <c r="E550" s="1497"/>
      <c r="F550" s="1497">
        <v>13500</v>
      </c>
      <c r="G550" s="267" t="s">
        <v>56</v>
      </c>
      <c r="H550" s="3" t="s">
        <v>483</v>
      </c>
      <c r="I550" s="3"/>
    </row>
    <row r="551" spans="1:9">
      <c r="A551" s="2">
        <v>44665</v>
      </c>
      <c r="B551" s="267"/>
      <c r="C551" s="267" t="s">
        <v>97</v>
      </c>
      <c r="D551" s="3" t="s">
        <v>481</v>
      </c>
      <c r="E551" s="1497">
        <v>2700</v>
      </c>
      <c r="F551" s="1497"/>
      <c r="G551" s="267" t="s">
        <v>27</v>
      </c>
      <c r="H551" s="3"/>
      <c r="I551" s="3"/>
    </row>
    <row r="552" spans="1:9">
      <c r="A552" s="2">
        <v>44665</v>
      </c>
      <c r="B552" s="267"/>
      <c r="C552" s="267" t="s">
        <v>88</v>
      </c>
      <c r="D552" s="3" t="s">
        <v>88</v>
      </c>
      <c r="E552" s="1497">
        <v>60300</v>
      </c>
      <c r="F552" s="1497"/>
      <c r="G552" s="267" t="s">
        <v>56</v>
      </c>
      <c r="H552" s="87" t="s">
        <v>484</v>
      </c>
      <c r="I552" s="3"/>
    </row>
    <row r="553" spans="1:9">
      <c r="A553" s="2">
        <v>44666</v>
      </c>
      <c r="B553" s="267"/>
      <c r="C553" s="267" t="s">
        <v>86</v>
      </c>
      <c r="D553" s="3" t="s">
        <v>195</v>
      </c>
      <c r="E553" s="1497">
        <v>4000</v>
      </c>
      <c r="F553" s="1497"/>
      <c r="G553" s="267" t="s">
        <v>56</v>
      </c>
      <c r="H553" s="3"/>
      <c r="I553" s="3"/>
    </row>
    <row r="554" spans="1:9">
      <c r="A554" s="2">
        <v>44669</v>
      </c>
      <c r="B554" s="267"/>
      <c r="C554" s="267" t="s">
        <v>55</v>
      </c>
      <c r="D554" s="15" t="s">
        <v>482</v>
      </c>
      <c r="E554" s="1497">
        <v>500</v>
      </c>
      <c r="F554" s="1497"/>
      <c r="G554" s="267" t="s">
        <v>56</v>
      </c>
      <c r="H554" s="3"/>
      <c r="I554" s="3"/>
    </row>
    <row r="555" spans="1:9">
      <c r="A555" s="2">
        <v>44669</v>
      </c>
      <c r="B555" s="267"/>
      <c r="C555" s="267" t="s">
        <v>79</v>
      </c>
      <c r="D555" s="3" t="s">
        <v>151</v>
      </c>
      <c r="E555" s="1497">
        <v>1500</v>
      </c>
      <c r="F555" s="1497"/>
      <c r="G555" s="267" t="s">
        <v>56</v>
      </c>
      <c r="H555" s="3"/>
      <c r="I555" s="3"/>
    </row>
    <row r="556" spans="1:9">
      <c r="A556" s="2">
        <v>44669</v>
      </c>
      <c r="B556" s="267"/>
      <c r="C556" s="267" t="s">
        <v>150</v>
      </c>
      <c r="D556" s="3" t="s">
        <v>481</v>
      </c>
      <c r="E556" s="1497">
        <v>2700</v>
      </c>
      <c r="F556" s="1497"/>
      <c r="G556" s="267" t="s">
        <v>27</v>
      </c>
      <c r="H556" s="3"/>
      <c r="I556" s="3"/>
    </row>
    <row r="557" spans="1:9">
      <c r="A557" s="2">
        <v>44669</v>
      </c>
      <c r="B557" s="267"/>
      <c r="C557" s="267" t="s">
        <v>86</v>
      </c>
      <c r="D557" s="3" t="s">
        <v>195</v>
      </c>
      <c r="E557" s="1497">
        <v>2000</v>
      </c>
      <c r="F557" s="1497"/>
      <c r="G557" s="267" t="s">
        <v>56</v>
      </c>
      <c r="H557" s="3"/>
      <c r="I557" s="3"/>
    </row>
    <row r="558" spans="1:9">
      <c r="A558" s="2">
        <v>44669</v>
      </c>
      <c r="B558" s="267"/>
      <c r="C558" s="267" t="s">
        <v>92</v>
      </c>
      <c r="D558" s="15" t="s">
        <v>403</v>
      </c>
      <c r="E558" s="1497"/>
      <c r="F558" s="1497">
        <v>16800</v>
      </c>
      <c r="G558" s="267" t="s">
        <v>27</v>
      </c>
      <c r="H558" s="3"/>
      <c r="I558" s="3"/>
    </row>
    <row r="559" spans="1:9">
      <c r="A559" s="2">
        <v>44669</v>
      </c>
      <c r="B559" s="267"/>
      <c r="C559" s="267" t="s">
        <v>92</v>
      </c>
      <c r="D559" s="15" t="s">
        <v>485</v>
      </c>
      <c r="E559" s="1497"/>
      <c r="F559" s="1497">
        <v>3600</v>
      </c>
      <c r="G559" s="267" t="s">
        <v>27</v>
      </c>
      <c r="H559" s="3"/>
      <c r="I559" s="3"/>
    </row>
    <row r="560" spans="1:9">
      <c r="A560" s="2">
        <v>44669</v>
      </c>
      <c r="B560" s="267"/>
      <c r="C560" s="267" t="s">
        <v>77</v>
      </c>
      <c r="D560" s="3" t="s">
        <v>486</v>
      </c>
      <c r="E560" s="1497"/>
      <c r="F560" s="1497">
        <v>215000</v>
      </c>
      <c r="G560" s="267" t="s">
        <v>56</v>
      </c>
      <c r="H560" s="3"/>
      <c r="I560" s="3"/>
    </row>
    <row r="561" spans="1:9">
      <c r="A561" s="2">
        <v>44669</v>
      </c>
      <c r="B561" s="267"/>
      <c r="C561" s="267" t="s">
        <v>77</v>
      </c>
      <c r="D561" s="3" t="s">
        <v>179</v>
      </c>
      <c r="E561" s="1497"/>
      <c r="F561" s="1497">
        <v>58800</v>
      </c>
      <c r="G561" s="267" t="s">
        <v>27</v>
      </c>
      <c r="H561" s="3"/>
      <c r="I561" s="3"/>
    </row>
    <row r="562" spans="1:9">
      <c r="A562" s="2">
        <v>44669</v>
      </c>
      <c r="B562" s="267"/>
      <c r="C562" s="267" t="s">
        <v>77</v>
      </c>
      <c r="D562" s="15" t="s">
        <v>487</v>
      </c>
      <c r="E562" s="1497">
        <v>1648</v>
      </c>
      <c r="F562" s="1497"/>
      <c r="G562" s="267" t="s">
        <v>27</v>
      </c>
      <c r="H562" s="3"/>
      <c r="I562" s="3"/>
    </row>
    <row r="563" spans="1:9">
      <c r="A563" s="2">
        <v>44669</v>
      </c>
      <c r="B563" s="267"/>
      <c r="C563" s="267" t="s">
        <v>55</v>
      </c>
      <c r="D563" s="15" t="s">
        <v>60</v>
      </c>
      <c r="E563" s="1497">
        <v>200</v>
      </c>
      <c r="F563" s="1497"/>
      <c r="G563" s="267" t="s">
        <v>56</v>
      </c>
      <c r="H563" s="3"/>
      <c r="I563" s="3"/>
    </row>
    <row r="564" spans="1:9">
      <c r="A564" s="2">
        <v>44669</v>
      </c>
      <c r="B564" s="267"/>
      <c r="C564" s="267" t="s">
        <v>156</v>
      </c>
      <c r="D564" s="3" t="s">
        <v>156</v>
      </c>
      <c r="E564" s="1497">
        <v>16516.88</v>
      </c>
      <c r="F564" s="1497"/>
      <c r="G564" s="267" t="s">
        <v>27</v>
      </c>
      <c r="H564" s="3"/>
      <c r="I564" s="3"/>
    </row>
    <row r="565" spans="1:9">
      <c r="A565" s="2">
        <v>44669</v>
      </c>
      <c r="B565" s="267"/>
      <c r="C565" s="267" t="s">
        <v>62</v>
      </c>
      <c r="D565" s="3" t="s">
        <v>38</v>
      </c>
      <c r="E565" s="1497">
        <v>302.5</v>
      </c>
      <c r="F565" s="1497"/>
      <c r="G565" s="267" t="s">
        <v>56</v>
      </c>
      <c r="H565" s="3" t="s">
        <v>377</v>
      </c>
      <c r="I565" s="3"/>
    </row>
    <row r="566" spans="1:9">
      <c r="A566" s="2">
        <v>44669</v>
      </c>
      <c r="B566" s="267"/>
      <c r="C566" s="267" t="s">
        <v>62</v>
      </c>
      <c r="D566" s="3" t="s">
        <v>492</v>
      </c>
      <c r="E566" s="1497">
        <v>1730</v>
      </c>
      <c r="F566" s="1497"/>
      <c r="G566" s="267" t="s">
        <v>56</v>
      </c>
      <c r="H566" s="3" t="s">
        <v>377</v>
      </c>
      <c r="I566" s="3"/>
    </row>
    <row r="567" spans="1:9">
      <c r="A567" s="2">
        <v>44669</v>
      </c>
      <c r="B567" s="267"/>
      <c r="C567" s="267" t="s">
        <v>77</v>
      </c>
      <c r="D567" s="3" t="s">
        <v>493</v>
      </c>
      <c r="E567" s="1497"/>
      <c r="F567" s="1497">
        <v>362400</v>
      </c>
      <c r="G567" s="267" t="s">
        <v>56</v>
      </c>
      <c r="H567" s="3"/>
      <c r="I567" s="3"/>
    </row>
    <row r="568" spans="1:9">
      <c r="A568" s="2">
        <v>44670</v>
      </c>
      <c r="B568" s="267"/>
      <c r="C568" s="267" t="s">
        <v>77</v>
      </c>
      <c r="D568" s="3" t="s">
        <v>488</v>
      </c>
      <c r="E568" s="1497"/>
      <c r="F568" s="1497">
        <v>177000</v>
      </c>
      <c r="G568" s="267" t="s">
        <v>489</v>
      </c>
      <c r="H568" s="3"/>
      <c r="I568" s="3"/>
    </row>
    <row r="569" spans="1:9">
      <c r="A569" s="2">
        <v>44670</v>
      </c>
      <c r="B569" s="267"/>
      <c r="C569" s="267" t="s">
        <v>77</v>
      </c>
      <c r="D569" s="3" t="s">
        <v>488</v>
      </c>
      <c r="E569" s="1497">
        <v>5127.37</v>
      </c>
      <c r="F569" s="1497"/>
      <c r="G569" s="267" t="s">
        <v>489</v>
      </c>
      <c r="H569" s="3"/>
      <c r="I569" s="3"/>
    </row>
    <row r="570" spans="1:9">
      <c r="A570" s="2">
        <v>44670</v>
      </c>
      <c r="B570" s="267"/>
      <c r="C570" s="267" t="s">
        <v>92</v>
      </c>
      <c r="D570" s="3" t="s">
        <v>490</v>
      </c>
      <c r="E570" s="1497"/>
      <c r="F570" s="1497">
        <v>19800</v>
      </c>
      <c r="G570" s="267" t="s">
        <v>491</v>
      </c>
      <c r="H570" s="3"/>
      <c r="I570" s="3"/>
    </row>
    <row r="571" spans="1:9">
      <c r="A571" s="2">
        <v>44670</v>
      </c>
      <c r="B571" s="267"/>
      <c r="C571" s="267" t="s">
        <v>92</v>
      </c>
      <c r="D571" s="3" t="s">
        <v>490</v>
      </c>
      <c r="E571" s="1497">
        <v>3097.2</v>
      </c>
      <c r="F571" s="1497"/>
      <c r="G571" s="267" t="s">
        <v>491</v>
      </c>
      <c r="H571" s="3"/>
      <c r="I571" s="3"/>
    </row>
    <row r="572" spans="1:9" ht="16.5">
      <c r="A572" s="2">
        <v>44670</v>
      </c>
      <c r="B572" s="267"/>
      <c r="C572" s="267" t="s">
        <v>77</v>
      </c>
      <c r="D572" s="3" t="s">
        <v>257</v>
      </c>
      <c r="E572" s="1497">
        <v>2806.45</v>
      </c>
      <c r="F572" s="1508"/>
      <c r="G572" s="267" t="s">
        <v>27</v>
      </c>
      <c r="H572" s="3"/>
      <c r="I572" s="3"/>
    </row>
    <row r="573" spans="1:9">
      <c r="A573" s="2">
        <v>44670</v>
      </c>
      <c r="B573" s="267"/>
      <c r="C573" s="267" t="s">
        <v>79</v>
      </c>
      <c r="D573" s="3" t="s">
        <v>494</v>
      </c>
      <c r="E573" s="1497">
        <v>6000</v>
      </c>
      <c r="F573" s="1497"/>
      <c r="G573" s="267" t="s">
        <v>27</v>
      </c>
      <c r="H573" s="3"/>
      <c r="I573" s="3"/>
    </row>
    <row r="574" spans="1:9">
      <c r="A574" s="2">
        <v>44670</v>
      </c>
      <c r="B574" s="267"/>
      <c r="C574" s="267" t="s">
        <v>62</v>
      </c>
      <c r="D574" s="15" t="s">
        <v>38</v>
      </c>
      <c r="E574" s="1497">
        <v>320</v>
      </c>
      <c r="F574" s="1497"/>
      <c r="G574" s="267" t="s">
        <v>56</v>
      </c>
      <c r="H574" s="3" t="s">
        <v>419</v>
      </c>
      <c r="I574" s="3"/>
    </row>
    <row r="575" spans="1:9">
      <c r="A575" s="2">
        <v>44670</v>
      </c>
      <c r="B575" s="267"/>
      <c r="C575" s="267" t="s">
        <v>29</v>
      </c>
      <c r="D575" s="15" t="s">
        <v>495</v>
      </c>
      <c r="E575" s="1497">
        <v>31000</v>
      </c>
      <c r="F575" s="1497"/>
      <c r="G575" s="267" t="s">
        <v>56</v>
      </c>
      <c r="H575" s="3"/>
      <c r="I575" s="3"/>
    </row>
    <row r="576" spans="1:9">
      <c r="A576" s="2">
        <v>44670</v>
      </c>
      <c r="B576" s="267"/>
      <c r="C576" s="267" t="s">
        <v>29</v>
      </c>
      <c r="D576" s="15" t="s">
        <v>496</v>
      </c>
      <c r="E576" s="1497">
        <v>109700</v>
      </c>
      <c r="F576" s="1497"/>
      <c r="G576" s="267" t="s">
        <v>56</v>
      </c>
      <c r="H576" s="3"/>
      <c r="I576" s="3"/>
    </row>
    <row r="577" spans="1:9">
      <c r="A577" s="2">
        <v>44670</v>
      </c>
      <c r="B577" s="267"/>
      <c r="C577" s="267" t="s">
        <v>29</v>
      </c>
      <c r="D577" s="15" t="s">
        <v>48</v>
      </c>
      <c r="E577" s="1497">
        <v>140000</v>
      </c>
      <c r="F577" s="1497"/>
      <c r="G577" s="267" t="s">
        <v>27</v>
      </c>
      <c r="H577" s="3"/>
      <c r="I577" s="3"/>
    </row>
    <row r="578" spans="1:9">
      <c r="A578" s="2">
        <v>44670</v>
      </c>
      <c r="B578" s="267"/>
      <c r="C578" s="267" t="s">
        <v>92</v>
      </c>
      <c r="D578" s="3" t="s">
        <v>418</v>
      </c>
      <c r="E578" s="1497"/>
      <c r="F578" s="1497">
        <v>12200</v>
      </c>
      <c r="G578" s="267" t="s">
        <v>72</v>
      </c>
      <c r="H578" s="3"/>
      <c r="I578" s="3"/>
    </row>
    <row r="579" spans="1:9">
      <c r="A579" s="2">
        <v>44670</v>
      </c>
      <c r="B579" s="267"/>
      <c r="C579" s="267" t="s">
        <v>62</v>
      </c>
      <c r="D579" s="3" t="s">
        <v>64</v>
      </c>
      <c r="E579" s="1497">
        <v>468.12</v>
      </c>
      <c r="F579" s="1497"/>
      <c r="G579" s="267" t="s">
        <v>56</v>
      </c>
      <c r="H579" s="3"/>
      <c r="I579" s="3"/>
    </row>
    <row r="580" spans="1:9">
      <c r="A580" s="2">
        <v>44670</v>
      </c>
      <c r="B580" s="267"/>
      <c r="C580" s="267" t="s">
        <v>62</v>
      </c>
      <c r="D580" s="3" t="s">
        <v>38</v>
      </c>
      <c r="E580" s="1497">
        <v>120</v>
      </c>
      <c r="F580" s="1497"/>
      <c r="G580" s="267" t="s">
        <v>56</v>
      </c>
      <c r="H580" s="3"/>
      <c r="I580" s="3"/>
    </row>
    <row r="581" spans="1:9">
      <c r="A581" s="2">
        <v>44670</v>
      </c>
      <c r="B581" s="267"/>
      <c r="C581" s="267" t="s">
        <v>77</v>
      </c>
      <c r="D581" s="3" t="s">
        <v>497</v>
      </c>
      <c r="E581" s="1497"/>
      <c r="F581" s="1497">
        <v>18100</v>
      </c>
      <c r="G581" s="267" t="s">
        <v>56</v>
      </c>
      <c r="H581" s="3"/>
      <c r="I581" s="3"/>
    </row>
    <row r="582" spans="1:9">
      <c r="A582" s="2">
        <v>44670</v>
      </c>
      <c r="B582" s="267"/>
      <c r="C582" s="267" t="s">
        <v>92</v>
      </c>
      <c r="D582" s="3" t="s">
        <v>498</v>
      </c>
      <c r="E582" s="1497"/>
      <c r="F582" s="1497">
        <v>10700</v>
      </c>
      <c r="G582" s="267" t="s">
        <v>72</v>
      </c>
      <c r="H582" s="3" t="s">
        <v>502</v>
      </c>
      <c r="I582" s="3"/>
    </row>
    <row r="583" spans="1:9">
      <c r="A583" s="2">
        <v>44671</v>
      </c>
      <c r="B583" s="267"/>
      <c r="C583" s="267" t="s">
        <v>79</v>
      </c>
      <c r="D583" s="15" t="s">
        <v>499</v>
      </c>
      <c r="E583" s="1497">
        <v>6000</v>
      </c>
      <c r="F583" s="1497"/>
      <c r="G583" s="267" t="s">
        <v>27</v>
      </c>
      <c r="H583" s="3"/>
      <c r="I583" s="3"/>
    </row>
    <row r="584" spans="1:9">
      <c r="A584" s="2">
        <v>44671</v>
      </c>
      <c r="B584" s="267"/>
      <c r="C584" s="267" t="s">
        <v>55</v>
      </c>
      <c r="D584" s="15" t="s">
        <v>500</v>
      </c>
      <c r="E584" s="1497">
        <v>13000</v>
      </c>
      <c r="F584" s="1497"/>
      <c r="G584" s="267" t="s">
        <v>56</v>
      </c>
      <c r="H584" s="3"/>
      <c r="I584" s="3"/>
    </row>
    <row r="585" spans="1:9">
      <c r="A585" s="2">
        <v>44671</v>
      </c>
      <c r="B585" s="267"/>
      <c r="C585" s="267" t="s">
        <v>94</v>
      </c>
      <c r="D585" s="3" t="s">
        <v>501</v>
      </c>
      <c r="E585" s="1497"/>
      <c r="F585" s="1497">
        <v>66240.600000000006</v>
      </c>
      <c r="G585" s="267" t="s">
        <v>27</v>
      </c>
      <c r="H585" s="3"/>
      <c r="I585" s="3"/>
    </row>
    <row r="586" spans="1:9">
      <c r="A586" s="2">
        <v>44671</v>
      </c>
      <c r="B586" s="267"/>
      <c r="C586" s="267" t="s">
        <v>29</v>
      </c>
      <c r="D586" s="3" t="s">
        <v>53</v>
      </c>
      <c r="E586" s="1497">
        <v>1420.01</v>
      </c>
      <c r="F586" s="1497"/>
      <c r="G586" s="267" t="s">
        <v>56</v>
      </c>
      <c r="H586" s="3"/>
      <c r="I586" s="3"/>
    </row>
    <row r="587" spans="1:9">
      <c r="A587" s="2">
        <v>44671</v>
      </c>
      <c r="B587" s="267"/>
      <c r="C587" s="267" t="s">
        <v>176</v>
      </c>
      <c r="D587" s="15" t="s">
        <v>175</v>
      </c>
      <c r="E587" s="1497">
        <v>2000</v>
      </c>
      <c r="F587" s="1497"/>
      <c r="G587" s="267" t="s">
        <v>27</v>
      </c>
      <c r="H587" s="3"/>
      <c r="I587" s="3"/>
    </row>
    <row r="588" spans="1:9">
      <c r="A588" s="2">
        <v>44671</v>
      </c>
      <c r="B588" s="267"/>
      <c r="C588" s="267" t="s">
        <v>79</v>
      </c>
      <c r="D588" s="3" t="s">
        <v>166</v>
      </c>
      <c r="E588" s="1497">
        <v>32000</v>
      </c>
      <c r="F588" s="1497"/>
      <c r="G588" s="267" t="s">
        <v>27</v>
      </c>
      <c r="H588" s="3"/>
      <c r="I588" s="3"/>
    </row>
    <row r="589" spans="1:9">
      <c r="A589" s="2">
        <v>44671</v>
      </c>
      <c r="B589" s="267"/>
      <c r="C589" s="267" t="s">
        <v>79</v>
      </c>
      <c r="D589" s="3" t="s">
        <v>503</v>
      </c>
      <c r="E589" s="1497">
        <v>7000</v>
      </c>
      <c r="F589" s="1497"/>
      <c r="G589" s="267" t="s">
        <v>56</v>
      </c>
      <c r="H589" s="3"/>
      <c r="I589" s="3"/>
    </row>
    <row r="590" spans="1:9">
      <c r="A590" s="2">
        <v>44671</v>
      </c>
      <c r="B590" s="267"/>
      <c r="C590" s="267" t="s">
        <v>79</v>
      </c>
      <c r="D590" s="15" t="s">
        <v>151</v>
      </c>
      <c r="E590" s="1497">
        <v>1700</v>
      </c>
      <c r="F590" s="1497"/>
      <c r="G590" s="267" t="s">
        <v>56</v>
      </c>
      <c r="H590" s="3"/>
      <c r="I590" s="3"/>
    </row>
    <row r="591" spans="1:9">
      <c r="A591" s="2">
        <v>44671</v>
      </c>
      <c r="B591" s="267"/>
      <c r="C591" s="267" t="s">
        <v>55</v>
      </c>
      <c r="D591" s="15" t="s">
        <v>64</v>
      </c>
      <c r="E591" s="1497">
        <v>468.12</v>
      </c>
      <c r="F591" s="1497"/>
      <c r="G591" s="267" t="s">
        <v>56</v>
      </c>
      <c r="H591" s="3" t="s">
        <v>419</v>
      </c>
      <c r="I591" s="3"/>
    </row>
    <row r="592" spans="1:9">
      <c r="A592" s="2">
        <v>44671</v>
      </c>
      <c r="B592" s="267"/>
      <c r="C592" s="267" t="s">
        <v>55</v>
      </c>
      <c r="D592" s="15" t="s">
        <v>64</v>
      </c>
      <c r="E592" s="1497">
        <v>468.12</v>
      </c>
      <c r="F592" s="1497"/>
      <c r="G592" s="267" t="s">
        <v>56</v>
      </c>
      <c r="H592" s="3" t="s">
        <v>419</v>
      </c>
      <c r="I592" s="3"/>
    </row>
    <row r="593" spans="1:9">
      <c r="A593" s="2">
        <v>44672</v>
      </c>
      <c r="B593" s="267"/>
      <c r="C593" s="267" t="s">
        <v>77</v>
      </c>
      <c r="D593" s="15" t="s">
        <v>505</v>
      </c>
      <c r="E593" s="1497"/>
      <c r="F593" s="1497">
        <v>193400</v>
      </c>
      <c r="G593" s="267" t="s">
        <v>27</v>
      </c>
      <c r="H593" s="3"/>
      <c r="I593" s="3"/>
    </row>
    <row r="594" spans="1:9">
      <c r="A594" s="2">
        <v>44672</v>
      </c>
      <c r="B594" s="267"/>
      <c r="C594" s="267" t="s">
        <v>77</v>
      </c>
      <c r="D594" s="3" t="s">
        <v>506</v>
      </c>
      <c r="E594" s="1497"/>
      <c r="F594" s="1497">
        <v>170651.01</v>
      </c>
      <c r="G594" s="267" t="s">
        <v>27</v>
      </c>
      <c r="H594" s="3"/>
      <c r="I594" s="3"/>
    </row>
    <row r="595" spans="1:9">
      <c r="A595" s="2">
        <v>44672</v>
      </c>
      <c r="B595" s="267"/>
      <c r="C595" s="267" t="s">
        <v>97</v>
      </c>
      <c r="D595" s="3" t="s">
        <v>450</v>
      </c>
      <c r="E595" s="1497">
        <v>9000</v>
      </c>
      <c r="F595" s="1497"/>
      <c r="G595" s="267" t="s">
        <v>27</v>
      </c>
      <c r="H595" s="3"/>
      <c r="I595" s="3"/>
    </row>
    <row r="596" spans="1:9">
      <c r="A596" s="2">
        <v>44672</v>
      </c>
      <c r="B596" s="267" t="s">
        <v>389</v>
      </c>
      <c r="C596" s="267" t="s">
        <v>55</v>
      </c>
      <c r="D596" s="3" t="s">
        <v>504</v>
      </c>
      <c r="E596" s="1497">
        <v>5500</v>
      </c>
      <c r="F596" s="1497"/>
      <c r="G596" s="267" t="s">
        <v>27</v>
      </c>
      <c r="H596" s="3"/>
      <c r="I596" s="3"/>
    </row>
    <row r="597" spans="1:9">
      <c r="A597" s="2">
        <v>44672</v>
      </c>
      <c r="B597" s="267"/>
      <c r="C597" s="267" t="s">
        <v>29</v>
      </c>
      <c r="D597" s="3" t="s">
        <v>113</v>
      </c>
      <c r="E597" s="1497">
        <v>124236</v>
      </c>
      <c r="F597" s="1497"/>
      <c r="G597" s="267" t="s">
        <v>27</v>
      </c>
      <c r="H597" s="3"/>
      <c r="I597" s="3"/>
    </row>
    <row r="598" spans="1:9">
      <c r="A598" s="2">
        <v>44672</v>
      </c>
      <c r="B598" s="267"/>
      <c r="C598" s="267" t="s">
        <v>509</v>
      </c>
      <c r="D598" s="3" t="s">
        <v>508</v>
      </c>
      <c r="E598" s="1497">
        <v>43680</v>
      </c>
      <c r="F598" s="1497"/>
      <c r="G598" s="267" t="s">
        <v>72</v>
      </c>
      <c r="H598" s="3" t="s">
        <v>507</v>
      </c>
      <c r="I598" s="3"/>
    </row>
    <row r="599" spans="1:9">
      <c r="A599" s="2">
        <v>44672</v>
      </c>
      <c r="B599" s="267"/>
      <c r="C599" s="267" t="s">
        <v>176</v>
      </c>
      <c r="D599" s="3" t="s">
        <v>175</v>
      </c>
      <c r="E599" s="1497">
        <v>1000</v>
      </c>
      <c r="F599" s="1497"/>
      <c r="G599" s="267" t="s">
        <v>27</v>
      </c>
      <c r="H599" s="3"/>
      <c r="I599" s="3"/>
    </row>
    <row r="600" spans="1:9">
      <c r="A600" s="2">
        <v>44672</v>
      </c>
      <c r="B600" s="267"/>
      <c r="C600" s="267" t="s">
        <v>29</v>
      </c>
      <c r="D600" s="3" t="s">
        <v>71</v>
      </c>
      <c r="E600" s="1497">
        <v>33000</v>
      </c>
      <c r="F600" s="1497"/>
      <c r="G600" s="267" t="s">
        <v>27</v>
      </c>
      <c r="H600" s="3"/>
      <c r="I600" s="3"/>
    </row>
    <row r="601" spans="1:9">
      <c r="A601" s="2">
        <v>44672</v>
      </c>
      <c r="B601" s="267"/>
      <c r="C601" s="267" t="s">
        <v>29</v>
      </c>
      <c r="D601" s="3" t="s">
        <v>48</v>
      </c>
      <c r="E601" s="1497">
        <v>10000</v>
      </c>
      <c r="F601" s="1497"/>
      <c r="G601" s="267" t="s">
        <v>27</v>
      </c>
      <c r="H601" s="3"/>
      <c r="I601" s="3"/>
    </row>
    <row r="602" spans="1:9">
      <c r="A602" s="2">
        <v>44672</v>
      </c>
      <c r="B602" s="267"/>
      <c r="C602" s="267" t="s">
        <v>176</v>
      </c>
      <c r="D602" s="3" t="s">
        <v>175</v>
      </c>
      <c r="E602" s="1497">
        <v>1800</v>
      </c>
      <c r="F602" s="1497"/>
      <c r="G602" s="267" t="s">
        <v>27</v>
      </c>
      <c r="H602" s="3"/>
      <c r="I602" s="3"/>
    </row>
    <row r="603" spans="1:9">
      <c r="A603" s="2">
        <v>44672</v>
      </c>
      <c r="B603" s="267"/>
      <c r="C603" s="267" t="s">
        <v>28</v>
      </c>
      <c r="D603" s="3" t="s">
        <v>510</v>
      </c>
      <c r="E603" s="1497">
        <v>5498.2</v>
      </c>
      <c r="F603" s="1497"/>
      <c r="G603" s="267" t="s">
        <v>27</v>
      </c>
      <c r="H603" s="3"/>
      <c r="I603" s="3"/>
    </row>
    <row r="604" spans="1:9">
      <c r="A604" s="2">
        <v>44672</v>
      </c>
      <c r="B604" s="267"/>
      <c r="C604" s="267" t="s">
        <v>29</v>
      </c>
      <c r="D604" s="3" t="s">
        <v>37</v>
      </c>
      <c r="E604" s="1497">
        <v>7550</v>
      </c>
      <c r="F604" s="1497"/>
      <c r="G604" s="267" t="s">
        <v>287</v>
      </c>
      <c r="H604" s="3"/>
      <c r="I604" s="3"/>
    </row>
    <row r="605" spans="1:9">
      <c r="A605" s="2">
        <v>44672</v>
      </c>
      <c r="B605" s="267"/>
      <c r="C605" s="267" t="s">
        <v>92</v>
      </c>
      <c r="D605" s="3" t="s">
        <v>511</v>
      </c>
      <c r="E605" s="1497"/>
      <c r="F605" s="1497">
        <v>3200</v>
      </c>
      <c r="G605" s="267" t="s">
        <v>56</v>
      </c>
      <c r="H605" s="3"/>
      <c r="I605" s="3"/>
    </row>
    <row r="606" spans="1:9">
      <c r="A606" s="2">
        <v>44672</v>
      </c>
      <c r="B606" s="267"/>
      <c r="C606" s="267" t="s">
        <v>29</v>
      </c>
      <c r="D606" s="3" t="s">
        <v>512</v>
      </c>
      <c r="E606" s="1497">
        <v>10520</v>
      </c>
      <c r="F606" s="1497"/>
      <c r="G606" s="267" t="s">
        <v>27</v>
      </c>
      <c r="H606" s="3"/>
      <c r="I606" s="3"/>
    </row>
    <row r="607" spans="1:9">
      <c r="A607" s="2">
        <v>44672</v>
      </c>
      <c r="B607" s="267"/>
      <c r="C607" s="267" t="s">
        <v>94</v>
      </c>
      <c r="D607" s="3" t="s">
        <v>17</v>
      </c>
      <c r="E607" s="1497">
        <v>3340</v>
      </c>
      <c r="F607" s="1497"/>
      <c r="G607" s="267" t="s">
        <v>27</v>
      </c>
      <c r="H607" s="3"/>
      <c r="I607" s="3"/>
    </row>
    <row r="608" spans="1:9">
      <c r="A608" s="2">
        <v>44673</v>
      </c>
      <c r="B608" s="267" t="s">
        <v>513</v>
      </c>
      <c r="C608" s="267" t="s">
        <v>55</v>
      </c>
      <c r="D608" s="3" t="s">
        <v>514</v>
      </c>
      <c r="E608" s="1497">
        <v>1000</v>
      </c>
      <c r="F608" s="1497"/>
      <c r="G608" s="267" t="s">
        <v>56</v>
      </c>
      <c r="H608" s="3"/>
      <c r="I608" s="3"/>
    </row>
    <row r="609" spans="1:9">
      <c r="A609" s="2">
        <v>44673</v>
      </c>
      <c r="B609" s="267"/>
      <c r="C609" s="267" t="s">
        <v>55</v>
      </c>
      <c r="D609" s="3" t="s">
        <v>276</v>
      </c>
      <c r="E609" s="1497"/>
      <c r="F609" s="1497">
        <v>3840</v>
      </c>
      <c r="G609" s="267" t="s">
        <v>56</v>
      </c>
      <c r="H609" s="3"/>
      <c r="I609" s="3"/>
    </row>
    <row r="610" spans="1:9">
      <c r="A610" s="2">
        <v>44673</v>
      </c>
      <c r="B610" s="267"/>
      <c r="C610" s="267" t="s">
        <v>90</v>
      </c>
      <c r="D610" s="3" t="s">
        <v>334</v>
      </c>
      <c r="E610" s="1497">
        <v>5150</v>
      </c>
      <c r="F610" s="1497"/>
      <c r="G610" s="267" t="s">
        <v>27</v>
      </c>
      <c r="H610" s="3"/>
      <c r="I610" s="3"/>
    </row>
    <row r="611" spans="1:9">
      <c r="A611" s="2">
        <v>44673</v>
      </c>
      <c r="B611" s="267"/>
      <c r="C611" s="267" t="s">
        <v>90</v>
      </c>
      <c r="D611" s="3" t="s">
        <v>144</v>
      </c>
      <c r="E611" s="1497">
        <v>10000</v>
      </c>
      <c r="F611" s="1497"/>
      <c r="G611" s="267" t="s">
        <v>27</v>
      </c>
      <c r="H611" s="3"/>
      <c r="I611" s="3"/>
    </row>
    <row r="612" spans="1:9">
      <c r="A612" s="2">
        <v>44673</v>
      </c>
      <c r="B612" s="267"/>
      <c r="C612" s="267" t="s">
        <v>90</v>
      </c>
      <c r="D612" s="3" t="s">
        <v>88</v>
      </c>
      <c r="E612" s="1497">
        <v>50300</v>
      </c>
      <c r="F612" s="1497"/>
      <c r="G612" s="267" t="s">
        <v>56</v>
      </c>
      <c r="H612" s="3" t="s">
        <v>515</v>
      </c>
      <c r="I612" s="3"/>
    </row>
    <row r="613" spans="1:9">
      <c r="A613" s="2">
        <v>44673</v>
      </c>
      <c r="B613" s="267"/>
      <c r="C613" s="267" t="s">
        <v>160</v>
      </c>
      <c r="D613" s="3" t="s">
        <v>516</v>
      </c>
      <c r="E613" s="1497"/>
      <c r="F613" s="1497">
        <v>4500</v>
      </c>
      <c r="G613" s="267" t="s">
        <v>56</v>
      </c>
      <c r="H613" s="3" t="s">
        <v>517</v>
      </c>
      <c r="I613" s="3"/>
    </row>
    <row r="614" spans="1:9">
      <c r="A614" s="2">
        <v>44673</v>
      </c>
      <c r="B614" s="267"/>
      <c r="C614" s="267" t="s">
        <v>92</v>
      </c>
      <c r="D614" s="15" t="s">
        <v>417</v>
      </c>
      <c r="E614" s="1497"/>
      <c r="F614" s="1497">
        <v>7250</v>
      </c>
      <c r="G614" s="226" t="s">
        <v>56</v>
      </c>
      <c r="H614" s="3"/>
      <c r="I614" s="3"/>
    </row>
    <row r="615" spans="1:9">
      <c r="A615" s="243">
        <v>44673</v>
      </c>
      <c r="B615" s="237"/>
      <c r="C615" s="237"/>
      <c r="D615" s="237"/>
      <c r="E615" s="1499"/>
      <c r="F615" s="1500"/>
      <c r="G615" s="265" t="s">
        <v>56</v>
      </c>
      <c r="H615" s="87" t="s">
        <v>522</v>
      </c>
      <c r="I615" s="3"/>
    </row>
    <row r="616" spans="1:9">
      <c r="A616" s="2">
        <v>44676</v>
      </c>
      <c r="B616" s="267"/>
      <c r="C616" s="267" t="s">
        <v>160</v>
      </c>
      <c r="D616" s="15" t="s">
        <v>523</v>
      </c>
      <c r="E616" s="1497"/>
      <c r="F616" s="1497">
        <v>7250</v>
      </c>
      <c r="G616" s="267" t="s">
        <v>56</v>
      </c>
      <c r="H616" s="90" t="s">
        <v>518</v>
      </c>
      <c r="I616" s="3"/>
    </row>
    <row r="617" spans="1:9">
      <c r="A617" s="2">
        <v>44676</v>
      </c>
      <c r="B617" s="267"/>
      <c r="C617" s="267" t="s">
        <v>92</v>
      </c>
      <c r="D617" s="3" t="s">
        <v>441</v>
      </c>
      <c r="E617" s="1497"/>
      <c r="F617" s="1497">
        <v>164856.20000000001</v>
      </c>
      <c r="G617" s="267" t="s">
        <v>72</v>
      </c>
      <c r="H617" s="90" t="s">
        <v>519</v>
      </c>
      <c r="I617" s="3"/>
    </row>
    <row r="618" spans="1:9" ht="16.5">
      <c r="A618" s="2">
        <v>44676</v>
      </c>
      <c r="B618" s="267"/>
      <c r="C618" s="267" t="s">
        <v>97</v>
      </c>
      <c r="D618" s="3" t="s">
        <v>524</v>
      </c>
      <c r="E618" s="1497">
        <v>33300</v>
      </c>
      <c r="F618" s="1509"/>
      <c r="G618" s="267" t="s">
        <v>27</v>
      </c>
      <c r="H618" s="91" t="s">
        <v>520</v>
      </c>
      <c r="I618" s="3"/>
    </row>
    <row r="619" spans="1:9">
      <c r="A619" s="2">
        <v>44676</v>
      </c>
      <c r="B619" s="267"/>
      <c r="C619" s="267" t="s">
        <v>79</v>
      </c>
      <c r="D619" s="3" t="s">
        <v>151</v>
      </c>
      <c r="E619" s="1497">
        <v>4740</v>
      </c>
      <c r="F619" s="1497"/>
      <c r="G619" s="267" t="s">
        <v>27</v>
      </c>
      <c r="H619" s="91">
        <v>-20722.169999999998</v>
      </c>
      <c r="I619" s="3"/>
    </row>
    <row r="620" spans="1:9">
      <c r="A620" s="2">
        <v>44676</v>
      </c>
      <c r="B620" s="267"/>
      <c r="C620" s="267" t="s">
        <v>174</v>
      </c>
      <c r="D620" s="3" t="s">
        <v>525</v>
      </c>
      <c r="E620" s="1497">
        <v>3517.8</v>
      </c>
      <c r="F620" s="1497"/>
      <c r="G620" s="267" t="s">
        <v>27</v>
      </c>
      <c r="H620" s="92" t="s">
        <v>521</v>
      </c>
      <c r="I620" s="3"/>
    </row>
    <row r="621" spans="1:9">
      <c r="A621" s="2">
        <v>44676</v>
      </c>
      <c r="B621" s="267"/>
      <c r="C621" s="267" t="s">
        <v>174</v>
      </c>
      <c r="D621" s="15" t="s">
        <v>526</v>
      </c>
      <c r="E621" s="1497">
        <v>686.33</v>
      </c>
      <c r="F621" s="1497"/>
      <c r="G621" s="267" t="s">
        <v>27</v>
      </c>
      <c r="H621" s="88"/>
      <c r="I621" s="3"/>
    </row>
    <row r="622" spans="1:9">
      <c r="A622" s="2">
        <v>44676</v>
      </c>
      <c r="B622" s="267"/>
      <c r="C622" s="267" t="s">
        <v>174</v>
      </c>
      <c r="D622" s="15" t="s">
        <v>526</v>
      </c>
      <c r="E622" s="1497">
        <v>686.33</v>
      </c>
      <c r="F622" s="1497"/>
      <c r="G622" s="267" t="s">
        <v>27</v>
      </c>
      <c r="H622" s="3"/>
      <c r="I622" s="3"/>
    </row>
    <row r="623" spans="1:9">
      <c r="A623" s="2">
        <v>44676</v>
      </c>
      <c r="B623" s="267"/>
      <c r="C623" s="267" t="s">
        <v>29</v>
      </c>
      <c r="D623" s="15" t="s">
        <v>37</v>
      </c>
      <c r="E623" s="1497">
        <v>22900</v>
      </c>
      <c r="F623" s="1497"/>
      <c r="G623" s="267" t="s">
        <v>72</v>
      </c>
      <c r="H623" s="3"/>
      <c r="I623" s="3"/>
    </row>
    <row r="624" spans="1:9">
      <c r="A624" s="2">
        <v>44676</v>
      </c>
      <c r="B624" s="267"/>
      <c r="C624" s="267" t="s">
        <v>29</v>
      </c>
      <c r="D624" s="15" t="s">
        <v>527</v>
      </c>
      <c r="E624" s="1497">
        <v>1998</v>
      </c>
      <c r="F624" s="1497"/>
      <c r="G624" s="267" t="s">
        <v>27</v>
      </c>
      <c r="I624" s="3"/>
    </row>
    <row r="625" spans="1:9">
      <c r="A625" s="2">
        <v>44676</v>
      </c>
      <c r="B625" s="267"/>
      <c r="C625" s="267" t="s">
        <v>29</v>
      </c>
      <c r="D625" s="15" t="s">
        <v>48</v>
      </c>
      <c r="E625" s="1497">
        <v>120400</v>
      </c>
      <c r="F625" s="1497"/>
      <c r="G625" s="267" t="s">
        <v>72</v>
      </c>
      <c r="H625" s="45" t="s">
        <v>528</v>
      </c>
      <c r="I625" s="3"/>
    </row>
    <row r="626" spans="1:9">
      <c r="A626" s="93">
        <v>44676</v>
      </c>
      <c r="B626" s="267"/>
      <c r="C626" s="12" t="s">
        <v>86</v>
      </c>
      <c r="D626" s="89" t="s">
        <v>104</v>
      </c>
      <c r="E626" s="12">
        <v>2000</v>
      </c>
      <c r="F626" s="12"/>
      <c r="G626" s="12" t="s">
        <v>56</v>
      </c>
      <c r="H626" s="3"/>
      <c r="I626" s="3"/>
    </row>
    <row r="627" spans="1:9">
      <c r="A627" s="2">
        <v>44676</v>
      </c>
      <c r="B627" s="267"/>
      <c r="C627" s="267" t="s">
        <v>55</v>
      </c>
      <c r="D627" s="3" t="s">
        <v>38</v>
      </c>
      <c r="E627" s="1497">
        <v>300</v>
      </c>
      <c r="F627" s="1497"/>
      <c r="G627" s="267" t="s">
        <v>56</v>
      </c>
      <c r="H627" s="45" t="s">
        <v>412</v>
      </c>
      <c r="I627" s="3"/>
    </row>
    <row r="628" spans="1:9">
      <c r="A628" s="2">
        <v>44677</v>
      </c>
      <c r="B628" s="267"/>
      <c r="C628" s="267" t="s">
        <v>156</v>
      </c>
      <c r="D628" s="15" t="s">
        <v>156</v>
      </c>
      <c r="E628" s="1497">
        <v>15297.5</v>
      </c>
      <c r="F628" s="1497"/>
      <c r="G628" s="267" t="s">
        <v>27</v>
      </c>
      <c r="H628" s="3"/>
      <c r="I628" s="3"/>
    </row>
    <row r="629" spans="1:9">
      <c r="A629" s="2">
        <v>44677</v>
      </c>
      <c r="B629" s="267"/>
      <c r="C629" s="267" t="s">
        <v>77</v>
      </c>
      <c r="D629" s="3" t="s">
        <v>529</v>
      </c>
      <c r="E629" s="1497"/>
      <c r="F629" s="1497">
        <v>104000</v>
      </c>
      <c r="G629" s="267" t="s">
        <v>56</v>
      </c>
      <c r="H629" s="45" t="s">
        <v>530</v>
      </c>
      <c r="I629" s="3"/>
    </row>
    <row r="630" spans="1:9">
      <c r="A630" s="2">
        <v>44677</v>
      </c>
      <c r="B630" s="267"/>
      <c r="C630" s="267" t="s">
        <v>77</v>
      </c>
      <c r="D630" s="3" t="s">
        <v>529</v>
      </c>
      <c r="E630" s="1497"/>
      <c r="F630" s="1497">
        <v>18500</v>
      </c>
      <c r="G630" s="267" t="s">
        <v>56</v>
      </c>
      <c r="H630" s="3"/>
      <c r="I630" s="3"/>
    </row>
    <row r="631" spans="1:9">
      <c r="A631" s="2">
        <v>44677</v>
      </c>
      <c r="B631" s="267"/>
      <c r="C631" s="267" t="s">
        <v>55</v>
      </c>
      <c r="D631" s="3" t="s">
        <v>38</v>
      </c>
      <c r="E631" s="1497">
        <v>1100</v>
      </c>
      <c r="F631" s="1497"/>
      <c r="G631" s="267" t="s">
        <v>56</v>
      </c>
      <c r="H631" s="45" t="s">
        <v>377</v>
      </c>
      <c r="I631" s="3"/>
    </row>
    <row r="632" spans="1:9">
      <c r="A632" s="2">
        <v>44677</v>
      </c>
      <c r="B632" s="267"/>
      <c r="C632" s="267" t="s">
        <v>92</v>
      </c>
      <c r="D632" s="3" t="s">
        <v>531</v>
      </c>
      <c r="E632" s="1497"/>
      <c r="F632" s="1497">
        <v>4490</v>
      </c>
      <c r="G632" s="267" t="s">
        <v>27</v>
      </c>
      <c r="H632" s="3"/>
      <c r="I632" s="3"/>
    </row>
    <row r="633" spans="1:9">
      <c r="A633" s="2">
        <v>44678</v>
      </c>
      <c r="B633" s="267"/>
      <c r="C633" s="267" t="s">
        <v>176</v>
      </c>
      <c r="D633" s="15" t="s">
        <v>532</v>
      </c>
      <c r="E633" s="1497">
        <v>3500</v>
      </c>
      <c r="F633" s="1497"/>
      <c r="G633" s="267" t="s">
        <v>56</v>
      </c>
      <c r="H633" s="3"/>
      <c r="I633" s="3"/>
    </row>
    <row r="634" spans="1:9">
      <c r="A634" s="2">
        <v>44678</v>
      </c>
      <c r="B634" s="267"/>
      <c r="C634" s="267" t="s">
        <v>55</v>
      </c>
      <c r="D634" s="3" t="s">
        <v>446</v>
      </c>
      <c r="E634" s="1497">
        <v>270</v>
      </c>
      <c r="F634" s="1497"/>
      <c r="G634" s="267" t="s">
        <v>56</v>
      </c>
      <c r="H634" s="3"/>
      <c r="I634" s="3"/>
    </row>
    <row r="635" spans="1:9">
      <c r="A635" s="2">
        <v>44678</v>
      </c>
      <c r="B635" s="267"/>
      <c r="C635" s="267" t="s">
        <v>90</v>
      </c>
      <c r="D635" s="3" t="s">
        <v>453</v>
      </c>
      <c r="E635" s="1497">
        <v>1500</v>
      </c>
      <c r="F635" s="1497"/>
      <c r="G635" s="267" t="s">
        <v>56</v>
      </c>
      <c r="H635" s="3"/>
      <c r="I635" s="3"/>
    </row>
    <row r="636" spans="1:9">
      <c r="A636" s="2">
        <v>44678</v>
      </c>
      <c r="B636" s="267"/>
      <c r="C636" s="267" t="s">
        <v>86</v>
      </c>
      <c r="D636" s="3" t="s">
        <v>534</v>
      </c>
      <c r="E636" s="1497">
        <v>3002.57</v>
      </c>
      <c r="F636" s="1497"/>
      <c r="G636" s="267" t="s">
        <v>27</v>
      </c>
      <c r="H636" s="3"/>
      <c r="I636" s="3"/>
    </row>
    <row r="637" spans="1:9">
      <c r="A637" s="2">
        <v>44678</v>
      </c>
      <c r="B637" s="267"/>
      <c r="C637" s="267" t="s">
        <v>29</v>
      </c>
      <c r="D637" s="3" t="s">
        <v>48</v>
      </c>
      <c r="E637" s="1497">
        <v>70000</v>
      </c>
      <c r="F637" s="1497"/>
      <c r="G637" s="267" t="s">
        <v>56</v>
      </c>
      <c r="H637" s="3"/>
      <c r="I637" s="3"/>
    </row>
    <row r="638" spans="1:9">
      <c r="A638" s="2">
        <v>44678</v>
      </c>
      <c r="B638" s="267"/>
      <c r="C638" s="267" t="s">
        <v>55</v>
      </c>
      <c r="D638" s="3" t="s">
        <v>306</v>
      </c>
      <c r="E638" s="1497">
        <v>7350</v>
      </c>
      <c r="F638" s="1497"/>
      <c r="G638" s="267" t="s">
        <v>56</v>
      </c>
      <c r="H638" s="3"/>
      <c r="I638" s="3"/>
    </row>
    <row r="639" spans="1:9">
      <c r="A639" s="2">
        <v>44679</v>
      </c>
      <c r="B639" s="267"/>
      <c r="C639" s="267" t="s">
        <v>79</v>
      </c>
      <c r="D639" s="3" t="s">
        <v>536</v>
      </c>
      <c r="E639" s="1497">
        <v>24100</v>
      </c>
      <c r="F639" s="1497"/>
      <c r="G639" s="267" t="s">
        <v>27</v>
      </c>
      <c r="H639" s="3"/>
      <c r="I639" s="3"/>
    </row>
    <row r="640" spans="1:9">
      <c r="A640" s="2">
        <v>44679</v>
      </c>
      <c r="B640" s="267"/>
      <c r="C640" s="267" t="s">
        <v>28</v>
      </c>
      <c r="D640" s="3" t="s">
        <v>535</v>
      </c>
      <c r="E640" s="1497">
        <v>61616.5</v>
      </c>
      <c r="F640" s="1497"/>
      <c r="G640" s="267" t="s">
        <v>27</v>
      </c>
      <c r="H640" s="3"/>
      <c r="I640" s="3"/>
    </row>
    <row r="641" spans="1:9">
      <c r="A641" s="2">
        <v>44679</v>
      </c>
      <c r="B641" s="267"/>
      <c r="C641" s="267" t="s">
        <v>28</v>
      </c>
      <c r="D641" s="3" t="s">
        <v>535</v>
      </c>
      <c r="E641" s="1497">
        <v>1388.2</v>
      </c>
      <c r="F641" s="1497"/>
      <c r="G641" s="267" t="s">
        <v>27</v>
      </c>
      <c r="H641" s="3"/>
      <c r="I641" s="3"/>
    </row>
    <row r="642" spans="1:9">
      <c r="A642" s="2">
        <v>44679</v>
      </c>
      <c r="B642" s="267"/>
      <c r="C642" s="267" t="s">
        <v>537</v>
      </c>
      <c r="D642" s="3" t="s">
        <v>144</v>
      </c>
      <c r="E642" s="1497">
        <v>10000</v>
      </c>
      <c r="F642" s="1497"/>
      <c r="G642" s="267" t="s">
        <v>27</v>
      </c>
      <c r="H642" s="3"/>
      <c r="I642" s="3"/>
    </row>
    <row r="643" spans="1:9">
      <c r="A643" s="2">
        <v>44680</v>
      </c>
      <c r="B643" s="267"/>
      <c r="C643" s="267" t="s">
        <v>160</v>
      </c>
      <c r="D643" s="3" t="s">
        <v>538</v>
      </c>
      <c r="E643" s="1497"/>
      <c r="F643" s="1497">
        <v>63300</v>
      </c>
      <c r="G643" s="267" t="s">
        <v>56</v>
      </c>
      <c r="H643" s="3" t="s">
        <v>539</v>
      </c>
      <c r="I643" s="3"/>
    </row>
    <row r="644" spans="1:9">
      <c r="A644" s="2">
        <v>44680</v>
      </c>
      <c r="B644" s="267"/>
      <c r="C644" s="267" t="s">
        <v>92</v>
      </c>
      <c r="D644" s="3" t="s">
        <v>404</v>
      </c>
      <c r="E644" s="1497"/>
      <c r="F644" s="1497">
        <v>4850</v>
      </c>
      <c r="G644" s="267" t="s">
        <v>56</v>
      </c>
      <c r="H644" s="3"/>
      <c r="I644" s="3"/>
    </row>
    <row r="645" spans="1:9">
      <c r="A645" s="2">
        <v>44680</v>
      </c>
      <c r="B645" s="267"/>
      <c r="C645" s="267" t="s">
        <v>77</v>
      </c>
      <c r="D645" s="3" t="s">
        <v>541</v>
      </c>
      <c r="E645" s="1497"/>
      <c r="F645" s="1497">
        <v>28900</v>
      </c>
      <c r="G645" s="267" t="s">
        <v>27</v>
      </c>
      <c r="H645" s="3" t="s">
        <v>409</v>
      </c>
      <c r="I645" s="3"/>
    </row>
    <row r="646" spans="1:9">
      <c r="A646" s="2">
        <v>44680</v>
      </c>
      <c r="B646" s="267"/>
      <c r="C646" s="267" t="s">
        <v>176</v>
      </c>
      <c r="D646" s="3" t="s">
        <v>175</v>
      </c>
      <c r="E646" s="1497">
        <v>10000</v>
      </c>
      <c r="F646" s="1497"/>
      <c r="G646" s="267" t="s">
        <v>27</v>
      </c>
      <c r="H646" s="3"/>
      <c r="I646" s="3"/>
    </row>
    <row r="647" spans="1:9">
      <c r="A647" s="2">
        <v>44680</v>
      </c>
      <c r="B647" s="267"/>
      <c r="C647" s="267" t="s">
        <v>77</v>
      </c>
      <c r="D647" s="3" t="s">
        <v>542</v>
      </c>
      <c r="E647" s="1497"/>
      <c r="F647" s="1497">
        <v>64265.45</v>
      </c>
      <c r="G647" s="267" t="s">
        <v>27</v>
      </c>
      <c r="H647" s="3" t="s">
        <v>543</v>
      </c>
      <c r="I647" s="3"/>
    </row>
    <row r="648" spans="1:9">
      <c r="A648" s="2">
        <v>44680</v>
      </c>
      <c r="B648" s="267"/>
      <c r="C648" s="267" t="s">
        <v>88</v>
      </c>
      <c r="D648" s="3" t="s">
        <v>88</v>
      </c>
      <c r="E648" s="1497">
        <v>50300</v>
      </c>
      <c r="F648" s="1497"/>
      <c r="G648" s="267" t="s">
        <v>56</v>
      </c>
      <c r="H648" s="3"/>
      <c r="I648" s="3"/>
    </row>
    <row r="649" spans="1:9">
      <c r="A649" s="2">
        <v>44680</v>
      </c>
      <c r="B649" s="267"/>
      <c r="C649" s="267" t="s">
        <v>150</v>
      </c>
      <c r="D649" s="15" t="s">
        <v>524</v>
      </c>
      <c r="E649" s="1497">
        <v>33360</v>
      </c>
      <c r="F649" s="1497"/>
      <c r="G649" s="267" t="s">
        <v>27</v>
      </c>
      <c r="H649" s="3"/>
      <c r="I649" s="3"/>
    </row>
    <row r="650" spans="1:9">
      <c r="A650" s="245"/>
      <c r="B650" s="245"/>
      <c r="C650" s="245"/>
      <c r="D650" s="245"/>
      <c r="E650" s="245"/>
      <c r="F650" s="245"/>
      <c r="G650" s="246"/>
      <c r="H650" s="94" t="s">
        <v>544</v>
      </c>
    </row>
    <row r="651" spans="1:9">
      <c r="D651" s="247"/>
      <c r="G651" s="248"/>
      <c r="H651" s="82" t="s">
        <v>546</v>
      </c>
    </row>
    <row r="652" spans="1:9">
      <c r="D652" s="247"/>
      <c r="G652" s="248"/>
      <c r="H652" s="82" t="s">
        <v>545</v>
      </c>
    </row>
    <row r="653" spans="1:9">
      <c r="D653" s="247"/>
      <c r="G653" s="248"/>
      <c r="H653" s="82" t="s">
        <v>555</v>
      </c>
    </row>
    <row r="654" spans="1:9">
      <c r="D654" s="247"/>
      <c r="G654" s="248"/>
      <c r="H654" s="82" t="s">
        <v>556</v>
      </c>
    </row>
    <row r="655" spans="1:9">
      <c r="A655" s="244"/>
      <c r="B655" s="244"/>
      <c r="C655" s="244"/>
      <c r="D655" s="244"/>
      <c r="E655" s="1492"/>
      <c r="F655" s="1492"/>
      <c r="G655" s="248"/>
      <c r="H655" s="95" t="s">
        <v>559</v>
      </c>
    </row>
    <row r="656" spans="1:9" ht="15.75" thickBot="1">
      <c r="A656" s="267"/>
      <c r="B656" s="267"/>
      <c r="C656" s="267"/>
      <c r="D656" s="267"/>
      <c r="E656" s="1497"/>
      <c r="F656" s="1497"/>
      <c r="G656" s="267"/>
      <c r="H656" s="172"/>
    </row>
    <row r="657" spans="1:9" ht="15.75" thickBot="1">
      <c r="A657" s="260" t="s">
        <v>540</v>
      </c>
      <c r="B657" s="261"/>
      <c r="C657" s="261"/>
      <c r="D657" s="261"/>
      <c r="E657" s="261"/>
      <c r="F657" s="261"/>
      <c r="G657" s="261"/>
      <c r="H657" s="232"/>
      <c r="I657" s="233"/>
    </row>
    <row r="658" spans="1:9">
      <c r="A658" s="4">
        <v>44683</v>
      </c>
      <c r="B658" s="62"/>
      <c r="C658" s="62" t="s">
        <v>55</v>
      </c>
      <c r="D658" s="5" t="s">
        <v>547</v>
      </c>
      <c r="E658" s="62">
        <v>500</v>
      </c>
      <c r="F658" s="62"/>
      <c r="G658" s="62" t="s">
        <v>56</v>
      </c>
      <c r="H658" s="5"/>
      <c r="I658" s="5"/>
    </row>
    <row r="659" spans="1:9">
      <c r="A659" s="2">
        <v>44683</v>
      </c>
      <c r="B659" s="267"/>
      <c r="C659" s="267" t="s">
        <v>79</v>
      </c>
      <c r="D659" s="3" t="s">
        <v>151</v>
      </c>
      <c r="E659" s="1497">
        <v>2000</v>
      </c>
      <c r="F659" s="1497"/>
      <c r="G659" s="267" t="s">
        <v>56</v>
      </c>
      <c r="H659" s="3"/>
      <c r="I659" s="3"/>
    </row>
    <row r="660" spans="1:9">
      <c r="A660" s="2">
        <v>44683</v>
      </c>
      <c r="B660" s="267"/>
      <c r="C660" s="267" t="s">
        <v>62</v>
      </c>
      <c r="D660" s="3" t="s">
        <v>63</v>
      </c>
      <c r="E660" s="1497">
        <v>910</v>
      </c>
      <c r="F660" s="1497"/>
      <c r="G660" s="267" t="s">
        <v>56</v>
      </c>
      <c r="H660" s="3"/>
      <c r="I660" s="3"/>
    </row>
    <row r="661" spans="1:9">
      <c r="A661" s="2">
        <v>44683</v>
      </c>
      <c r="B661" s="267"/>
      <c r="C661" s="267" t="s">
        <v>86</v>
      </c>
      <c r="D661" s="3" t="s">
        <v>104</v>
      </c>
      <c r="E661" s="1497">
        <v>2000</v>
      </c>
      <c r="F661" s="1497"/>
      <c r="G661" s="267" t="s">
        <v>56</v>
      </c>
      <c r="H661" s="3"/>
      <c r="I661" s="3"/>
    </row>
    <row r="662" spans="1:9">
      <c r="A662" s="2">
        <v>44683</v>
      </c>
      <c r="B662" s="267"/>
      <c r="C662" s="267" t="s">
        <v>94</v>
      </c>
      <c r="D662" s="3" t="s">
        <v>548</v>
      </c>
      <c r="E662" s="1497">
        <v>2600</v>
      </c>
      <c r="F662" s="1497"/>
      <c r="G662" s="267" t="s">
        <v>27</v>
      </c>
      <c r="H662" s="3"/>
      <c r="I662" s="3"/>
    </row>
    <row r="663" spans="1:9">
      <c r="A663" s="2">
        <v>44683</v>
      </c>
      <c r="B663" s="267"/>
      <c r="C663" s="267" t="s">
        <v>55</v>
      </c>
      <c r="D663" s="3" t="s">
        <v>446</v>
      </c>
      <c r="E663" s="1497">
        <v>150</v>
      </c>
      <c r="F663" s="1497"/>
      <c r="G663" s="267" t="s">
        <v>56</v>
      </c>
      <c r="H663" s="3"/>
      <c r="I663" s="3"/>
    </row>
    <row r="664" spans="1:9">
      <c r="A664" s="2">
        <v>44683</v>
      </c>
      <c r="B664" s="267"/>
      <c r="C664" s="267" t="s">
        <v>77</v>
      </c>
      <c r="D664" s="3" t="s">
        <v>549</v>
      </c>
      <c r="E664" s="1497"/>
      <c r="F664" s="1497">
        <v>18440</v>
      </c>
      <c r="G664" s="267" t="s">
        <v>72</v>
      </c>
      <c r="H664" s="3" t="s">
        <v>550</v>
      </c>
      <c r="I664" s="3"/>
    </row>
    <row r="665" spans="1:9">
      <c r="A665" s="2">
        <v>44683</v>
      </c>
      <c r="B665" s="267"/>
      <c r="C665" s="267" t="s">
        <v>62</v>
      </c>
      <c r="D665" s="3" t="s">
        <v>38</v>
      </c>
      <c r="E665" s="1497">
        <v>150</v>
      </c>
      <c r="F665" s="1497"/>
      <c r="G665" s="267" t="s">
        <v>56</v>
      </c>
      <c r="H665" s="3"/>
      <c r="I665" s="3"/>
    </row>
    <row r="666" spans="1:9">
      <c r="A666" s="2">
        <v>44683</v>
      </c>
      <c r="B666" s="267"/>
      <c r="C666" s="267" t="s">
        <v>97</v>
      </c>
      <c r="D666" s="3" t="s">
        <v>551</v>
      </c>
      <c r="E666" s="1497">
        <v>6000</v>
      </c>
      <c r="F666" s="1497"/>
      <c r="G666" s="267" t="s">
        <v>27</v>
      </c>
      <c r="H666" s="3"/>
      <c r="I666" s="3"/>
    </row>
    <row r="667" spans="1:9">
      <c r="A667" s="2">
        <v>44684</v>
      </c>
      <c r="B667" s="267"/>
      <c r="C667" s="267" t="s">
        <v>65</v>
      </c>
      <c r="D667" s="15" t="s">
        <v>552</v>
      </c>
      <c r="E667" s="1497">
        <v>1560</v>
      </c>
      <c r="F667" s="1497"/>
      <c r="G667" s="267" t="s">
        <v>27</v>
      </c>
      <c r="H667" s="3"/>
      <c r="I667" s="3"/>
    </row>
    <row r="668" spans="1:9">
      <c r="A668" s="2">
        <v>44684</v>
      </c>
      <c r="B668" s="267"/>
      <c r="C668" s="267" t="s">
        <v>65</v>
      </c>
      <c r="D668" s="15" t="s">
        <v>553</v>
      </c>
      <c r="E668" s="1497">
        <v>3720</v>
      </c>
      <c r="F668" s="1497"/>
      <c r="G668" s="267" t="s">
        <v>27</v>
      </c>
      <c r="H668" s="3"/>
      <c r="I668" s="3"/>
    </row>
    <row r="669" spans="1:9">
      <c r="A669" s="2">
        <v>44684</v>
      </c>
      <c r="B669" s="267"/>
      <c r="C669" s="267" t="s">
        <v>150</v>
      </c>
      <c r="D669" s="3" t="s">
        <v>257</v>
      </c>
      <c r="E669" s="1497">
        <v>2806.46</v>
      </c>
      <c r="F669" s="1497"/>
      <c r="G669" s="267" t="s">
        <v>27</v>
      </c>
      <c r="H669" s="3"/>
      <c r="I669" s="3"/>
    </row>
    <row r="670" spans="1:9">
      <c r="A670" s="2">
        <v>44684</v>
      </c>
      <c r="B670" s="267"/>
      <c r="C670" s="267" t="s">
        <v>55</v>
      </c>
      <c r="D670" s="3" t="s">
        <v>554</v>
      </c>
      <c r="E670" s="1497">
        <v>2780</v>
      </c>
      <c r="F670" s="1497"/>
      <c r="G670" s="267" t="s">
        <v>56</v>
      </c>
      <c r="H670" s="3"/>
      <c r="I670" s="3"/>
    </row>
    <row r="671" spans="1:9">
      <c r="A671" s="2">
        <v>44684</v>
      </c>
      <c r="B671" s="267"/>
      <c r="C671" s="267" t="s">
        <v>92</v>
      </c>
      <c r="D671" s="3" t="s">
        <v>376</v>
      </c>
      <c r="E671" s="1497"/>
      <c r="F671" s="1497">
        <v>33500</v>
      </c>
      <c r="G671" s="267" t="s">
        <v>56</v>
      </c>
      <c r="H671" s="3"/>
      <c r="I671" s="3"/>
    </row>
    <row r="672" spans="1:9">
      <c r="A672" s="2">
        <v>44684</v>
      </c>
      <c r="B672" s="267"/>
      <c r="C672" s="267" t="s">
        <v>79</v>
      </c>
      <c r="D672" s="3" t="s">
        <v>151</v>
      </c>
      <c r="E672" s="1497">
        <v>2900</v>
      </c>
      <c r="F672" s="1497"/>
      <c r="G672" s="267" t="s">
        <v>56</v>
      </c>
      <c r="H672" s="3"/>
      <c r="I672" s="3"/>
    </row>
    <row r="673" spans="1:9">
      <c r="A673" s="2">
        <v>44684</v>
      </c>
      <c r="B673" s="267"/>
      <c r="C673" s="267" t="s">
        <v>79</v>
      </c>
      <c r="D673" s="3" t="s">
        <v>557</v>
      </c>
      <c r="E673" s="1497">
        <v>30000</v>
      </c>
      <c r="F673" s="1497"/>
      <c r="G673" s="267" t="s">
        <v>56</v>
      </c>
      <c r="H673" s="3" t="s">
        <v>558</v>
      </c>
      <c r="I673" s="3"/>
    </row>
    <row r="674" spans="1:9">
      <c r="A674" s="2">
        <v>44684</v>
      </c>
      <c r="B674" s="267"/>
      <c r="C674" s="267" t="s">
        <v>55</v>
      </c>
      <c r="D674" s="3" t="s">
        <v>109</v>
      </c>
      <c r="E674" s="1497">
        <v>900</v>
      </c>
      <c r="F674" s="1497"/>
      <c r="G674" s="267" t="s">
        <v>56</v>
      </c>
      <c r="H674" s="3"/>
      <c r="I674" s="3"/>
    </row>
    <row r="675" spans="1:9">
      <c r="A675" s="2">
        <v>44684</v>
      </c>
      <c r="B675" s="267"/>
      <c r="C675" s="267" t="s">
        <v>29</v>
      </c>
      <c r="D675" s="3" t="s">
        <v>48</v>
      </c>
      <c r="E675" s="1497">
        <v>45000</v>
      </c>
      <c r="F675" s="1497"/>
      <c r="G675" s="267" t="s">
        <v>27</v>
      </c>
      <c r="H675" s="3"/>
      <c r="I675" s="3"/>
    </row>
    <row r="676" spans="1:9">
      <c r="A676" s="2">
        <v>44685</v>
      </c>
      <c r="B676" s="267"/>
      <c r="C676" s="267" t="s">
        <v>65</v>
      </c>
      <c r="D676" s="3" t="s">
        <v>560</v>
      </c>
      <c r="E676" s="1497">
        <v>3800</v>
      </c>
      <c r="F676" s="1497"/>
      <c r="G676" s="267" t="s">
        <v>56</v>
      </c>
      <c r="H676" s="3"/>
      <c r="I676" s="3"/>
    </row>
    <row r="677" spans="1:9">
      <c r="A677" s="2">
        <v>44685</v>
      </c>
      <c r="B677" s="267"/>
      <c r="C677" s="267" t="s">
        <v>77</v>
      </c>
      <c r="D677" s="3" t="s">
        <v>561</v>
      </c>
      <c r="E677" s="1497"/>
      <c r="F677" s="1497">
        <v>144700</v>
      </c>
      <c r="G677" s="267" t="s">
        <v>27</v>
      </c>
      <c r="H677" s="3"/>
      <c r="I677" s="3"/>
    </row>
    <row r="678" spans="1:9">
      <c r="A678" s="2">
        <v>44685</v>
      </c>
      <c r="B678" s="267"/>
      <c r="C678" s="267" t="s">
        <v>55</v>
      </c>
      <c r="D678" s="3" t="s">
        <v>562</v>
      </c>
      <c r="E678" s="1497">
        <v>537</v>
      </c>
      <c r="F678" s="1497"/>
      <c r="G678" s="267" t="s">
        <v>56</v>
      </c>
      <c r="H678" s="3"/>
      <c r="I678" s="3"/>
    </row>
    <row r="679" spans="1:9">
      <c r="A679" s="2">
        <v>44685</v>
      </c>
      <c r="B679" s="267"/>
      <c r="C679" s="267" t="s">
        <v>564</v>
      </c>
      <c r="D679" s="3" t="s">
        <v>563</v>
      </c>
      <c r="E679" s="1497">
        <v>350</v>
      </c>
      <c r="F679" s="1497"/>
      <c r="G679" s="267" t="s">
        <v>56</v>
      </c>
      <c r="H679" s="3"/>
      <c r="I679" s="3"/>
    </row>
    <row r="680" spans="1:9">
      <c r="A680" s="2">
        <v>44685</v>
      </c>
      <c r="B680" s="267"/>
      <c r="C680" s="267" t="s">
        <v>55</v>
      </c>
      <c r="D680" s="3" t="s">
        <v>39</v>
      </c>
      <c r="E680" s="1497"/>
      <c r="F680" s="1497">
        <v>2960</v>
      </c>
      <c r="G680" s="267" t="s">
        <v>27</v>
      </c>
      <c r="H680" s="3"/>
      <c r="I680" s="3"/>
    </row>
    <row r="681" spans="1:9">
      <c r="A681" s="2">
        <v>44685</v>
      </c>
      <c r="B681" s="267"/>
      <c r="C681" s="267" t="s">
        <v>55</v>
      </c>
      <c r="D681" s="3" t="s">
        <v>565</v>
      </c>
      <c r="E681" s="1497">
        <v>2000</v>
      </c>
      <c r="F681" s="1497"/>
      <c r="G681" s="267" t="s">
        <v>56</v>
      </c>
      <c r="H681" s="3"/>
      <c r="I681" s="3"/>
    </row>
    <row r="682" spans="1:9">
      <c r="A682" s="2">
        <v>44685</v>
      </c>
      <c r="B682" s="267"/>
      <c r="C682" s="267" t="s">
        <v>77</v>
      </c>
      <c r="D682" s="3" t="s">
        <v>566</v>
      </c>
      <c r="E682" s="1497"/>
      <c r="F682" s="1497">
        <v>14900</v>
      </c>
      <c r="G682" s="267" t="s">
        <v>56</v>
      </c>
      <c r="H682" s="3" t="s">
        <v>567</v>
      </c>
      <c r="I682" s="3"/>
    </row>
    <row r="683" spans="1:9">
      <c r="A683" s="2">
        <v>44685</v>
      </c>
      <c r="B683" s="267"/>
      <c r="C683" s="267" t="s">
        <v>68</v>
      </c>
      <c r="D683" s="15" t="s">
        <v>453</v>
      </c>
      <c r="E683" s="1497">
        <v>1500</v>
      </c>
      <c r="F683" s="1497"/>
      <c r="G683" s="267" t="s">
        <v>56</v>
      </c>
      <c r="H683" s="3"/>
      <c r="I683" s="3"/>
    </row>
    <row r="684" spans="1:9">
      <c r="A684" s="2">
        <v>44685</v>
      </c>
      <c r="B684" s="267"/>
      <c r="C684" s="267" t="s">
        <v>92</v>
      </c>
      <c r="D684" s="3" t="s">
        <v>568</v>
      </c>
      <c r="E684" s="1497"/>
      <c r="F684" s="1497">
        <v>30550</v>
      </c>
      <c r="G684" s="267" t="s">
        <v>27</v>
      </c>
      <c r="H684" s="3"/>
      <c r="I684" s="3"/>
    </row>
    <row r="685" spans="1:9">
      <c r="A685" s="2">
        <v>44685</v>
      </c>
      <c r="B685" s="267"/>
      <c r="C685" s="267" t="s">
        <v>29</v>
      </c>
      <c r="D685" s="3" t="s">
        <v>80</v>
      </c>
      <c r="E685" s="1497">
        <v>2500</v>
      </c>
      <c r="F685" s="1497"/>
      <c r="G685" s="267" t="s">
        <v>56</v>
      </c>
      <c r="H685" s="3" t="s">
        <v>569</v>
      </c>
      <c r="I685" s="3"/>
    </row>
    <row r="686" spans="1:9">
      <c r="A686" s="2">
        <v>44685</v>
      </c>
      <c r="B686" s="267"/>
      <c r="C686" s="267" t="s">
        <v>29</v>
      </c>
      <c r="D686" s="3" t="s">
        <v>570</v>
      </c>
      <c r="E686" s="1497">
        <v>2500</v>
      </c>
      <c r="F686" s="1497"/>
      <c r="G686" s="267" t="s">
        <v>56</v>
      </c>
      <c r="H686" s="3" t="s">
        <v>377</v>
      </c>
      <c r="I686" s="3"/>
    </row>
    <row r="687" spans="1:9">
      <c r="A687" s="2">
        <v>44686</v>
      </c>
      <c r="B687" s="267"/>
      <c r="C687" s="267" t="s">
        <v>79</v>
      </c>
      <c r="D687" s="3" t="s">
        <v>151</v>
      </c>
      <c r="E687" s="1497">
        <v>1856.19</v>
      </c>
      <c r="F687" s="1497"/>
      <c r="G687" s="267" t="s">
        <v>56</v>
      </c>
      <c r="H687" s="3"/>
      <c r="I687" s="3"/>
    </row>
    <row r="688" spans="1:9">
      <c r="A688" s="2">
        <v>44686</v>
      </c>
      <c r="B688" s="267"/>
      <c r="C688" s="267" t="s">
        <v>55</v>
      </c>
      <c r="D688" s="15" t="s">
        <v>446</v>
      </c>
      <c r="E688" s="1497">
        <v>320</v>
      </c>
      <c r="F688" s="1497"/>
      <c r="G688" s="267" t="s">
        <v>56</v>
      </c>
      <c r="H688" s="3"/>
      <c r="I688" s="3"/>
    </row>
    <row r="689" spans="1:9">
      <c r="A689" s="2">
        <v>44686</v>
      </c>
      <c r="B689" s="267"/>
      <c r="C689" s="267" t="s">
        <v>55</v>
      </c>
      <c r="D689" s="15" t="s">
        <v>225</v>
      </c>
      <c r="E689" s="1497">
        <v>500</v>
      </c>
      <c r="F689" s="1497"/>
      <c r="G689" s="267" t="s">
        <v>56</v>
      </c>
      <c r="H689" s="3"/>
      <c r="I689" s="3"/>
    </row>
    <row r="690" spans="1:9">
      <c r="A690" s="2">
        <v>44686</v>
      </c>
      <c r="B690" s="267"/>
      <c r="C690" s="267" t="s">
        <v>77</v>
      </c>
      <c r="D690" s="15" t="s">
        <v>488</v>
      </c>
      <c r="E690" s="1497"/>
      <c r="F690" s="1497">
        <v>23000</v>
      </c>
      <c r="G690" s="267" t="s">
        <v>56</v>
      </c>
      <c r="H690" s="3"/>
      <c r="I690" s="3"/>
    </row>
    <row r="691" spans="1:9">
      <c r="A691" s="2">
        <v>44686</v>
      </c>
      <c r="B691" s="267"/>
      <c r="C691" s="267" t="s">
        <v>29</v>
      </c>
      <c r="D691" s="15" t="s">
        <v>80</v>
      </c>
      <c r="E691" s="1497">
        <v>3500</v>
      </c>
      <c r="F691" s="1497"/>
      <c r="G691" s="267" t="s">
        <v>56</v>
      </c>
      <c r="H691" s="3" t="s">
        <v>571</v>
      </c>
      <c r="I691" s="3"/>
    </row>
    <row r="692" spans="1:9">
      <c r="A692" s="2">
        <v>44686</v>
      </c>
      <c r="B692" s="267"/>
      <c r="C692" s="267" t="s">
        <v>79</v>
      </c>
      <c r="D692" s="15" t="s">
        <v>195</v>
      </c>
      <c r="E692" s="1497">
        <v>3000</v>
      </c>
      <c r="F692" s="1497"/>
      <c r="G692" s="267" t="s">
        <v>56</v>
      </c>
      <c r="H692" s="3"/>
      <c r="I692" s="3"/>
    </row>
    <row r="693" spans="1:9">
      <c r="A693" s="2">
        <v>44686</v>
      </c>
      <c r="B693" s="267"/>
      <c r="C693" s="267" t="s">
        <v>92</v>
      </c>
      <c r="D693" s="15" t="s">
        <v>572</v>
      </c>
      <c r="E693" s="1497"/>
      <c r="F693" s="1497">
        <v>3900</v>
      </c>
      <c r="G693" s="267" t="s">
        <v>56</v>
      </c>
      <c r="H693" s="3"/>
      <c r="I693" s="3"/>
    </row>
    <row r="694" spans="1:9">
      <c r="A694" s="2">
        <v>44686</v>
      </c>
      <c r="B694" s="267"/>
      <c r="C694" s="267" t="s">
        <v>92</v>
      </c>
      <c r="D694" s="15" t="s">
        <v>428</v>
      </c>
      <c r="E694" s="1497"/>
      <c r="F694" s="1497">
        <v>2500</v>
      </c>
      <c r="G694" s="267" t="s">
        <v>56</v>
      </c>
      <c r="H694" s="3"/>
      <c r="I694" s="3"/>
    </row>
    <row r="695" spans="1:9">
      <c r="A695" s="2">
        <v>44687</v>
      </c>
      <c r="B695" s="267"/>
      <c r="C695" s="267" t="s">
        <v>79</v>
      </c>
      <c r="D695" s="3" t="s">
        <v>573</v>
      </c>
      <c r="E695" s="1497"/>
      <c r="F695" s="1497">
        <v>609</v>
      </c>
      <c r="G695" s="267" t="s">
        <v>27</v>
      </c>
      <c r="H695" s="3"/>
      <c r="I695" s="3"/>
    </row>
    <row r="696" spans="1:9">
      <c r="A696" s="2">
        <v>44687</v>
      </c>
      <c r="B696" s="267"/>
      <c r="C696" s="267" t="s">
        <v>150</v>
      </c>
      <c r="D696" s="15" t="s">
        <v>450</v>
      </c>
      <c r="E696" s="1497">
        <v>9000</v>
      </c>
      <c r="F696" s="1497"/>
      <c r="G696" s="267" t="s">
        <v>27</v>
      </c>
      <c r="H696" s="3"/>
      <c r="I696" s="3"/>
    </row>
    <row r="697" spans="1:9" ht="30">
      <c r="A697" s="2">
        <v>44687</v>
      </c>
      <c r="B697" s="267"/>
      <c r="C697" s="267" t="s">
        <v>77</v>
      </c>
      <c r="D697" s="15" t="s">
        <v>561</v>
      </c>
      <c r="E697" s="1497"/>
      <c r="F697" s="1497">
        <v>289400</v>
      </c>
      <c r="G697" s="267" t="s">
        <v>72</v>
      </c>
      <c r="H697" s="69" t="s">
        <v>574</v>
      </c>
      <c r="I697" s="3"/>
    </row>
    <row r="698" spans="1:9">
      <c r="A698" s="2">
        <v>44687</v>
      </c>
      <c r="B698" s="267"/>
      <c r="C698" s="267" t="s">
        <v>29</v>
      </c>
      <c r="D698" s="3" t="s">
        <v>71</v>
      </c>
      <c r="E698" s="1497">
        <v>47000</v>
      </c>
      <c r="F698" s="1497"/>
      <c r="G698" s="267" t="s">
        <v>27</v>
      </c>
      <c r="H698" s="3"/>
      <c r="I698" s="3"/>
    </row>
    <row r="699" spans="1:9" ht="30">
      <c r="A699" s="2">
        <v>44687</v>
      </c>
      <c r="B699" s="267"/>
      <c r="C699" s="267" t="s">
        <v>29</v>
      </c>
      <c r="D699" s="3" t="s">
        <v>71</v>
      </c>
      <c r="E699" s="1497">
        <v>289400</v>
      </c>
      <c r="F699" s="1497"/>
      <c r="G699" s="267" t="s">
        <v>72</v>
      </c>
      <c r="H699" s="69" t="s">
        <v>574</v>
      </c>
      <c r="I699" s="3"/>
    </row>
    <row r="700" spans="1:9">
      <c r="A700" s="2">
        <v>44687</v>
      </c>
      <c r="B700" s="267"/>
      <c r="C700" s="267" t="s">
        <v>29</v>
      </c>
      <c r="D700" s="15" t="s">
        <v>246</v>
      </c>
      <c r="E700" s="1497">
        <v>2718.88</v>
      </c>
      <c r="F700" s="1497"/>
      <c r="G700" s="267" t="s">
        <v>27</v>
      </c>
      <c r="H700" s="3"/>
      <c r="I700" s="3"/>
    </row>
    <row r="701" spans="1:9">
      <c r="A701" s="2">
        <v>44687</v>
      </c>
      <c r="B701" s="267"/>
      <c r="C701" s="267" t="s">
        <v>88</v>
      </c>
      <c r="D701" s="3" t="s">
        <v>144</v>
      </c>
      <c r="E701" s="1497">
        <v>10000</v>
      </c>
      <c r="F701" s="1497"/>
      <c r="G701" s="267" t="s">
        <v>27</v>
      </c>
      <c r="H701" s="3"/>
      <c r="I701" s="3"/>
    </row>
    <row r="702" spans="1:9">
      <c r="A702" s="2">
        <v>44687</v>
      </c>
      <c r="B702" s="267"/>
      <c r="C702" s="267" t="s">
        <v>88</v>
      </c>
      <c r="D702" s="3" t="s">
        <v>575</v>
      </c>
      <c r="E702" s="1497">
        <v>59300</v>
      </c>
      <c r="F702" s="1497"/>
      <c r="G702" s="267" t="s">
        <v>56</v>
      </c>
      <c r="H702" s="94" t="s">
        <v>544</v>
      </c>
      <c r="I702" s="3"/>
    </row>
    <row r="703" spans="1:9">
      <c r="A703" s="267"/>
      <c r="B703" s="267"/>
      <c r="C703" s="267"/>
      <c r="D703" s="3"/>
      <c r="E703" s="1497"/>
      <c r="F703" s="1497"/>
      <c r="G703" s="267"/>
      <c r="H703" s="82" t="s">
        <v>576</v>
      </c>
      <c r="I703" s="3"/>
    </row>
    <row r="704" spans="1:9">
      <c r="A704" s="267"/>
      <c r="B704" s="267"/>
      <c r="C704" s="267"/>
      <c r="D704" s="3"/>
      <c r="E704" s="1497"/>
      <c r="F704" s="1497"/>
      <c r="G704" s="267"/>
      <c r="H704" s="82" t="s">
        <v>577</v>
      </c>
      <c r="I704" s="3"/>
    </row>
    <row r="705" spans="1:9">
      <c r="A705" s="267"/>
      <c r="B705" s="267"/>
      <c r="C705" s="267"/>
      <c r="D705" s="3"/>
      <c r="E705" s="1497"/>
      <c r="F705" s="1497"/>
      <c r="G705" s="267"/>
      <c r="H705" s="82" t="s">
        <v>579</v>
      </c>
      <c r="I705" s="3"/>
    </row>
    <row r="706" spans="1:9">
      <c r="A706" s="267"/>
      <c r="B706" s="267"/>
      <c r="C706" s="267"/>
      <c r="D706" s="3"/>
      <c r="E706" s="1497"/>
      <c r="F706" s="1497"/>
      <c r="G706" s="267"/>
      <c r="H706" s="82" t="s">
        <v>556</v>
      </c>
      <c r="I706" s="3"/>
    </row>
    <row r="707" spans="1:9">
      <c r="A707" s="98"/>
      <c r="B707" s="98"/>
      <c r="C707" s="98"/>
      <c r="D707" s="99"/>
      <c r="E707" s="98"/>
      <c r="F707" s="98"/>
      <c r="G707" s="98"/>
      <c r="H707" s="97" t="s">
        <v>578</v>
      </c>
      <c r="I707" s="99"/>
    </row>
    <row r="708" spans="1:9">
      <c r="A708" s="2">
        <v>44690</v>
      </c>
      <c r="B708" s="267"/>
      <c r="C708" s="267" t="s">
        <v>79</v>
      </c>
      <c r="D708" s="3" t="s">
        <v>151</v>
      </c>
      <c r="E708" s="1497">
        <v>1277.45</v>
      </c>
      <c r="F708" s="1497"/>
      <c r="G708" s="267" t="s">
        <v>27</v>
      </c>
      <c r="H708" s="3"/>
      <c r="I708" s="3"/>
    </row>
    <row r="709" spans="1:9">
      <c r="A709" s="2">
        <v>44690</v>
      </c>
      <c r="B709" s="267"/>
      <c r="C709" s="267" t="s">
        <v>86</v>
      </c>
      <c r="D709" s="3" t="s">
        <v>104</v>
      </c>
      <c r="E709" s="1497">
        <v>2000</v>
      </c>
      <c r="F709" s="1497"/>
      <c r="G709" s="267" t="s">
        <v>56</v>
      </c>
      <c r="H709" s="3"/>
      <c r="I709" s="3"/>
    </row>
    <row r="710" spans="1:9">
      <c r="A710" s="2">
        <v>44690</v>
      </c>
      <c r="B710" s="267"/>
      <c r="C710" s="267" t="s">
        <v>55</v>
      </c>
      <c r="D710" s="3" t="s">
        <v>238</v>
      </c>
      <c r="E710" s="1497">
        <v>310</v>
      </c>
      <c r="F710" s="1497"/>
      <c r="G710" s="267" t="s">
        <v>56</v>
      </c>
      <c r="H710" s="3"/>
      <c r="I710" s="3"/>
    </row>
    <row r="711" spans="1:9">
      <c r="A711" s="2">
        <v>44690</v>
      </c>
      <c r="B711" s="267"/>
      <c r="C711" s="267" t="s">
        <v>150</v>
      </c>
      <c r="D711" s="3" t="s">
        <v>278</v>
      </c>
      <c r="E711" s="1497">
        <v>17000</v>
      </c>
      <c r="F711" s="1497"/>
      <c r="G711" s="267" t="s">
        <v>27</v>
      </c>
      <c r="H711" s="3"/>
      <c r="I711" s="3"/>
    </row>
    <row r="712" spans="1:9">
      <c r="A712" s="2">
        <v>44690</v>
      </c>
      <c r="B712" s="267"/>
      <c r="C712" s="267" t="s">
        <v>150</v>
      </c>
      <c r="D712" s="3" t="s">
        <v>278</v>
      </c>
      <c r="E712" s="1497"/>
      <c r="F712" s="1497">
        <v>17000</v>
      </c>
      <c r="G712" s="267" t="s">
        <v>108</v>
      </c>
      <c r="H712" s="3"/>
      <c r="I712" s="3"/>
    </row>
    <row r="713" spans="1:9">
      <c r="A713" s="2">
        <v>44691</v>
      </c>
      <c r="B713" s="267"/>
      <c r="C713" s="267" t="s">
        <v>62</v>
      </c>
      <c r="D713" s="3" t="s">
        <v>335</v>
      </c>
      <c r="E713" s="1497">
        <v>210</v>
      </c>
      <c r="F713" s="1497"/>
      <c r="G713" s="267" t="s">
        <v>56</v>
      </c>
      <c r="H713" s="3" t="s">
        <v>377</v>
      </c>
      <c r="I713" s="3"/>
    </row>
    <row r="714" spans="1:9">
      <c r="A714" s="2">
        <v>44691</v>
      </c>
      <c r="B714" s="267"/>
      <c r="C714" s="267" t="s">
        <v>55</v>
      </c>
      <c r="D714" s="3" t="s">
        <v>238</v>
      </c>
      <c r="E714" s="1497">
        <v>610</v>
      </c>
      <c r="F714" s="1497"/>
      <c r="G714" s="267" t="s">
        <v>56</v>
      </c>
      <c r="H714" s="3" t="s">
        <v>377</v>
      </c>
      <c r="I714" s="3"/>
    </row>
    <row r="715" spans="1:9">
      <c r="A715" s="2">
        <v>44691</v>
      </c>
      <c r="B715" s="267"/>
      <c r="C715" s="267" t="s">
        <v>92</v>
      </c>
      <c r="D715" s="71" t="s">
        <v>533</v>
      </c>
      <c r="E715" s="1497"/>
      <c r="F715" s="1497">
        <v>48141.08</v>
      </c>
      <c r="G715" s="267" t="s">
        <v>27</v>
      </c>
      <c r="H715" s="3"/>
      <c r="I715" s="3"/>
    </row>
    <row r="716" spans="1:9">
      <c r="A716" s="2">
        <v>44691</v>
      </c>
      <c r="B716" s="267"/>
      <c r="C716" s="267" t="s">
        <v>185</v>
      </c>
      <c r="D716" s="3" t="s">
        <v>580</v>
      </c>
      <c r="E716" s="1497"/>
      <c r="F716" s="1497">
        <v>40036.089999999997</v>
      </c>
      <c r="G716" s="267" t="s">
        <v>27</v>
      </c>
      <c r="H716" s="3"/>
      <c r="I716" s="3"/>
    </row>
    <row r="717" spans="1:9">
      <c r="A717" s="2">
        <v>44691</v>
      </c>
      <c r="B717" s="267"/>
      <c r="C717" s="267" t="s">
        <v>29</v>
      </c>
      <c r="D717" s="3" t="s">
        <v>426</v>
      </c>
      <c r="E717" s="1497">
        <v>16375.79</v>
      </c>
      <c r="F717" s="1497"/>
      <c r="G717" s="267" t="s">
        <v>27</v>
      </c>
      <c r="H717" s="3"/>
      <c r="I717" s="3"/>
    </row>
    <row r="718" spans="1:9">
      <c r="A718" s="2">
        <v>44691</v>
      </c>
      <c r="B718" s="267"/>
      <c r="C718" s="267" t="s">
        <v>29</v>
      </c>
      <c r="D718" s="3" t="s">
        <v>448</v>
      </c>
      <c r="E718" s="1497">
        <v>10000</v>
      </c>
      <c r="F718" s="1497"/>
      <c r="G718" s="267" t="s">
        <v>27</v>
      </c>
      <c r="H718" s="3"/>
      <c r="I718" s="3"/>
    </row>
    <row r="719" spans="1:9">
      <c r="A719" s="2">
        <v>44691</v>
      </c>
      <c r="B719" s="267"/>
      <c r="C719" s="267" t="s">
        <v>29</v>
      </c>
      <c r="D719" s="3" t="s">
        <v>44</v>
      </c>
      <c r="E719" s="1497">
        <v>10000</v>
      </c>
      <c r="F719" s="1497"/>
      <c r="G719" s="267" t="s">
        <v>27</v>
      </c>
      <c r="H719" s="3"/>
      <c r="I719" s="3"/>
    </row>
    <row r="720" spans="1:9">
      <c r="A720" s="2">
        <v>44691</v>
      </c>
      <c r="B720" s="267"/>
      <c r="C720" s="267" t="s">
        <v>29</v>
      </c>
      <c r="D720" s="3" t="s">
        <v>207</v>
      </c>
      <c r="E720" s="1497">
        <v>10000</v>
      </c>
      <c r="F720" s="1497"/>
      <c r="G720" s="267" t="s">
        <v>27</v>
      </c>
      <c r="H720" s="3"/>
      <c r="I720" s="3"/>
    </row>
    <row r="721" spans="1:9">
      <c r="A721" s="2">
        <v>44692</v>
      </c>
      <c r="B721" s="267"/>
      <c r="C721" s="267" t="s">
        <v>97</v>
      </c>
      <c r="D721" s="3" t="s">
        <v>581</v>
      </c>
      <c r="E721" s="1497">
        <v>2500</v>
      </c>
      <c r="F721" s="1497"/>
      <c r="G721" s="267" t="s">
        <v>590</v>
      </c>
      <c r="H721" s="3"/>
      <c r="I721" s="3"/>
    </row>
    <row r="722" spans="1:9">
      <c r="A722" s="2">
        <v>44692</v>
      </c>
      <c r="B722" s="267"/>
      <c r="C722" s="267" t="s">
        <v>92</v>
      </c>
      <c r="D722" s="71" t="s">
        <v>582</v>
      </c>
      <c r="E722" s="1497"/>
      <c r="F722" s="1497">
        <v>88419.92</v>
      </c>
      <c r="G722" s="267" t="s">
        <v>27</v>
      </c>
      <c r="H722" s="3"/>
      <c r="I722" s="3"/>
    </row>
    <row r="723" spans="1:9">
      <c r="A723" s="2">
        <v>44692</v>
      </c>
      <c r="B723" s="267"/>
      <c r="C723" s="267" t="s">
        <v>79</v>
      </c>
      <c r="D723" s="3" t="s">
        <v>583</v>
      </c>
      <c r="E723" s="1497">
        <v>12210</v>
      </c>
      <c r="F723" s="1497"/>
      <c r="G723" s="267" t="s">
        <v>27</v>
      </c>
      <c r="H723" s="3"/>
      <c r="I723" s="3"/>
    </row>
    <row r="724" spans="1:9">
      <c r="A724" s="2">
        <v>44692</v>
      </c>
      <c r="B724" s="267"/>
      <c r="C724" s="267" t="s">
        <v>79</v>
      </c>
      <c r="D724" s="3" t="s">
        <v>278</v>
      </c>
      <c r="E724" s="1497">
        <v>12500</v>
      </c>
      <c r="F724" s="1497"/>
      <c r="G724" s="267" t="s">
        <v>27</v>
      </c>
      <c r="H724" s="3"/>
      <c r="I724" s="3"/>
    </row>
    <row r="725" spans="1:9">
      <c r="A725" s="2">
        <v>44692</v>
      </c>
      <c r="B725" s="267"/>
      <c r="C725" s="267" t="s">
        <v>79</v>
      </c>
      <c r="D725" s="3" t="s">
        <v>278</v>
      </c>
      <c r="E725" s="1497"/>
      <c r="F725" s="1497">
        <v>12500</v>
      </c>
      <c r="G725" s="267" t="s">
        <v>108</v>
      </c>
      <c r="H725" s="3"/>
      <c r="I725" s="3"/>
    </row>
    <row r="726" spans="1:9">
      <c r="A726" s="2">
        <v>44692</v>
      </c>
      <c r="B726" s="267"/>
      <c r="C726" s="267" t="s">
        <v>29</v>
      </c>
      <c r="D726" s="3" t="s">
        <v>36</v>
      </c>
      <c r="E726" s="1497">
        <v>21600</v>
      </c>
      <c r="F726" s="1497"/>
      <c r="G726" s="267" t="s">
        <v>584</v>
      </c>
      <c r="H726" s="3"/>
      <c r="I726" s="3"/>
    </row>
    <row r="727" spans="1:9">
      <c r="A727" s="2">
        <v>44692</v>
      </c>
      <c r="B727" s="267"/>
      <c r="C727" s="267" t="s">
        <v>79</v>
      </c>
      <c r="D727" s="3" t="s">
        <v>36</v>
      </c>
      <c r="E727" s="1497">
        <v>10000</v>
      </c>
      <c r="F727" s="1497"/>
      <c r="G727" s="267" t="s">
        <v>584</v>
      </c>
      <c r="H727" s="3"/>
      <c r="I727" s="3"/>
    </row>
    <row r="728" spans="1:9">
      <c r="A728" s="2">
        <v>44692</v>
      </c>
      <c r="B728" s="267"/>
      <c r="C728" s="267" t="s">
        <v>587</v>
      </c>
      <c r="D728" s="3" t="s">
        <v>585</v>
      </c>
      <c r="E728" s="1497"/>
      <c r="F728" s="1497">
        <v>2800</v>
      </c>
      <c r="G728" s="267" t="s">
        <v>56</v>
      </c>
      <c r="H728" s="3"/>
      <c r="I728" s="3"/>
    </row>
    <row r="729" spans="1:9">
      <c r="A729" s="2">
        <v>44692</v>
      </c>
      <c r="B729" s="267"/>
      <c r="C729" s="267" t="s">
        <v>92</v>
      </c>
      <c r="D729" s="3" t="s">
        <v>586</v>
      </c>
      <c r="E729" s="1497"/>
      <c r="F729" s="1497">
        <v>3500</v>
      </c>
      <c r="G729" s="267" t="s">
        <v>72</v>
      </c>
      <c r="H729" s="3" t="s">
        <v>588</v>
      </c>
      <c r="I729" s="3"/>
    </row>
    <row r="730" spans="1:9">
      <c r="A730" s="2">
        <v>44692</v>
      </c>
      <c r="B730" s="267"/>
      <c r="C730" s="267" t="s">
        <v>103</v>
      </c>
      <c r="D730" s="3" t="s">
        <v>589</v>
      </c>
      <c r="E730" s="1497">
        <v>18362.5</v>
      </c>
      <c r="F730" s="1497"/>
      <c r="G730" s="267" t="s">
        <v>27</v>
      </c>
      <c r="H730" s="3"/>
      <c r="I730" s="3"/>
    </row>
    <row r="731" spans="1:9">
      <c r="A731" s="2">
        <v>44692</v>
      </c>
      <c r="B731" s="267"/>
      <c r="C731" s="267" t="s">
        <v>62</v>
      </c>
      <c r="D731" s="3" t="s">
        <v>38</v>
      </c>
      <c r="E731" s="1497">
        <v>66</v>
      </c>
      <c r="F731" s="1497"/>
      <c r="G731" s="267" t="s">
        <v>56</v>
      </c>
      <c r="H731" s="3"/>
      <c r="I731" s="3"/>
    </row>
    <row r="732" spans="1:9">
      <c r="A732" s="2">
        <v>44692</v>
      </c>
      <c r="B732" s="267"/>
      <c r="C732" s="267" t="s">
        <v>92</v>
      </c>
      <c r="D732" s="3" t="s">
        <v>591</v>
      </c>
      <c r="E732" s="1497"/>
      <c r="F732" s="1497">
        <v>4650</v>
      </c>
      <c r="G732" s="267" t="s">
        <v>27</v>
      </c>
      <c r="H732" s="3"/>
      <c r="I732" s="3"/>
    </row>
    <row r="733" spans="1:9">
      <c r="A733" s="2">
        <v>44693</v>
      </c>
      <c r="B733" s="267"/>
      <c r="C733" s="267" t="s">
        <v>88</v>
      </c>
      <c r="D733" s="3" t="s">
        <v>598</v>
      </c>
      <c r="E733" s="1497">
        <v>2000</v>
      </c>
      <c r="F733" s="1497"/>
      <c r="G733" s="267" t="s">
        <v>56</v>
      </c>
      <c r="H733" s="3"/>
      <c r="I733" s="3"/>
    </row>
    <row r="734" spans="1:9">
      <c r="A734" s="2">
        <v>44693</v>
      </c>
      <c r="B734" s="267"/>
      <c r="C734" s="267" t="s">
        <v>86</v>
      </c>
      <c r="D734" s="3" t="s">
        <v>104</v>
      </c>
      <c r="E734" s="1497">
        <v>2000</v>
      </c>
      <c r="F734" s="1497"/>
      <c r="G734" s="267" t="s">
        <v>56</v>
      </c>
      <c r="H734" s="3"/>
      <c r="I734" s="3"/>
    </row>
    <row r="735" spans="1:9">
      <c r="A735" s="2">
        <v>44693</v>
      </c>
      <c r="B735" s="267" t="s">
        <v>406</v>
      </c>
      <c r="C735" s="267" t="s">
        <v>94</v>
      </c>
      <c r="D735" s="3" t="s">
        <v>395</v>
      </c>
      <c r="E735" s="1497">
        <v>1663.19</v>
      </c>
      <c r="F735" s="1497"/>
      <c r="G735" s="267" t="s">
        <v>27</v>
      </c>
      <c r="H735" s="3"/>
      <c r="I735" s="3"/>
    </row>
    <row r="736" spans="1:9">
      <c r="A736" s="2">
        <v>44693</v>
      </c>
      <c r="B736" s="267" t="s">
        <v>406</v>
      </c>
      <c r="C736" s="267" t="s">
        <v>94</v>
      </c>
      <c r="D736" s="3" t="s">
        <v>469</v>
      </c>
      <c r="E736" s="1497">
        <v>5623.17</v>
      </c>
      <c r="F736" s="1497"/>
      <c r="G736" s="267" t="s">
        <v>27</v>
      </c>
      <c r="H736" s="3"/>
      <c r="I736" s="3"/>
    </row>
    <row r="737" spans="1:9">
      <c r="A737" s="2">
        <v>44694</v>
      </c>
      <c r="B737" s="267"/>
      <c r="C737" s="267" t="s">
        <v>86</v>
      </c>
      <c r="D737" s="3" t="s">
        <v>593</v>
      </c>
      <c r="E737" s="1497">
        <v>2500</v>
      </c>
      <c r="F737" s="1497"/>
      <c r="G737" s="267" t="s">
        <v>56</v>
      </c>
      <c r="H737" s="3" t="s">
        <v>454</v>
      </c>
      <c r="I737" s="3"/>
    </row>
    <row r="738" spans="1:9">
      <c r="A738" s="2">
        <v>44694</v>
      </c>
      <c r="B738" s="267"/>
      <c r="C738" s="267" t="s">
        <v>29</v>
      </c>
      <c r="D738" s="15" t="s">
        <v>80</v>
      </c>
      <c r="E738" s="1497">
        <v>3500</v>
      </c>
      <c r="F738" s="1497"/>
      <c r="G738" s="267" t="s">
        <v>56</v>
      </c>
      <c r="H738" s="3" t="s">
        <v>592</v>
      </c>
      <c r="I738" s="3"/>
    </row>
    <row r="739" spans="1:9">
      <c r="A739" s="2">
        <v>44694</v>
      </c>
      <c r="B739" s="267"/>
      <c r="C739" s="267" t="s">
        <v>65</v>
      </c>
      <c r="D739" s="3" t="s">
        <v>594</v>
      </c>
      <c r="E739" s="1497">
        <v>13438.9</v>
      </c>
      <c r="F739" s="1497"/>
      <c r="G739" s="267"/>
      <c r="H739" s="3"/>
      <c r="I739" s="3"/>
    </row>
    <row r="740" spans="1:9">
      <c r="A740" s="2">
        <v>44694</v>
      </c>
      <c r="B740" s="267"/>
      <c r="C740" s="267" t="s">
        <v>65</v>
      </c>
      <c r="D740" s="3" t="s">
        <v>595</v>
      </c>
      <c r="E740" s="1497">
        <v>1063.7</v>
      </c>
      <c r="F740" s="1497"/>
      <c r="G740" s="267"/>
      <c r="H740" s="3"/>
      <c r="I740" s="3"/>
    </row>
    <row r="741" spans="1:9">
      <c r="A741" s="2">
        <v>44694</v>
      </c>
      <c r="B741" s="267"/>
      <c r="C741" s="267" t="s">
        <v>65</v>
      </c>
      <c r="D741" s="3" t="s">
        <v>596</v>
      </c>
      <c r="E741" s="1497">
        <v>1010.1</v>
      </c>
      <c r="F741" s="1497"/>
      <c r="G741" s="267"/>
      <c r="H741" s="3"/>
      <c r="I741" s="3"/>
    </row>
    <row r="742" spans="1:9">
      <c r="A742" s="2">
        <v>44694</v>
      </c>
      <c r="B742" s="267"/>
      <c r="C742" s="267" t="s">
        <v>77</v>
      </c>
      <c r="D742" s="15" t="s">
        <v>422</v>
      </c>
      <c r="E742" s="1497"/>
      <c r="F742" s="1497">
        <v>33200</v>
      </c>
      <c r="G742" s="267" t="s">
        <v>72</v>
      </c>
      <c r="H742" s="3" t="s">
        <v>597</v>
      </c>
      <c r="I742" s="3"/>
    </row>
    <row r="743" spans="1:9">
      <c r="A743" s="2">
        <v>44694</v>
      </c>
      <c r="B743" s="267"/>
      <c r="C743" s="267" t="s">
        <v>77</v>
      </c>
      <c r="D743" s="3" t="s">
        <v>359</v>
      </c>
      <c r="E743" s="1497"/>
      <c r="F743" s="1497">
        <v>47000</v>
      </c>
      <c r="G743" s="267" t="s">
        <v>56</v>
      </c>
      <c r="H743" s="3"/>
      <c r="I743" s="3"/>
    </row>
    <row r="744" spans="1:9">
      <c r="A744" s="2">
        <v>44694</v>
      </c>
      <c r="B744" s="267"/>
      <c r="C744" s="267" t="s">
        <v>88</v>
      </c>
      <c r="D744" s="3" t="s">
        <v>465</v>
      </c>
      <c r="E744" s="1497">
        <v>57300</v>
      </c>
      <c r="F744" s="1497"/>
      <c r="G744" s="267" t="s">
        <v>56</v>
      </c>
      <c r="H744" s="3"/>
      <c r="I744" s="3"/>
    </row>
    <row r="745" spans="1:9">
      <c r="A745" s="2">
        <v>44694</v>
      </c>
      <c r="B745" s="267"/>
      <c r="C745" s="267" t="s">
        <v>29</v>
      </c>
      <c r="D745" s="3" t="s">
        <v>12</v>
      </c>
      <c r="E745" s="1497">
        <v>55140</v>
      </c>
      <c r="F745" s="1497"/>
      <c r="G745" s="267" t="s">
        <v>72</v>
      </c>
      <c r="H745" s="100">
        <v>21790</v>
      </c>
      <c r="I745" s="3"/>
    </row>
    <row r="746" spans="1:9">
      <c r="H746" s="101" t="s">
        <v>600</v>
      </c>
    </row>
    <row r="747" spans="1:9">
      <c r="H747" s="102" t="s">
        <v>576</v>
      </c>
    </row>
    <row r="748" spans="1:9">
      <c r="H748" s="102" t="s">
        <v>577</v>
      </c>
    </row>
    <row r="749" spans="1:9">
      <c r="H749" s="102" t="s">
        <v>599</v>
      </c>
    </row>
    <row r="750" spans="1:9">
      <c r="H750" s="103" t="s">
        <v>556</v>
      </c>
    </row>
    <row r="751" spans="1:9">
      <c r="A751" s="2">
        <v>44697</v>
      </c>
      <c r="B751" s="267"/>
      <c r="C751" s="267" t="s">
        <v>55</v>
      </c>
      <c r="D751" s="3" t="s">
        <v>38</v>
      </c>
      <c r="E751" s="1497">
        <v>360</v>
      </c>
      <c r="F751" s="1497"/>
      <c r="G751" s="267" t="s">
        <v>56</v>
      </c>
      <c r="H751" s="3"/>
      <c r="I751" s="3"/>
    </row>
    <row r="752" spans="1:9">
      <c r="A752" s="2">
        <v>44697</v>
      </c>
      <c r="B752" s="267"/>
      <c r="C752" s="267" t="s">
        <v>92</v>
      </c>
      <c r="D752" s="3" t="s">
        <v>601</v>
      </c>
      <c r="E752" s="1497"/>
      <c r="F752" s="1497">
        <v>5000</v>
      </c>
      <c r="G752" s="267" t="s">
        <v>56</v>
      </c>
      <c r="H752" s="3"/>
      <c r="I752" s="3"/>
    </row>
    <row r="753" spans="1:9">
      <c r="A753" s="2">
        <v>44697</v>
      </c>
      <c r="B753" s="267"/>
      <c r="C753" s="267" t="s">
        <v>55</v>
      </c>
      <c r="D753" s="3" t="s">
        <v>602</v>
      </c>
      <c r="E753" s="1497">
        <v>800</v>
      </c>
      <c r="F753" s="1497"/>
      <c r="G753" s="267" t="s">
        <v>56</v>
      </c>
      <c r="H753" s="3"/>
      <c r="I753" s="3"/>
    </row>
    <row r="754" spans="1:9">
      <c r="A754" s="2">
        <v>44697</v>
      </c>
      <c r="B754" s="267"/>
      <c r="C754" s="267" t="s">
        <v>79</v>
      </c>
      <c r="D754" s="3" t="s">
        <v>603</v>
      </c>
      <c r="E754" s="1497">
        <v>400</v>
      </c>
      <c r="F754" s="1497"/>
      <c r="G754" s="267" t="s">
        <v>56</v>
      </c>
      <c r="H754" s="3"/>
      <c r="I754" s="3"/>
    </row>
    <row r="755" spans="1:9">
      <c r="A755" s="2">
        <v>44697</v>
      </c>
      <c r="B755" s="267"/>
      <c r="C755" s="267" t="s">
        <v>79</v>
      </c>
      <c r="D755" s="3" t="s">
        <v>151</v>
      </c>
      <c r="E755" s="1497">
        <v>1000</v>
      </c>
      <c r="F755" s="1497"/>
      <c r="G755" s="267" t="s">
        <v>56</v>
      </c>
      <c r="H755" s="3"/>
      <c r="I755" s="3"/>
    </row>
    <row r="756" spans="1:9">
      <c r="A756" s="2">
        <v>44697</v>
      </c>
      <c r="B756" s="267"/>
      <c r="C756" s="267" t="s">
        <v>29</v>
      </c>
      <c r="D756" s="3" t="s">
        <v>48</v>
      </c>
      <c r="E756" s="1497">
        <v>70000</v>
      </c>
      <c r="F756" s="1497"/>
      <c r="G756" s="267" t="s">
        <v>614</v>
      </c>
      <c r="H756" s="3"/>
      <c r="I756" s="3"/>
    </row>
    <row r="757" spans="1:9">
      <c r="A757" s="2">
        <v>44697</v>
      </c>
      <c r="B757" s="267"/>
      <c r="C757" s="267" t="s">
        <v>92</v>
      </c>
      <c r="D757" s="3" t="s">
        <v>604</v>
      </c>
      <c r="E757" s="1497"/>
      <c r="F757" s="1497">
        <v>16200</v>
      </c>
      <c r="G757" s="267" t="s">
        <v>56</v>
      </c>
      <c r="H757" s="3"/>
      <c r="I757" s="3"/>
    </row>
    <row r="758" spans="1:9">
      <c r="A758" s="2">
        <v>44697</v>
      </c>
      <c r="B758" s="267"/>
      <c r="C758" s="267" t="s">
        <v>62</v>
      </c>
      <c r="D758" s="3" t="s">
        <v>38</v>
      </c>
      <c r="E758" s="1497">
        <v>300</v>
      </c>
      <c r="F758" s="1497"/>
      <c r="G758" s="267" t="s">
        <v>56</v>
      </c>
      <c r="H758" s="3"/>
      <c r="I758" s="3"/>
    </row>
    <row r="759" spans="1:9">
      <c r="A759" s="2">
        <v>44697</v>
      </c>
      <c r="B759" s="267"/>
      <c r="C759" s="267" t="s">
        <v>92</v>
      </c>
      <c r="D759" s="3" t="s">
        <v>605</v>
      </c>
      <c r="E759" s="1497"/>
      <c r="F759" s="1497">
        <v>23013.22</v>
      </c>
      <c r="G759" s="267" t="s">
        <v>27</v>
      </c>
      <c r="H759" s="3"/>
      <c r="I759" s="3"/>
    </row>
    <row r="760" spans="1:9">
      <c r="A760" s="2">
        <v>44697</v>
      </c>
      <c r="B760" s="267"/>
      <c r="C760" s="267" t="s">
        <v>29</v>
      </c>
      <c r="D760" s="3" t="s">
        <v>606</v>
      </c>
      <c r="E760" s="1497">
        <v>10015</v>
      </c>
      <c r="F760" s="1497"/>
      <c r="G760" s="267" t="s">
        <v>27</v>
      </c>
      <c r="H760" s="3"/>
      <c r="I760" s="3"/>
    </row>
    <row r="761" spans="1:9">
      <c r="A761" s="2">
        <v>44697</v>
      </c>
      <c r="B761" s="267"/>
      <c r="C761" s="267" t="s">
        <v>79</v>
      </c>
      <c r="D761" s="3" t="s">
        <v>166</v>
      </c>
      <c r="E761" s="1497">
        <v>32000</v>
      </c>
      <c r="F761" s="1497"/>
      <c r="G761" s="267" t="s">
        <v>27</v>
      </c>
      <c r="H761" s="3"/>
      <c r="I761" s="3"/>
    </row>
    <row r="762" spans="1:9">
      <c r="A762" s="2">
        <v>44697</v>
      </c>
      <c r="B762" s="267"/>
      <c r="C762" s="267" t="s">
        <v>29</v>
      </c>
      <c r="D762" s="3" t="s">
        <v>607</v>
      </c>
      <c r="E762" s="1497">
        <v>5300</v>
      </c>
      <c r="F762" s="1497"/>
      <c r="G762" s="267" t="s">
        <v>27</v>
      </c>
      <c r="H762" s="3"/>
      <c r="I762" s="3"/>
    </row>
    <row r="763" spans="1:9">
      <c r="A763" s="2">
        <v>44697</v>
      </c>
      <c r="B763" s="267"/>
      <c r="C763" s="267" t="s">
        <v>86</v>
      </c>
      <c r="D763" s="15" t="s">
        <v>104</v>
      </c>
      <c r="E763" s="1497">
        <v>3002.55</v>
      </c>
      <c r="F763" s="1497"/>
      <c r="G763" s="267" t="s">
        <v>27</v>
      </c>
      <c r="H763" s="3"/>
      <c r="I763" s="3"/>
    </row>
    <row r="764" spans="1:9">
      <c r="A764" s="2">
        <v>44697</v>
      </c>
      <c r="B764" s="267"/>
      <c r="C764" s="267" t="s">
        <v>55</v>
      </c>
      <c r="D764" s="3" t="s">
        <v>514</v>
      </c>
      <c r="E764" s="1497">
        <v>500</v>
      </c>
      <c r="F764" s="1497"/>
      <c r="G764" s="267" t="s">
        <v>56</v>
      </c>
      <c r="H764" s="3"/>
      <c r="I764" s="3"/>
    </row>
    <row r="765" spans="1:9">
      <c r="A765" s="2">
        <v>44697</v>
      </c>
      <c r="B765" s="267"/>
      <c r="C765" s="267" t="s">
        <v>92</v>
      </c>
      <c r="D765" s="3" t="s">
        <v>608</v>
      </c>
      <c r="E765" s="1497"/>
      <c r="F765" s="1497">
        <v>5020</v>
      </c>
      <c r="G765" s="267" t="s">
        <v>27</v>
      </c>
      <c r="H765" s="3"/>
      <c r="I765" s="3"/>
    </row>
    <row r="766" spans="1:9">
      <c r="A766" s="2">
        <v>44697</v>
      </c>
      <c r="B766" s="267"/>
      <c r="C766" s="267" t="s">
        <v>77</v>
      </c>
      <c r="D766" s="3" t="s">
        <v>609</v>
      </c>
      <c r="E766" s="1497"/>
      <c r="F766" s="1497">
        <v>12300</v>
      </c>
      <c r="G766" s="267" t="s">
        <v>27</v>
      </c>
      <c r="H766" s="3"/>
      <c r="I766" s="3"/>
    </row>
    <row r="767" spans="1:9">
      <c r="A767" s="2">
        <v>44697</v>
      </c>
      <c r="B767" s="267"/>
      <c r="C767" s="267" t="s">
        <v>308</v>
      </c>
      <c r="D767" s="3" t="s">
        <v>232</v>
      </c>
      <c r="E767" s="1497">
        <v>15000</v>
      </c>
      <c r="F767" s="1497"/>
      <c r="G767" s="267" t="s">
        <v>27</v>
      </c>
      <c r="H767" s="3"/>
      <c r="I767" s="3"/>
    </row>
    <row r="768" spans="1:9">
      <c r="A768" s="2">
        <v>44697</v>
      </c>
      <c r="B768" s="267"/>
      <c r="C768" s="267" t="s">
        <v>77</v>
      </c>
      <c r="D768" s="3" t="s">
        <v>612</v>
      </c>
      <c r="E768" s="1497"/>
      <c r="F768" s="1497">
        <v>38000</v>
      </c>
      <c r="G768" s="267" t="s">
        <v>56</v>
      </c>
      <c r="H768" s="3"/>
      <c r="I768" s="3"/>
    </row>
    <row r="769" spans="1:9">
      <c r="A769" s="2">
        <v>44697</v>
      </c>
      <c r="B769" s="267"/>
      <c r="C769" s="267" t="s">
        <v>55</v>
      </c>
      <c r="D769" s="15" t="s">
        <v>563</v>
      </c>
      <c r="E769" s="1497">
        <v>510</v>
      </c>
      <c r="F769" s="1497"/>
      <c r="G769" s="267" t="s">
        <v>56</v>
      </c>
      <c r="H769" s="3"/>
      <c r="I769" s="3"/>
    </row>
    <row r="770" spans="1:9">
      <c r="A770" s="2">
        <v>44697</v>
      </c>
      <c r="B770" s="267"/>
      <c r="C770" s="267" t="s">
        <v>90</v>
      </c>
      <c r="D770" s="3" t="s">
        <v>598</v>
      </c>
      <c r="E770" s="1497">
        <v>2000</v>
      </c>
      <c r="F770" s="1497"/>
      <c r="G770" s="267" t="s">
        <v>56</v>
      </c>
      <c r="H770" s="3"/>
      <c r="I770" s="3"/>
    </row>
    <row r="771" spans="1:9">
      <c r="A771" s="2">
        <v>44699</v>
      </c>
      <c r="B771" s="267"/>
      <c r="C771" s="267" t="s">
        <v>86</v>
      </c>
      <c r="D771" s="3" t="s">
        <v>195</v>
      </c>
      <c r="E771" s="1497">
        <v>3002.55</v>
      </c>
      <c r="F771" s="1497"/>
      <c r="G771" s="267" t="s">
        <v>27</v>
      </c>
      <c r="H771" s="3"/>
      <c r="I771" s="3"/>
    </row>
    <row r="772" spans="1:9">
      <c r="A772" s="2">
        <v>44700</v>
      </c>
      <c r="B772" s="267"/>
      <c r="C772" s="267"/>
      <c r="D772" s="83" t="s">
        <v>136</v>
      </c>
      <c r="E772" s="1501">
        <v>2000</v>
      </c>
      <c r="F772" s="1497"/>
      <c r="G772" s="267" t="s">
        <v>56</v>
      </c>
      <c r="H772" s="3"/>
      <c r="I772" s="3"/>
    </row>
    <row r="773" spans="1:9">
      <c r="A773" s="2">
        <v>44700</v>
      </c>
      <c r="B773" s="267"/>
      <c r="C773" s="267" t="s">
        <v>29</v>
      </c>
      <c r="D773" s="3" t="s">
        <v>48</v>
      </c>
      <c r="E773" s="1497">
        <v>50000</v>
      </c>
      <c r="F773" s="1497"/>
      <c r="G773" s="267" t="s">
        <v>614</v>
      </c>
      <c r="H773" s="3"/>
      <c r="I773" s="3"/>
    </row>
    <row r="774" spans="1:9">
      <c r="A774" s="2">
        <v>44700</v>
      </c>
      <c r="B774" s="267"/>
      <c r="C774" s="267" t="s">
        <v>29</v>
      </c>
      <c r="D774" s="15" t="s">
        <v>613</v>
      </c>
      <c r="E774" s="1497">
        <v>200</v>
      </c>
      <c r="F774" s="1497"/>
      <c r="G774" s="267" t="s">
        <v>56</v>
      </c>
      <c r="H774" s="3"/>
      <c r="I774" s="3"/>
    </row>
    <row r="775" spans="1:9">
      <c r="A775" s="2">
        <v>44700</v>
      </c>
      <c r="B775" s="267"/>
      <c r="C775" s="267" t="s">
        <v>537</v>
      </c>
      <c r="D775" s="3" t="s">
        <v>193</v>
      </c>
      <c r="E775" s="1497">
        <v>13000</v>
      </c>
      <c r="F775" s="1497"/>
      <c r="G775" s="267" t="s">
        <v>56</v>
      </c>
      <c r="H775" s="104" t="s">
        <v>625</v>
      </c>
      <c r="I775" s="3"/>
    </row>
    <row r="776" spans="1:9">
      <c r="A776" s="2">
        <v>44701</v>
      </c>
      <c r="B776" s="267"/>
      <c r="C776" s="267" t="s">
        <v>615</v>
      </c>
      <c r="D776" s="3" t="s">
        <v>232</v>
      </c>
      <c r="E776" s="1497"/>
      <c r="F776" s="1497">
        <v>42977.23</v>
      </c>
      <c r="G776" s="267" t="s">
        <v>72</v>
      </c>
      <c r="H776" s="3" t="s">
        <v>616</v>
      </c>
      <c r="I776" s="3"/>
    </row>
    <row r="777" spans="1:9">
      <c r="A777" s="2">
        <v>44701</v>
      </c>
      <c r="B777" s="267"/>
      <c r="C777" s="267" t="s">
        <v>615</v>
      </c>
      <c r="D777" s="3" t="s">
        <v>617</v>
      </c>
      <c r="E777" s="1497">
        <v>7180</v>
      </c>
      <c r="F777" s="1497"/>
      <c r="G777" s="267" t="s">
        <v>56</v>
      </c>
      <c r="H777" s="3"/>
      <c r="I777" s="3"/>
    </row>
    <row r="778" spans="1:9">
      <c r="A778" s="2">
        <v>44701</v>
      </c>
      <c r="B778" s="267" t="s">
        <v>406</v>
      </c>
      <c r="C778" s="267" t="s">
        <v>55</v>
      </c>
      <c r="D778" s="3" t="s">
        <v>504</v>
      </c>
      <c r="E778" s="1497">
        <v>7500</v>
      </c>
      <c r="F778" s="1497"/>
      <c r="G778" s="267" t="s">
        <v>56</v>
      </c>
      <c r="H778" s="3"/>
      <c r="I778" s="3"/>
    </row>
    <row r="779" spans="1:9">
      <c r="A779" s="2">
        <v>44701</v>
      </c>
      <c r="B779" s="267" t="s">
        <v>406</v>
      </c>
      <c r="C779" s="267" t="s">
        <v>55</v>
      </c>
      <c r="D779" s="15" t="s">
        <v>504</v>
      </c>
      <c r="E779" s="1497">
        <v>7000</v>
      </c>
      <c r="F779" s="1497"/>
      <c r="G779" s="267" t="s">
        <v>206</v>
      </c>
      <c r="H779" s="3" t="s">
        <v>619</v>
      </c>
      <c r="I779" s="3"/>
    </row>
    <row r="780" spans="1:9">
      <c r="A780" s="2">
        <v>44701</v>
      </c>
      <c r="B780" s="267"/>
      <c r="C780" s="267" t="s">
        <v>92</v>
      </c>
      <c r="D780" s="15" t="s">
        <v>620</v>
      </c>
      <c r="E780" s="1497"/>
      <c r="F780" s="1497">
        <v>6700</v>
      </c>
      <c r="G780" s="267" t="s">
        <v>56</v>
      </c>
      <c r="H780" s="3"/>
      <c r="I780" s="3"/>
    </row>
    <row r="781" spans="1:9">
      <c r="A781" s="2">
        <v>44701</v>
      </c>
      <c r="B781" s="267"/>
      <c r="C781" s="267" t="s">
        <v>92</v>
      </c>
      <c r="D781" s="15" t="s">
        <v>620</v>
      </c>
      <c r="E781" s="1497"/>
      <c r="F781" s="1497">
        <v>20000</v>
      </c>
      <c r="G781" s="267" t="s">
        <v>72</v>
      </c>
      <c r="H781" s="3"/>
      <c r="I781" s="3"/>
    </row>
    <row r="782" spans="1:9">
      <c r="A782" s="2">
        <v>44701</v>
      </c>
      <c r="B782" s="267"/>
      <c r="C782" s="267" t="s">
        <v>79</v>
      </c>
      <c r="D782" s="15" t="s">
        <v>195</v>
      </c>
      <c r="E782" s="1497" t="s">
        <v>621</v>
      </c>
      <c r="F782" s="1497"/>
      <c r="G782" s="267" t="s">
        <v>27</v>
      </c>
      <c r="H782" s="3"/>
      <c r="I782" s="3"/>
    </row>
    <row r="783" spans="1:9">
      <c r="A783" s="2">
        <v>44701</v>
      </c>
      <c r="B783" s="267"/>
      <c r="C783" s="267" t="s">
        <v>88</v>
      </c>
      <c r="D783" s="3" t="s">
        <v>144</v>
      </c>
      <c r="E783" s="1497">
        <v>10000</v>
      </c>
      <c r="F783" s="1497"/>
      <c r="G783" s="267" t="s">
        <v>27</v>
      </c>
      <c r="H783" s="3"/>
      <c r="I783" s="3"/>
    </row>
    <row r="784" spans="1:9">
      <c r="A784" s="2">
        <v>44701</v>
      </c>
      <c r="B784" s="267"/>
      <c r="C784" s="267" t="s">
        <v>88</v>
      </c>
      <c r="D784" s="15" t="s">
        <v>88</v>
      </c>
      <c r="E784" s="1497">
        <v>44200</v>
      </c>
      <c r="F784" s="1497"/>
      <c r="G784" s="267" t="s">
        <v>56</v>
      </c>
      <c r="H784" s="3"/>
      <c r="I784" s="3"/>
    </row>
    <row r="785" spans="1:9">
      <c r="A785" s="2">
        <v>44701</v>
      </c>
      <c r="B785" s="267"/>
      <c r="C785" s="267" t="s">
        <v>55</v>
      </c>
      <c r="D785" s="3" t="s">
        <v>238</v>
      </c>
      <c r="E785" s="1497">
        <v>1300</v>
      </c>
      <c r="F785" s="1497"/>
      <c r="G785" s="267" t="s">
        <v>56</v>
      </c>
      <c r="H785" s="3"/>
      <c r="I785" s="3"/>
    </row>
    <row r="786" spans="1:9">
      <c r="A786" s="2">
        <v>44701</v>
      </c>
      <c r="B786" s="267"/>
      <c r="C786" s="267" t="s">
        <v>55</v>
      </c>
      <c r="D786" s="3" t="s">
        <v>622</v>
      </c>
      <c r="E786" s="1497"/>
      <c r="F786" s="1497">
        <v>800</v>
      </c>
      <c r="G786" s="267" t="s">
        <v>56</v>
      </c>
      <c r="H786" s="3"/>
      <c r="I786" s="3"/>
    </row>
    <row r="787" spans="1:9">
      <c r="A787" s="2">
        <v>44701</v>
      </c>
      <c r="B787" s="267"/>
      <c r="C787" s="267" t="s">
        <v>308</v>
      </c>
      <c r="D787" s="3" t="s">
        <v>232</v>
      </c>
      <c r="E787" s="1497">
        <v>13370</v>
      </c>
      <c r="F787" s="1497"/>
      <c r="G787" s="2" t="s">
        <v>27</v>
      </c>
      <c r="H787" s="3"/>
      <c r="I787" s="3"/>
    </row>
    <row r="788" spans="1:9">
      <c r="H788" s="101" t="s">
        <v>624</v>
      </c>
    </row>
    <row r="789" spans="1:9">
      <c r="H789" s="102" t="s">
        <v>626</v>
      </c>
    </row>
    <row r="790" spans="1:9">
      <c r="H790" s="102" t="s">
        <v>623</v>
      </c>
    </row>
    <row r="791" spans="1:9">
      <c r="H791" s="102" t="s">
        <v>639</v>
      </c>
    </row>
    <row r="792" spans="1:9">
      <c r="H792" s="103" t="s">
        <v>556</v>
      </c>
    </row>
    <row r="793" spans="1:9">
      <c r="A793" s="2">
        <v>44704</v>
      </c>
      <c r="B793" s="267"/>
      <c r="C793" s="267" t="s">
        <v>97</v>
      </c>
      <c r="D793" s="3" t="s">
        <v>627</v>
      </c>
      <c r="E793" s="1497">
        <v>33300</v>
      </c>
      <c r="F793" s="1497"/>
      <c r="G793" s="267" t="s">
        <v>27</v>
      </c>
      <c r="H793" s="3"/>
      <c r="I793" s="3"/>
    </row>
    <row r="794" spans="1:9">
      <c r="A794" s="2">
        <v>44704</v>
      </c>
      <c r="B794" s="267"/>
      <c r="C794" s="267" t="s">
        <v>79</v>
      </c>
      <c r="D794" s="3" t="s">
        <v>151</v>
      </c>
      <c r="E794" s="1497">
        <v>6515</v>
      </c>
      <c r="F794" s="1497"/>
      <c r="G794" s="267" t="s">
        <v>27</v>
      </c>
      <c r="H794" s="3"/>
      <c r="I794" s="3"/>
    </row>
    <row r="795" spans="1:9">
      <c r="A795" s="2">
        <v>44704</v>
      </c>
      <c r="B795" s="267"/>
      <c r="C795" s="267" t="s">
        <v>97</v>
      </c>
      <c r="D795" s="3" t="s">
        <v>628</v>
      </c>
      <c r="E795" s="1497">
        <v>2500</v>
      </c>
      <c r="F795" s="1497"/>
      <c r="G795" s="267" t="s">
        <v>27</v>
      </c>
      <c r="H795" s="3"/>
      <c r="I795" s="3"/>
    </row>
    <row r="796" spans="1:9">
      <c r="A796" s="2">
        <v>44704</v>
      </c>
      <c r="B796" s="267"/>
      <c r="C796" s="267" t="s">
        <v>55</v>
      </c>
      <c r="D796" s="3" t="s">
        <v>629</v>
      </c>
      <c r="E796" s="1497">
        <v>500</v>
      </c>
      <c r="F796" s="1497"/>
      <c r="G796" s="267" t="s">
        <v>56</v>
      </c>
      <c r="H796" s="3"/>
      <c r="I796" s="3"/>
    </row>
    <row r="797" spans="1:9">
      <c r="A797" s="2">
        <v>44704</v>
      </c>
      <c r="B797" s="267"/>
      <c r="C797" s="267" t="s">
        <v>86</v>
      </c>
      <c r="D797" s="3" t="s">
        <v>86</v>
      </c>
      <c r="E797" s="1497">
        <v>2000</v>
      </c>
      <c r="F797" s="1497"/>
      <c r="G797" s="267" t="s">
        <v>56</v>
      </c>
      <c r="H797" s="3"/>
      <c r="I797" s="3"/>
    </row>
    <row r="798" spans="1:9">
      <c r="A798" s="2">
        <v>44704</v>
      </c>
      <c r="B798" s="96">
        <v>44690</v>
      </c>
      <c r="C798" s="267" t="s">
        <v>94</v>
      </c>
      <c r="D798" s="15" t="s">
        <v>631</v>
      </c>
      <c r="E798" s="1497">
        <v>1197.19</v>
      </c>
      <c r="F798" s="1497"/>
      <c r="G798" s="267" t="s">
        <v>27</v>
      </c>
      <c r="H798" s="3"/>
      <c r="I798" s="3"/>
    </row>
    <row r="799" spans="1:9">
      <c r="A799" s="2">
        <v>44705</v>
      </c>
      <c r="B799" s="267"/>
      <c r="C799" s="267" t="s">
        <v>97</v>
      </c>
      <c r="D799" s="15" t="s">
        <v>632</v>
      </c>
      <c r="E799" s="1497">
        <v>6000</v>
      </c>
      <c r="F799" s="1497"/>
      <c r="G799" s="267" t="s">
        <v>27</v>
      </c>
      <c r="H799" s="3"/>
      <c r="I799" s="3"/>
    </row>
    <row r="800" spans="1:9">
      <c r="A800" s="2">
        <v>44705</v>
      </c>
      <c r="B800" s="267"/>
      <c r="C800" s="267" t="s">
        <v>587</v>
      </c>
      <c r="D800" s="3" t="s">
        <v>412</v>
      </c>
      <c r="E800" s="1497"/>
      <c r="F800" s="1497">
        <v>7200</v>
      </c>
      <c r="G800" s="267" t="s">
        <v>56</v>
      </c>
      <c r="H800" s="3"/>
      <c r="I800" s="3"/>
    </row>
    <row r="801" spans="1:9">
      <c r="A801" s="2">
        <v>44705</v>
      </c>
      <c r="B801" s="267"/>
      <c r="C801" s="267" t="s">
        <v>55</v>
      </c>
      <c r="D801" s="3" t="s">
        <v>633</v>
      </c>
      <c r="E801" s="1497">
        <v>600</v>
      </c>
      <c r="F801" s="1497"/>
      <c r="G801" s="267" t="s">
        <v>56</v>
      </c>
      <c r="H801" s="3"/>
      <c r="I801" s="3"/>
    </row>
    <row r="802" spans="1:9">
      <c r="A802" s="2">
        <v>44705</v>
      </c>
      <c r="B802" s="267"/>
      <c r="C802" s="267" t="s">
        <v>55</v>
      </c>
      <c r="D802" s="3" t="s">
        <v>635</v>
      </c>
      <c r="E802" s="1497">
        <v>1240</v>
      </c>
      <c r="F802" s="1497"/>
      <c r="G802" s="267" t="s">
        <v>56</v>
      </c>
      <c r="H802" s="3" t="s">
        <v>634</v>
      </c>
      <c r="I802" s="3"/>
    </row>
    <row r="803" spans="1:9">
      <c r="A803" s="2">
        <v>44705</v>
      </c>
      <c r="B803" s="267"/>
      <c r="C803" s="267" t="s">
        <v>55</v>
      </c>
      <c r="D803" s="15" t="s">
        <v>636</v>
      </c>
      <c r="E803" s="1497">
        <v>2680</v>
      </c>
      <c r="F803" s="1497"/>
      <c r="G803" s="267" t="s">
        <v>27</v>
      </c>
      <c r="H803" s="3" t="s">
        <v>634</v>
      </c>
      <c r="I803" s="3"/>
    </row>
    <row r="804" spans="1:9">
      <c r="A804" s="2">
        <v>44707</v>
      </c>
      <c r="B804" s="267"/>
      <c r="C804" s="267" t="s">
        <v>156</v>
      </c>
      <c r="D804" s="3" t="s">
        <v>156</v>
      </c>
      <c r="E804" s="1497">
        <v>15369.33</v>
      </c>
      <c r="F804" s="1497"/>
      <c r="G804" s="267" t="s">
        <v>27</v>
      </c>
      <c r="H804" s="3"/>
      <c r="I804" s="3"/>
    </row>
    <row r="805" spans="1:9">
      <c r="A805" s="2">
        <v>44707</v>
      </c>
      <c r="B805" s="267"/>
      <c r="C805" s="267" t="s">
        <v>79</v>
      </c>
      <c r="D805" s="3" t="s">
        <v>79</v>
      </c>
      <c r="E805" s="1497">
        <v>4697.6899999999996</v>
      </c>
      <c r="F805" s="1497"/>
      <c r="G805" s="267" t="s">
        <v>27</v>
      </c>
      <c r="H805" s="3"/>
      <c r="I805" s="3"/>
    </row>
    <row r="806" spans="1:9">
      <c r="A806" s="2">
        <v>44707</v>
      </c>
      <c r="B806" s="267"/>
      <c r="C806" s="267" t="s">
        <v>79</v>
      </c>
      <c r="D806" s="15" t="s">
        <v>79</v>
      </c>
      <c r="E806" s="1497">
        <v>5000</v>
      </c>
      <c r="F806" s="1497"/>
      <c r="G806" s="267" t="s">
        <v>27</v>
      </c>
      <c r="H806" s="3"/>
      <c r="I806" s="3"/>
    </row>
    <row r="807" spans="1:9">
      <c r="A807" s="2">
        <v>44707</v>
      </c>
      <c r="B807" s="267"/>
      <c r="C807" s="267" t="s">
        <v>79</v>
      </c>
      <c r="D807" s="15" t="s">
        <v>638</v>
      </c>
      <c r="E807" s="1497">
        <v>686.33</v>
      </c>
      <c r="F807" s="1497"/>
      <c r="G807" s="267" t="s">
        <v>27</v>
      </c>
      <c r="H807" s="3"/>
      <c r="I807" s="3"/>
    </row>
    <row r="808" spans="1:9">
      <c r="A808" s="2">
        <v>44707</v>
      </c>
      <c r="B808" s="267"/>
      <c r="C808" s="267" t="s">
        <v>79</v>
      </c>
      <c r="D808" s="3" t="s">
        <v>638</v>
      </c>
      <c r="E808" s="1497">
        <v>686.33</v>
      </c>
      <c r="F808" s="1497"/>
      <c r="G808" s="267" t="s">
        <v>27</v>
      </c>
      <c r="H808" s="3"/>
      <c r="I808" s="3"/>
    </row>
    <row r="809" spans="1:9">
      <c r="A809" s="2">
        <v>44707</v>
      </c>
      <c r="B809" s="267"/>
      <c r="C809" s="267" t="s">
        <v>79</v>
      </c>
      <c r="D809" s="3" t="s">
        <v>637</v>
      </c>
      <c r="E809" s="1497">
        <v>3517.8</v>
      </c>
      <c r="F809" s="1497"/>
      <c r="G809" s="267" t="s">
        <v>27</v>
      </c>
      <c r="H809" s="3"/>
      <c r="I809" s="3"/>
    </row>
    <row r="810" spans="1:9">
      <c r="A810" s="2">
        <v>44707</v>
      </c>
      <c r="B810" s="267"/>
      <c r="C810" s="267" t="s">
        <v>92</v>
      </c>
      <c r="D810" s="15" t="s">
        <v>605</v>
      </c>
      <c r="E810" s="1497"/>
      <c r="F810" s="1497">
        <v>16164.05</v>
      </c>
      <c r="G810" s="267" t="s">
        <v>27</v>
      </c>
      <c r="H810" s="3"/>
      <c r="I810" s="3"/>
    </row>
    <row r="811" spans="1:9">
      <c r="A811" s="2">
        <v>44707</v>
      </c>
      <c r="B811" s="267"/>
      <c r="C811" s="267" t="s">
        <v>55</v>
      </c>
      <c r="D811" s="3" t="s">
        <v>562</v>
      </c>
      <c r="E811" s="1497">
        <v>475</v>
      </c>
      <c r="F811" s="1497"/>
      <c r="G811" s="267" t="s">
        <v>56</v>
      </c>
      <c r="H811" s="3"/>
      <c r="I811" s="3"/>
    </row>
    <row r="812" spans="1:9">
      <c r="A812" s="2">
        <v>44707</v>
      </c>
      <c r="B812" s="267"/>
      <c r="C812" s="267" t="s">
        <v>79</v>
      </c>
      <c r="D812" s="3" t="s">
        <v>151</v>
      </c>
      <c r="E812" s="1497">
        <v>20000</v>
      </c>
      <c r="F812" s="1497"/>
      <c r="G812" s="267" t="s">
        <v>56</v>
      </c>
      <c r="H812" s="3" t="s">
        <v>614</v>
      </c>
      <c r="I812" s="3"/>
    </row>
    <row r="813" spans="1:9">
      <c r="A813" s="2">
        <v>44707</v>
      </c>
      <c r="B813" s="267"/>
      <c r="C813" s="267" t="s">
        <v>537</v>
      </c>
      <c r="D813" s="3" t="s">
        <v>144</v>
      </c>
      <c r="E813" s="1497">
        <v>10000</v>
      </c>
      <c r="F813" s="1497"/>
      <c r="G813" s="267" t="s">
        <v>27</v>
      </c>
      <c r="H813" s="3"/>
      <c r="I813" s="3"/>
    </row>
    <row r="814" spans="1:9">
      <c r="A814" s="2">
        <v>44707</v>
      </c>
      <c r="B814" s="267"/>
      <c r="C814" s="267" t="s">
        <v>79</v>
      </c>
      <c r="D814" s="3" t="s">
        <v>640</v>
      </c>
      <c r="E814" s="1497">
        <v>26200</v>
      </c>
      <c r="F814" s="1497"/>
      <c r="G814" s="267" t="s">
        <v>56</v>
      </c>
      <c r="H814" s="3" t="s">
        <v>614</v>
      </c>
      <c r="I814" s="3"/>
    </row>
    <row r="815" spans="1:9">
      <c r="A815" s="2">
        <v>44707</v>
      </c>
      <c r="B815" s="267"/>
      <c r="C815" s="267" t="s">
        <v>92</v>
      </c>
      <c r="D815" s="3" t="s">
        <v>300</v>
      </c>
      <c r="E815" s="1497"/>
      <c r="F815" s="1497">
        <v>20000</v>
      </c>
      <c r="G815" s="267" t="s">
        <v>56</v>
      </c>
      <c r="H815" s="3"/>
      <c r="I815" s="3"/>
    </row>
    <row r="816" spans="1:9">
      <c r="A816" s="2">
        <v>44707</v>
      </c>
      <c r="B816" s="267"/>
      <c r="C816" s="267"/>
      <c r="D816" s="3" t="s">
        <v>377</v>
      </c>
      <c r="E816" s="1497"/>
      <c r="F816" s="1497">
        <v>60000</v>
      </c>
      <c r="G816" s="267" t="s">
        <v>56</v>
      </c>
      <c r="H816" s="3"/>
      <c r="I816" s="3"/>
    </row>
    <row r="817" spans="1:9">
      <c r="A817" s="2">
        <v>44708</v>
      </c>
      <c r="B817" s="267"/>
      <c r="C817" s="267" t="s">
        <v>92</v>
      </c>
      <c r="D817" s="3" t="s">
        <v>641</v>
      </c>
      <c r="E817" s="1497"/>
      <c r="F817" s="1497">
        <v>25480</v>
      </c>
      <c r="G817" s="267" t="s">
        <v>56</v>
      </c>
      <c r="H817" s="3"/>
      <c r="I817" s="3"/>
    </row>
    <row r="818" spans="1:9">
      <c r="A818" s="2">
        <v>44708</v>
      </c>
      <c r="B818" s="267"/>
      <c r="C818" s="267" t="s">
        <v>29</v>
      </c>
      <c r="D818" s="3" t="s">
        <v>80</v>
      </c>
      <c r="E818" s="1497">
        <v>15000</v>
      </c>
      <c r="F818" s="1497"/>
      <c r="G818" s="267" t="s">
        <v>56</v>
      </c>
      <c r="H818" s="3" t="s">
        <v>642</v>
      </c>
      <c r="I818" s="3"/>
    </row>
    <row r="819" spans="1:9">
      <c r="A819" s="2">
        <v>44708</v>
      </c>
      <c r="B819" s="267"/>
      <c r="C819" s="267" t="s">
        <v>92</v>
      </c>
      <c r="D819" s="3" t="s">
        <v>300</v>
      </c>
      <c r="E819" s="1497"/>
      <c r="F819" s="1497">
        <v>20000</v>
      </c>
      <c r="G819" s="267" t="s">
        <v>56</v>
      </c>
      <c r="H819" s="3"/>
      <c r="I819" s="3"/>
    </row>
    <row r="820" spans="1:9">
      <c r="A820" s="2">
        <v>44708</v>
      </c>
      <c r="B820" s="267"/>
      <c r="C820" s="267" t="s">
        <v>92</v>
      </c>
      <c r="D820" s="3" t="s">
        <v>643</v>
      </c>
      <c r="E820" s="1497"/>
      <c r="F820" s="1497">
        <v>22500</v>
      </c>
      <c r="G820" s="267" t="s">
        <v>56</v>
      </c>
      <c r="H820" s="3"/>
      <c r="I820" s="3"/>
    </row>
    <row r="821" spans="1:9">
      <c r="A821" s="2">
        <v>44708</v>
      </c>
      <c r="B821" s="267"/>
      <c r="C821" s="267" t="s">
        <v>79</v>
      </c>
      <c r="D821" s="15" t="s">
        <v>644</v>
      </c>
      <c r="E821" s="1497"/>
      <c r="F821" s="1497">
        <v>35600</v>
      </c>
      <c r="G821" s="267" t="s">
        <v>56</v>
      </c>
      <c r="H821" s="3"/>
      <c r="I821" s="3"/>
    </row>
    <row r="822" spans="1:9">
      <c r="A822" s="2">
        <v>44708</v>
      </c>
      <c r="B822" s="267"/>
      <c r="C822" s="267" t="s">
        <v>55</v>
      </c>
      <c r="D822" s="15" t="s">
        <v>562</v>
      </c>
      <c r="E822" s="1497">
        <v>240</v>
      </c>
      <c r="F822" s="1497"/>
      <c r="G822" s="267" t="s">
        <v>56</v>
      </c>
      <c r="H822" s="3"/>
      <c r="I822" s="3"/>
    </row>
    <row r="823" spans="1:9">
      <c r="A823" s="2">
        <v>44708</v>
      </c>
      <c r="B823" s="267"/>
      <c r="C823" s="267" t="s">
        <v>88</v>
      </c>
      <c r="D823" s="15" t="s">
        <v>88</v>
      </c>
      <c r="E823" s="1497">
        <v>59200</v>
      </c>
      <c r="F823" s="1497"/>
      <c r="G823" s="267" t="s">
        <v>56</v>
      </c>
      <c r="H823" s="3"/>
      <c r="I823" s="3"/>
    </row>
    <row r="824" spans="1:9">
      <c r="A824" s="2">
        <v>44708</v>
      </c>
      <c r="B824" s="267"/>
      <c r="C824" s="267" t="s">
        <v>77</v>
      </c>
      <c r="D824" s="15" t="s">
        <v>377</v>
      </c>
      <c r="E824" s="1497"/>
      <c r="F824" s="1497">
        <v>35000</v>
      </c>
      <c r="G824" s="267" t="s">
        <v>72</v>
      </c>
      <c r="H824" s="3" t="s">
        <v>646</v>
      </c>
      <c r="I824" s="3"/>
    </row>
    <row r="825" spans="1:9">
      <c r="A825" s="2">
        <v>44708</v>
      </c>
      <c r="B825" s="267"/>
      <c r="C825" s="267" t="s">
        <v>29</v>
      </c>
      <c r="D825" s="15" t="s">
        <v>647</v>
      </c>
      <c r="E825" s="1497">
        <v>35000</v>
      </c>
      <c r="F825" s="1497"/>
      <c r="G825" s="267" t="s">
        <v>72</v>
      </c>
      <c r="H825" s="3"/>
      <c r="I825" s="3"/>
    </row>
    <row r="826" spans="1:9">
      <c r="A826" s="2">
        <v>44708</v>
      </c>
      <c r="B826" s="267"/>
      <c r="C826" s="267" t="s">
        <v>29</v>
      </c>
      <c r="D826" s="15" t="s">
        <v>647</v>
      </c>
      <c r="E826" s="1497">
        <v>25000</v>
      </c>
      <c r="F826" s="1497"/>
      <c r="G826" s="267" t="s">
        <v>56</v>
      </c>
      <c r="H826" s="3"/>
      <c r="I826" s="3"/>
    </row>
    <row r="827" spans="1:9">
      <c r="A827" s="267"/>
      <c r="B827" s="267"/>
      <c r="C827" s="267"/>
      <c r="D827" s="3"/>
      <c r="E827" s="1497"/>
      <c r="F827" s="1497"/>
      <c r="G827" s="267"/>
      <c r="H827" s="102" t="s">
        <v>624</v>
      </c>
      <c r="I827" s="3"/>
    </row>
    <row r="828" spans="1:9">
      <c r="A828" s="267"/>
      <c r="B828" s="267"/>
      <c r="C828" s="267"/>
      <c r="D828" s="3"/>
      <c r="E828" s="1497"/>
      <c r="F828" s="1497"/>
      <c r="G828" s="267"/>
      <c r="H828" s="102" t="s">
        <v>626</v>
      </c>
      <c r="I828" s="3"/>
    </row>
    <row r="829" spans="1:9">
      <c r="A829" s="267"/>
      <c r="B829" s="267"/>
      <c r="C829" s="267"/>
      <c r="D829" s="3"/>
      <c r="E829" s="1497"/>
      <c r="F829" s="1497"/>
      <c r="G829" s="267"/>
      <c r="H829" s="102" t="s">
        <v>648</v>
      </c>
      <c r="I829" s="3"/>
    </row>
    <row r="830" spans="1:9">
      <c r="A830" s="267"/>
      <c r="B830" s="267"/>
      <c r="C830" s="267"/>
      <c r="D830" s="3"/>
      <c r="E830" s="1497"/>
      <c r="F830" s="1497"/>
      <c r="G830" s="267"/>
      <c r="H830" s="102" t="s">
        <v>645</v>
      </c>
      <c r="I830" s="3"/>
    </row>
    <row r="831" spans="1:9">
      <c r="A831" s="57"/>
      <c r="B831" s="57"/>
      <c r="C831" s="57"/>
      <c r="D831" s="85"/>
      <c r="E831" s="57"/>
      <c r="F831" s="57"/>
      <c r="G831" s="57"/>
      <c r="H831" s="103" t="s">
        <v>556</v>
      </c>
    </row>
    <row r="832" spans="1:9">
      <c r="A832" s="84">
        <v>44708</v>
      </c>
      <c r="B832" s="57"/>
      <c r="C832" s="57" t="s">
        <v>97</v>
      </c>
      <c r="D832" s="85" t="s">
        <v>649</v>
      </c>
      <c r="E832" s="1497">
        <v>33368</v>
      </c>
      <c r="F832" s="57"/>
      <c r="G832" s="57" t="s">
        <v>27</v>
      </c>
      <c r="H832" s="105"/>
    </row>
    <row r="833" spans="1:9">
      <c r="A833" s="2">
        <v>44711</v>
      </c>
      <c r="B833" s="267"/>
      <c r="C833" s="267" t="s">
        <v>86</v>
      </c>
      <c r="D833" s="3" t="s">
        <v>104</v>
      </c>
      <c r="E833" s="1497">
        <v>2550</v>
      </c>
      <c r="F833" s="1497"/>
      <c r="G833" s="267" t="s">
        <v>56</v>
      </c>
      <c r="H833" s="3"/>
      <c r="I833" s="3"/>
    </row>
    <row r="834" spans="1:9">
      <c r="A834" s="2">
        <v>44711</v>
      </c>
      <c r="B834" s="267"/>
      <c r="C834" s="267" t="s">
        <v>150</v>
      </c>
      <c r="D834" s="3" t="s">
        <v>650</v>
      </c>
      <c r="E834" s="1497">
        <v>2458.9499999999998</v>
      </c>
      <c r="F834" s="1497"/>
      <c r="G834" s="267" t="s">
        <v>27</v>
      </c>
      <c r="H834" s="3"/>
      <c r="I834" s="3"/>
    </row>
    <row r="835" spans="1:9">
      <c r="A835" s="2">
        <v>44711</v>
      </c>
      <c r="B835" s="267"/>
      <c r="C835" s="267" t="s">
        <v>92</v>
      </c>
      <c r="D835" s="3" t="s">
        <v>651</v>
      </c>
      <c r="E835" s="1497"/>
      <c r="F835" s="1497">
        <v>3200</v>
      </c>
      <c r="G835" s="267" t="s">
        <v>56</v>
      </c>
      <c r="H835" s="3"/>
      <c r="I835" s="3"/>
    </row>
    <row r="836" spans="1:9">
      <c r="A836" s="2">
        <v>44711</v>
      </c>
      <c r="B836" s="267"/>
      <c r="C836" s="267" t="s">
        <v>92</v>
      </c>
      <c r="D836" s="15" t="s">
        <v>300</v>
      </c>
      <c r="E836" s="1497"/>
      <c r="F836" s="1497">
        <v>13500</v>
      </c>
      <c r="G836" s="267" t="s">
        <v>56</v>
      </c>
      <c r="H836" s="3"/>
      <c r="I836" s="3"/>
    </row>
    <row r="837" spans="1:9">
      <c r="A837" s="2">
        <v>44711</v>
      </c>
      <c r="B837" s="267"/>
      <c r="C837" s="267" t="s">
        <v>79</v>
      </c>
      <c r="D837" s="3" t="s">
        <v>652</v>
      </c>
      <c r="E837" s="1497">
        <v>5000</v>
      </c>
      <c r="F837" s="1497"/>
      <c r="G837" s="267" t="s">
        <v>56</v>
      </c>
      <c r="H837" s="3" t="s">
        <v>614</v>
      </c>
      <c r="I837" s="3"/>
    </row>
    <row r="838" spans="1:9">
      <c r="A838" s="2">
        <v>44711</v>
      </c>
      <c r="B838" s="267"/>
      <c r="C838" s="267" t="s">
        <v>79</v>
      </c>
      <c r="D838" s="3" t="s">
        <v>654</v>
      </c>
      <c r="E838" s="1497"/>
      <c r="F838" s="1497">
        <v>46890.74</v>
      </c>
      <c r="G838" s="267" t="s">
        <v>27</v>
      </c>
      <c r="H838" s="3"/>
      <c r="I838" s="3"/>
    </row>
    <row r="839" spans="1:9">
      <c r="A839" s="2">
        <v>44711</v>
      </c>
      <c r="B839" s="267"/>
      <c r="C839" s="267" t="s">
        <v>79</v>
      </c>
      <c r="D839" s="3" t="s">
        <v>653</v>
      </c>
      <c r="E839" s="1497">
        <v>56504.63</v>
      </c>
      <c r="F839" s="1497"/>
      <c r="G839" s="267" t="s">
        <v>27</v>
      </c>
      <c r="H839" s="3"/>
      <c r="I839" s="3"/>
    </row>
    <row r="840" spans="1:9">
      <c r="A840" s="2">
        <v>44711</v>
      </c>
      <c r="B840" s="267"/>
      <c r="C840" s="267" t="s">
        <v>79</v>
      </c>
      <c r="D840" s="15" t="s">
        <v>656</v>
      </c>
      <c r="E840" s="1497"/>
      <c r="F840" s="1497">
        <v>50000</v>
      </c>
      <c r="G840" s="267" t="s">
        <v>27</v>
      </c>
      <c r="H840" s="3"/>
      <c r="I840" s="3"/>
    </row>
    <row r="841" spans="1:9">
      <c r="A841" s="2">
        <v>44711</v>
      </c>
      <c r="B841" s="267"/>
      <c r="C841" s="267" t="s">
        <v>150</v>
      </c>
      <c r="D841" s="15" t="s">
        <v>319</v>
      </c>
      <c r="E841" s="1497">
        <v>20000</v>
      </c>
      <c r="F841" s="1497"/>
      <c r="G841" s="267" t="s">
        <v>56</v>
      </c>
      <c r="H841" s="3"/>
      <c r="I841" s="3"/>
    </row>
    <row r="842" spans="1:9">
      <c r="A842" s="2">
        <v>44711</v>
      </c>
      <c r="B842" s="267"/>
      <c r="C842" s="267" t="s">
        <v>29</v>
      </c>
      <c r="D842" s="3" t="s">
        <v>426</v>
      </c>
      <c r="E842" s="1497">
        <v>26638.51</v>
      </c>
      <c r="F842" s="1497"/>
      <c r="G842" s="267" t="s">
        <v>27</v>
      </c>
      <c r="H842" s="3"/>
      <c r="I842" s="3"/>
    </row>
    <row r="843" spans="1:9">
      <c r="A843" s="2">
        <v>44711</v>
      </c>
      <c r="B843" s="267"/>
      <c r="C843" s="267" t="s">
        <v>29</v>
      </c>
      <c r="D843" s="3" t="s">
        <v>655</v>
      </c>
      <c r="E843" s="1497">
        <v>6344.22</v>
      </c>
      <c r="F843" s="1497"/>
      <c r="G843" s="267" t="s">
        <v>27</v>
      </c>
      <c r="H843" s="3"/>
      <c r="I843" s="3"/>
    </row>
    <row r="844" spans="1:9">
      <c r="A844" s="2">
        <v>44711</v>
      </c>
      <c r="B844" s="267"/>
      <c r="C844" s="267" t="s">
        <v>79</v>
      </c>
      <c r="D844" s="3" t="s">
        <v>277</v>
      </c>
      <c r="E844" s="1497">
        <v>1822.25</v>
      </c>
      <c r="F844" s="1497"/>
      <c r="G844" s="267" t="s">
        <v>27</v>
      </c>
      <c r="H844" s="3"/>
      <c r="I844" s="3"/>
    </row>
    <row r="845" spans="1:9">
      <c r="A845" s="2">
        <v>44712</v>
      </c>
      <c r="B845" s="267"/>
      <c r="C845" s="267" t="s">
        <v>29</v>
      </c>
      <c r="D845" s="15" t="s">
        <v>11</v>
      </c>
      <c r="E845" s="1497">
        <v>75000</v>
      </c>
      <c r="F845" s="1497"/>
      <c r="G845" s="267" t="s">
        <v>56</v>
      </c>
      <c r="H845" s="3" t="s">
        <v>614</v>
      </c>
      <c r="I845" s="3"/>
    </row>
    <row r="846" spans="1:9">
      <c r="A846" s="2">
        <v>44712</v>
      </c>
      <c r="B846" s="267"/>
      <c r="C846" s="267" t="s">
        <v>29</v>
      </c>
      <c r="D846" s="3" t="s">
        <v>657</v>
      </c>
      <c r="E846" s="1497">
        <v>11037.42</v>
      </c>
      <c r="F846" s="1497"/>
      <c r="G846" s="267" t="s">
        <v>27</v>
      </c>
      <c r="H846" s="3"/>
      <c r="I846" s="3"/>
    </row>
    <row r="847" spans="1:9">
      <c r="A847" s="2">
        <v>44712</v>
      </c>
      <c r="B847" s="267"/>
      <c r="C847" s="267" t="s">
        <v>77</v>
      </c>
      <c r="D847" s="3" t="s">
        <v>658</v>
      </c>
      <c r="E847" s="1497"/>
      <c r="F847" s="1497">
        <v>20000</v>
      </c>
      <c r="G847" s="267" t="s">
        <v>56</v>
      </c>
      <c r="H847" s="3"/>
      <c r="I847" s="3"/>
    </row>
    <row r="848" spans="1:9" ht="15.75" thickBot="1">
      <c r="A848" s="84">
        <v>44712</v>
      </c>
      <c r="B848" s="57"/>
      <c r="C848" s="57" t="s">
        <v>92</v>
      </c>
      <c r="D848" s="85" t="s">
        <v>659</v>
      </c>
      <c r="E848" s="57"/>
      <c r="F848" s="57">
        <v>14500</v>
      </c>
      <c r="G848" s="57" t="s">
        <v>56</v>
      </c>
      <c r="H848" s="85"/>
      <c r="I848" s="85"/>
    </row>
    <row r="849" spans="1:9" ht="15.75" thickBot="1">
      <c r="A849" s="234" t="s">
        <v>660</v>
      </c>
      <c r="B849" s="230"/>
      <c r="C849" s="230"/>
      <c r="D849" s="230"/>
      <c r="E849" s="1494"/>
      <c r="F849" s="1494"/>
      <c r="G849" s="230"/>
      <c r="H849" s="230"/>
      <c r="I849" s="235"/>
    </row>
    <row r="850" spans="1:9" s="79" customFormat="1">
      <c r="A850" s="106">
        <v>44713</v>
      </c>
      <c r="B850" s="10"/>
      <c r="C850" s="10" t="s">
        <v>79</v>
      </c>
      <c r="D850" s="107" t="s">
        <v>669</v>
      </c>
      <c r="E850" s="10">
        <v>8000</v>
      </c>
      <c r="F850" s="108"/>
      <c r="G850" s="10" t="s">
        <v>56</v>
      </c>
      <c r="H850" s="107" t="s">
        <v>614</v>
      </c>
      <c r="I850" s="107"/>
    </row>
    <row r="851" spans="1:9" s="109" customFormat="1">
      <c r="A851" s="106">
        <v>44713</v>
      </c>
      <c r="B851" s="10"/>
      <c r="C851" s="10" t="s">
        <v>79</v>
      </c>
      <c r="D851" s="107" t="s">
        <v>670</v>
      </c>
      <c r="E851" s="10">
        <v>16000</v>
      </c>
      <c r="F851" s="108"/>
      <c r="G851" s="10" t="s">
        <v>56</v>
      </c>
      <c r="H851" s="107" t="s">
        <v>614</v>
      </c>
      <c r="I851" s="107"/>
    </row>
    <row r="852" spans="1:9">
      <c r="A852" s="4">
        <v>44713</v>
      </c>
      <c r="B852" s="62"/>
      <c r="C852" s="62" t="s">
        <v>65</v>
      </c>
      <c r="D852" s="78" t="s">
        <v>661</v>
      </c>
      <c r="E852" s="62">
        <v>3720</v>
      </c>
      <c r="F852" s="62"/>
      <c r="G852" s="62" t="s">
        <v>27</v>
      </c>
      <c r="H852" s="5"/>
      <c r="I852" s="5"/>
    </row>
    <row r="853" spans="1:9">
      <c r="A853" s="2">
        <v>44713</v>
      </c>
      <c r="B853" s="267"/>
      <c r="C853" s="267" t="s">
        <v>65</v>
      </c>
      <c r="D853" s="15" t="s">
        <v>662</v>
      </c>
      <c r="E853" s="1497">
        <v>780</v>
      </c>
      <c r="F853" s="1497"/>
      <c r="G853" s="267" t="s">
        <v>27</v>
      </c>
      <c r="H853" s="3"/>
      <c r="I853" s="3"/>
    </row>
    <row r="854" spans="1:9">
      <c r="A854" s="2">
        <v>44713</v>
      </c>
      <c r="B854" s="267"/>
      <c r="C854" s="267" t="s">
        <v>65</v>
      </c>
      <c r="D854" s="15" t="s">
        <v>663</v>
      </c>
      <c r="E854" s="1497">
        <v>780</v>
      </c>
      <c r="F854" s="1497"/>
      <c r="G854" s="267" t="s">
        <v>27</v>
      </c>
      <c r="H854" s="3"/>
      <c r="I854" s="3"/>
    </row>
    <row r="855" spans="1:9">
      <c r="A855" s="2">
        <v>44713</v>
      </c>
      <c r="B855" s="267"/>
      <c r="C855" s="267" t="s">
        <v>55</v>
      </c>
      <c r="D855" s="15" t="s">
        <v>664</v>
      </c>
      <c r="E855" s="1497">
        <v>700</v>
      </c>
      <c r="F855" s="1497"/>
      <c r="G855" s="267" t="s">
        <v>56</v>
      </c>
      <c r="H855" s="3"/>
      <c r="I855" s="3"/>
    </row>
    <row r="856" spans="1:9">
      <c r="A856" s="2">
        <v>44714</v>
      </c>
      <c r="B856" s="267"/>
      <c r="C856" s="267" t="s">
        <v>97</v>
      </c>
      <c r="D856" s="15" t="s">
        <v>666</v>
      </c>
      <c r="E856" s="1497">
        <v>6000</v>
      </c>
      <c r="F856" s="1497"/>
      <c r="G856" s="267" t="s">
        <v>27</v>
      </c>
      <c r="H856" s="3"/>
      <c r="I856" s="3"/>
    </row>
    <row r="857" spans="1:9">
      <c r="A857" s="2">
        <v>44714</v>
      </c>
      <c r="B857" s="267"/>
      <c r="C857" s="267" t="s">
        <v>79</v>
      </c>
      <c r="D857" s="3" t="s">
        <v>667</v>
      </c>
      <c r="E857" s="1497" t="s">
        <v>668</v>
      </c>
      <c r="F857" s="1497"/>
      <c r="G857" s="267" t="s">
        <v>27</v>
      </c>
      <c r="H857" s="3"/>
      <c r="I857" s="3"/>
    </row>
    <row r="858" spans="1:9">
      <c r="A858" s="2">
        <v>44714</v>
      </c>
      <c r="B858" s="267"/>
      <c r="C858" s="267" t="s">
        <v>55</v>
      </c>
      <c r="D858" s="3" t="s">
        <v>446</v>
      </c>
      <c r="E858" s="1497">
        <v>460</v>
      </c>
      <c r="F858" s="1497"/>
      <c r="G858" s="267" t="s">
        <v>56</v>
      </c>
      <c r="H858" s="3"/>
      <c r="I858" s="3"/>
    </row>
    <row r="859" spans="1:9">
      <c r="A859" s="2">
        <v>44714</v>
      </c>
      <c r="B859" s="267"/>
      <c r="C859" s="267" t="s">
        <v>79</v>
      </c>
      <c r="D859" s="3" t="s">
        <v>671</v>
      </c>
      <c r="E859" s="1497">
        <v>15000</v>
      </c>
      <c r="F859" s="1497"/>
      <c r="G859" s="267" t="s">
        <v>56</v>
      </c>
      <c r="H859" s="3" t="s">
        <v>614</v>
      </c>
      <c r="I859" s="3"/>
    </row>
    <row r="860" spans="1:9">
      <c r="A860" s="2">
        <v>44714</v>
      </c>
      <c r="B860" s="267"/>
      <c r="C860" s="267" t="s">
        <v>55</v>
      </c>
      <c r="D860" s="3" t="s">
        <v>63</v>
      </c>
      <c r="E860" s="1497">
        <v>939.2</v>
      </c>
      <c r="F860" s="1497"/>
      <c r="G860" s="267" t="s">
        <v>56</v>
      </c>
      <c r="H860" s="3"/>
      <c r="I860" s="3"/>
    </row>
    <row r="861" spans="1:9">
      <c r="A861" s="2">
        <v>44715</v>
      </c>
      <c r="B861" s="267"/>
      <c r="C861" s="267" t="s">
        <v>29</v>
      </c>
      <c r="D861" s="3" t="s">
        <v>672</v>
      </c>
      <c r="E861" s="1497">
        <v>3500</v>
      </c>
      <c r="F861" s="1497"/>
      <c r="G861" s="267" t="s">
        <v>56</v>
      </c>
      <c r="H861" s="3"/>
      <c r="I861" s="3"/>
    </row>
    <row r="862" spans="1:9">
      <c r="A862" s="2">
        <v>44715</v>
      </c>
      <c r="B862" s="267"/>
      <c r="C862" s="267" t="s">
        <v>77</v>
      </c>
      <c r="D862" s="3" t="s">
        <v>674</v>
      </c>
      <c r="E862" s="1497"/>
      <c r="F862" s="1497">
        <v>400000</v>
      </c>
      <c r="G862" s="267" t="s">
        <v>56</v>
      </c>
      <c r="H862" s="3" t="s">
        <v>673</v>
      </c>
      <c r="I862" s="3"/>
    </row>
    <row r="863" spans="1:9">
      <c r="A863" s="2">
        <v>44715</v>
      </c>
      <c r="B863" s="267"/>
      <c r="C863" s="267" t="s">
        <v>77</v>
      </c>
      <c r="D863" s="3" t="s">
        <v>674</v>
      </c>
      <c r="E863" s="1497"/>
      <c r="F863" s="1497">
        <v>390000</v>
      </c>
      <c r="G863" s="267" t="s">
        <v>287</v>
      </c>
      <c r="H863" s="3"/>
      <c r="I863" s="3"/>
    </row>
    <row r="864" spans="1:9">
      <c r="A864" s="2">
        <v>44715</v>
      </c>
      <c r="B864" s="267"/>
      <c r="C864" s="267" t="s">
        <v>29</v>
      </c>
      <c r="D864" s="3" t="s">
        <v>48</v>
      </c>
      <c r="E864" s="1497">
        <v>19000</v>
      </c>
      <c r="F864" s="1497"/>
      <c r="G864" s="267" t="s">
        <v>27</v>
      </c>
      <c r="H864" s="3"/>
      <c r="I864" s="3"/>
    </row>
    <row r="865" spans="1:9">
      <c r="A865" s="2">
        <v>44715</v>
      </c>
      <c r="B865" s="267"/>
      <c r="C865" s="267" t="s">
        <v>29</v>
      </c>
      <c r="D865" s="3" t="s">
        <v>48</v>
      </c>
      <c r="E865" s="1497">
        <v>39000</v>
      </c>
      <c r="F865" s="1497"/>
      <c r="G865" s="267" t="s">
        <v>287</v>
      </c>
      <c r="H865" s="3"/>
      <c r="I865" s="3"/>
    </row>
    <row r="866" spans="1:9">
      <c r="A866" s="2">
        <v>44715</v>
      </c>
      <c r="B866" s="267"/>
      <c r="C866" s="267" t="s">
        <v>86</v>
      </c>
      <c r="D866" s="15" t="s">
        <v>195</v>
      </c>
      <c r="E866" s="1497">
        <v>3063.01</v>
      </c>
      <c r="F866" s="1497"/>
      <c r="G866" s="267" t="s">
        <v>56</v>
      </c>
      <c r="H866" s="3"/>
      <c r="I866" s="3"/>
    </row>
    <row r="867" spans="1:9">
      <c r="A867" s="2">
        <v>44715</v>
      </c>
      <c r="B867" s="267"/>
      <c r="C867" s="267" t="s">
        <v>88</v>
      </c>
      <c r="D867" s="15" t="s">
        <v>219</v>
      </c>
      <c r="E867" s="1497">
        <v>21800</v>
      </c>
      <c r="F867" s="1497"/>
      <c r="G867" s="267" t="s">
        <v>56</v>
      </c>
      <c r="H867" s="3" t="s">
        <v>676</v>
      </c>
      <c r="I867" s="3"/>
    </row>
    <row r="868" spans="1:9">
      <c r="A868" s="2">
        <v>44715</v>
      </c>
      <c r="B868" s="267"/>
      <c r="C868" s="267" t="s">
        <v>308</v>
      </c>
      <c r="D868" s="3" t="s">
        <v>232</v>
      </c>
      <c r="E868" s="1497">
        <v>10300</v>
      </c>
      <c r="F868" s="1497"/>
      <c r="G868" s="267" t="s">
        <v>27</v>
      </c>
      <c r="H868" s="3"/>
      <c r="I868" s="3"/>
    </row>
    <row r="869" spans="1:9">
      <c r="A869" s="2">
        <v>44715</v>
      </c>
      <c r="B869" s="267"/>
      <c r="C869" s="267" t="s">
        <v>88</v>
      </c>
      <c r="D869" s="3" t="s">
        <v>144</v>
      </c>
      <c r="E869" s="1497">
        <v>20000</v>
      </c>
      <c r="F869" s="1497"/>
      <c r="G869" s="267" t="s">
        <v>27</v>
      </c>
      <c r="H869" s="3"/>
      <c r="I869" s="3"/>
    </row>
    <row r="870" spans="1:9">
      <c r="A870" s="2">
        <v>44715</v>
      </c>
      <c r="B870" s="267"/>
      <c r="C870" s="267" t="s">
        <v>88</v>
      </c>
      <c r="D870" s="3" t="s">
        <v>88</v>
      </c>
      <c r="E870" s="1497">
        <v>39000</v>
      </c>
      <c r="F870" s="1497"/>
      <c r="G870" s="267" t="s">
        <v>56</v>
      </c>
      <c r="H870" s="3"/>
      <c r="I870" s="3"/>
    </row>
    <row r="871" spans="1:9">
      <c r="A871" s="2">
        <v>44715</v>
      </c>
      <c r="B871" s="267"/>
      <c r="C871" s="267" t="s">
        <v>79</v>
      </c>
      <c r="D871" s="15" t="s">
        <v>79</v>
      </c>
      <c r="E871" s="1497">
        <v>10000</v>
      </c>
      <c r="F871" s="1497"/>
      <c r="G871" s="267" t="s">
        <v>72</v>
      </c>
      <c r="H871" s="3"/>
      <c r="I871" s="3"/>
    </row>
    <row r="872" spans="1:9">
      <c r="H872" s="102" t="s">
        <v>624</v>
      </c>
    </row>
    <row r="873" spans="1:9">
      <c r="H873" s="102" t="s">
        <v>679</v>
      </c>
    </row>
    <row r="874" spans="1:9">
      <c r="H874" s="102" t="s">
        <v>682</v>
      </c>
    </row>
    <row r="875" spans="1:9">
      <c r="H875" s="102" t="s">
        <v>677</v>
      </c>
    </row>
    <row r="876" spans="1:9">
      <c r="H876" s="103" t="s">
        <v>678</v>
      </c>
    </row>
    <row r="877" spans="1:9">
      <c r="A877" s="270">
        <v>44718</v>
      </c>
      <c r="B877" s="267"/>
      <c r="C877" s="267" t="s">
        <v>79</v>
      </c>
      <c r="D877" s="3" t="s">
        <v>680</v>
      </c>
      <c r="E877" s="1497">
        <v>3982.64</v>
      </c>
      <c r="F877" s="1497"/>
      <c r="G877" s="267" t="s">
        <v>27</v>
      </c>
      <c r="H877" s="3"/>
      <c r="I877" s="3"/>
    </row>
    <row r="878" spans="1:9">
      <c r="A878" s="270">
        <v>44718</v>
      </c>
      <c r="B878" s="267"/>
      <c r="C878" s="267" t="s">
        <v>79</v>
      </c>
      <c r="D878" s="3" t="s">
        <v>680</v>
      </c>
      <c r="E878" s="1497">
        <v>7600.54</v>
      </c>
      <c r="F878" s="1497"/>
      <c r="G878" s="267" t="s">
        <v>27</v>
      </c>
      <c r="H878" s="3"/>
      <c r="I878" s="3"/>
    </row>
    <row r="879" spans="1:9">
      <c r="A879" s="270">
        <v>44718</v>
      </c>
      <c r="B879" s="267"/>
      <c r="C879" s="267" t="s">
        <v>79</v>
      </c>
      <c r="D879" s="3" t="s">
        <v>680</v>
      </c>
      <c r="E879" s="1497">
        <v>13850</v>
      </c>
      <c r="F879" s="1497"/>
      <c r="G879" s="267" t="s">
        <v>27</v>
      </c>
      <c r="H879" s="3"/>
      <c r="I879" s="3"/>
    </row>
    <row r="880" spans="1:9">
      <c r="A880" s="270">
        <v>44718</v>
      </c>
      <c r="B880" s="267" t="s">
        <v>681</v>
      </c>
      <c r="C880" s="267" t="s">
        <v>55</v>
      </c>
      <c r="D880" s="15" t="s">
        <v>369</v>
      </c>
      <c r="E880" s="1497">
        <v>300</v>
      </c>
      <c r="F880" s="1497"/>
      <c r="G880" s="267" t="s">
        <v>56</v>
      </c>
      <c r="H880" s="3"/>
      <c r="I880" s="3"/>
    </row>
    <row r="881" spans="1:9">
      <c r="A881" s="270">
        <v>44718</v>
      </c>
      <c r="B881" s="267"/>
      <c r="C881" s="267" t="s">
        <v>205</v>
      </c>
      <c r="D881" s="3" t="s">
        <v>683</v>
      </c>
      <c r="E881" s="1497">
        <v>27048</v>
      </c>
      <c r="F881" s="1497"/>
      <c r="G881" s="267" t="s">
        <v>27</v>
      </c>
      <c r="H881" s="3"/>
      <c r="I881" s="3"/>
    </row>
    <row r="882" spans="1:9">
      <c r="A882" s="270">
        <v>44719</v>
      </c>
      <c r="B882" s="267"/>
      <c r="C882" s="267" t="s">
        <v>433</v>
      </c>
      <c r="D882" s="3" t="s">
        <v>684</v>
      </c>
      <c r="E882" s="1497">
        <v>2806.46</v>
      </c>
      <c r="F882" s="1497"/>
      <c r="G882" s="267" t="s">
        <v>27</v>
      </c>
      <c r="H882" s="3"/>
      <c r="I882" s="3"/>
    </row>
    <row r="883" spans="1:9">
      <c r="A883" s="270">
        <v>44719</v>
      </c>
      <c r="B883" s="267"/>
      <c r="C883" s="267" t="s">
        <v>55</v>
      </c>
      <c r="D883" s="3" t="s">
        <v>225</v>
      </c>
      <c r="E883" s="1497">
        <v>300</v>
      </c>
      <c r="F883" s="1497"/>
      <c r="G883" s="267" t="s">
        <v>56</v>
      </c>
      <c r="H883" s="3"/>
      <c r="I883" s="3"/>
    </row>
    <row r="884" spans="1:9">
      <c r="A884" s="270">
        <v>44719</v>
      </c>
      <c r="B884" s="267"/>
      <c r="C884" s="267" t="s">
        <v>205</v>
      </c>
      <c r="D884" s="3" t="s">
        <v>207</v>
      </c>
      <c r="E884" s="1497">
        <v>13800</v>
      </c>
      <c r="F884" s="1497"/>
      <c r="G884" s="267" t="s">
        <v>27</v>
      </c>
      <c r="H884" s="3"/>
      <c r="I884" s="3"/>
    </row>
    <row r="885" spans="1:9">
      <c r="A885" s="270">
        <v>44719</v>
      </c>
      <c r="B885" s="267"/>
      <c r="C885" s="267" t="s">
        <v>77</v>
      </c>
      <c r="D885" s="15" t="s">
        <v>685</v>
      </c>
      <c r="E885" s="1497"/>
      <c r="F885" s="1497">
        <v>62400</v>
      </c>
      <c r="G885" s="267" t="s">
        <v>27</v>
      </c>
      <c r="H885" s="3"/>
      <c r="I885" s="3"/>
    </row>
    <row r="886" spans="1:9">
      <c r="A886" s="270">
        <v>44719</v>
      </c>
      <c r="B886" s="267"/>
      <c r="C886" s="267" t="s">
        <v>77</v>
      </c>
      <c r="D886" s="3" t="s">
        <v>687</v>
      </c>
      <c r="E886" s="1497"/>
      <c r="F886" s="1497">
        <v>32800</v>
      </c>
      <c r="G886" s="267" t="s">
        <v>72</v>
      </c>
      <c r="H886" s="69" t="s">
        <v>686</v>
      </c>
      <c r="I886" s="3"/>
    </row>
    <row r="887" spans="1:9">
      <c r="A887" s="270">
        <v>44719</v>
      </c>
      <c r="B887" s="267"/>
      <c r="C887" s="267" t="s">
        <v>205</v>
      </c>
      <c r="D887" s="3" t="s">
        <v>71</v>
      </c>
      <c r="E887" s="1497">
        <v>45000</v>
      </c>
      <c r="F887" s="1497"/>
      <c r="G887" s="267" t="s">
        <v>27</v>
      </c>
      <c r="H887" s="3"/>
      <c r="I887" s="3"/>
    </row>
    <row r="888" spans="1:9">
      <c r="A888" s="270">
        <v>44719</v>
      </c>
      <c r="B888" s="267"/>
      <c r="C888" s="267" t="s">
        <v>79</v>
      </c>
      <c r="D888" s="3" t="s">
        <v>536</v>
      </c>
      <c r="E888" s="1497">
        <v>10000</v>
      </c>
      <c r="F888" s="1497"/>
      <c r="G888" s="267" t="s">
        <v>27</v>
      </c>
      <c r="H888" s="3"/>
      <c r="I888" s="3"/>
    </row>
    <row r="889" spans="1:9">
      <c r="A889" s="270">
        <v>44719</v>
      </c>
      <c r="B889" s="267"/>
      <c r="C889" s="267" t="s">
        <v>55</v>
      </c>
      <c r="D889" s="3" t="s">
        <v>554</v>
      </c>
      <c r="E889" s="1497">
        <v>8426.19</v>
      </c>
      <c r="F889" s="1497"/>
      <c r="G889" s="267" t="s">
        <v>688</v>
      </c>
      <c r="H889" s="3"/>
      <c r="I889" s="3"/>
    </row>
    <row r="890" spans="1:9">
      <c r="A890" s="270">
        <v>44719</v>
      </c>
      <c r="B890" s="267"/>
      <c r="C890" s="267" t="s">
        <v>205</v>
      </c>
      <c r="D890" s="3" t="s">
        <v>689</v>
      </c>
      <c r="E890" s="1497">
        <v>16400</v>
      </c>
      <c r="F890" s="1497"/>
      <c r="G890" s="267" t="s">
        <v>72</v>
      </c>
      <c r="H890" s="3" t="s">
        <v>690</v>
      </c>
      <c r="I890" s="3"/>
    </row>
    <row r="891" spans="1:9">
      <c r="A891" s="270">
        <v>44719</v>
      </c>
      <c r="B891" s="267"/>
      <c r="C891" s="267" t="s">
        <v>691</v>
      </c>
      <c r="D891" s="3" t="s">
        <v>689</v>
      </c>
      <c r="E891" s="1497">
        <v>5390</v>
      </c>
      <c r="F891" s="1497"/>
      <c r="G891" s="267" t="s">
        <v>206</v>
      </c>
      <c r="H891" s="3"/>
      <c r="I891" s="3"/>
    </row>
    <row r="892" spans="1:9">
      <c r="A892" s="270">
        <v>44719</v>
      </c>
      <c r="B892" s="267"/>
      <c r="C892" s="267" t="s">
        <v>160</v>
      </c>
      <c r="D892" s="3" t="s">
        <v>693</v>
      </c>
      <c r="E892" s="1497"/>
      <c r="F892" s="1497">
        <v>1700</v>
      </c>
      <c r="G892" s="267" t="s">
        <v>56</v>
      </c>
      <c r="H892" s="3"/>
      <c r="I892" s="3"/>
    </row>
    <row r="893" spans="1:9">
      <c r="A893" s="270">
        <v>44719</v>
      </c>
      <c r="B893" s="267"/>
      <c r="C893" s="267" t="s">
        <v>92</v>
      </c>
      <c r="D893" s="3" t="s">
        <v>692</v>
      </c>
      <c r="E893" s="1497"/>
      <c r="F893" s="1497">
        <v>770</v>
      </c>
      <c r="G893" s="267" t="s">
        <v>56</v>
      </c>
      <c r="H893" s="3"/>
      <c r="I893" s="3"/>
    </row>
    <row r="894" spans="1:9">
      <c r="A894" s="270">
        <v>44719</v>
      </c>
      <c r="B894" s="267"/>
      <c r="C894" s="267" t="s">
        <v>86</v>
      </c>
      <c r="D894" s="3" t="s">
        <v>104</v>
      </c>
      <c r="E894" s="1497">
        <v>2550</v>
      </c>
      <c r="F894" s="1497"/>
      <c r="G894" s="267" t="s">
        <v>56</v>
      </c>
      <c r="H894" s="3"/>
      <c r="I894" s="3"/>
    </row>
    <row r="895" spans="1:9">
      <c r="A895" s="270">
        <v>44719</v>
      </c>
      <c r="B895" s="267"/>
      <c r="C895" s="267" t="s">
        <v>185</v>
      </c>
      <c r="D895" s="3" t="s">
        <v>665</v>
      </c>
      <c r="E895" s="1497">
        <v>39864.99</v>
      </c>
      <c r="F895" s="1497"/>
      <c r="G895" s="267" t="s">
        <v>27</v>
      </c>
      <c r="H895" s="3"/>
      <c r="I895" s="3"/>
    </row>
    <row r="896" spans="1:9">
      <c r="A896" s="270">
        <v>44719</v>
      </c>
      <c r="B896" s="267"/>
      <c r="C896" s="267" t="s">
        <v>79</v>
      </c>
      <c r="D896" s="3" t="s">
        <v>151</v>
      </c>
      <c r="E896" s="1497">
        <v>2000</v>
      </c>
      <c r="F896" s="1497"/>
      <c r="G896" s="267" t="s">
        <v>56</v>
      </c>
      <c r="H896" s="3"/>
      <c r="I896" s="3"/>
    </row>
    <row r="897" spans="1:9">
      <c r="A897" s="270">
        <v>44720</v>
      </c>
      <c r="B897" s="267"/>
      <c r="C897" s="267" t="s">
        <v>68</v>
      </c>
      <c r="D897" s="3" t="s">
        <v>453</v>
      </c>
      <c r="E897" s="1497">
        <v>1500</v>
      </c>
      <c r="F897" s="1497"/>
      <c r="G897" s="267" t="s">
        <v>56</v>
      </c>
      <c r="H897" s="3"/>
      <c r="I897" s="3"/>
    </row>
    <row r="898" spans="1:9" ht="16.5">
      <c r="A898" s="270">
        <v>44720</v>
      </c>
      <c r="B898" s="267"/>
      <c r="C898" s="267" t="s">
        <v>92</v>
      </c>
      <c r="D898" s="3" t="s">
        <v>694</v>
      </c>
      <c r="E898" s="158"/>
      <c r="F898" s="1497">
        <v>46890</v>
      </c>
      <c r="G898" s="267" t="s">
        <v>27</v>
      </c>
      <c r="H898" s="3"/>
      <c r="I898" s="3"/>
    </row>
    <row r="899" spans="1:9">
      <c r="A899" s="270">
        <v>44720</v>
      </c>
      <c r="B899" s="267"/>
      <c r="C899" s="267" t="s">
        <v>92</v>
      </c>
      <c r="D899" s="15" t="s">
        <v>300</v>
      </c>
      <c r="E899" s="1497"/>
      <c r="F899" s="1497">
        <v>11200</v>
      </c>
      <c r="G899" s="267" t="s">
        <v>56</v>
      </c>
      <c r="H899" s="3"/>
      <c r="I899" s="3"/>
    </row>
    <row r="900" spans="1:9">
      <c r="A900" s="270">
        <v>44720</v>
      </c>
      <c r="B900" s="267"/>
      <c r="C900" s="267" t="s">
        <v>94</v>
      </c>
      <c r="D900" s="3" t="s">
        <v>17</v>
      </c>
      <c r="E900" s="1497">
        <v>1273.03</v>
      </c>
      <c r="F900" s="1497"/>
      <c r="G900" s="267" t="s">
        <v>27</v>
      </c>
      <c r="H900" s="3"/>
      <c r="I900" s="3"/>
    </row>
    <row r="901" spans="1:9">
      <c r="A901" s="270">
        <v>44720</v>
      </c>
      <c r="B901" s="267"/>
      <c r="C901" s="267" t="s">
        <v>55</v>
      </c>
      <c r="D901" s="3" t="s">
        <v>335</v>
      </c>
      <c r="E901" s="1497">
        <v>500</v>
      </c>
      <c r="F901" s="1497"/>
      <c r="G901" s="267" t="s">
        <v>56</v>
      </c>
      <c r="H901" s="3" t="s">
        <v>634</v>
      </c>
      <c r="I901" s="3"/>
    </row>
    <row r="902" spans="1:9">
      <c r="A902" s="270">
        <v>44721</v>
      </c>
      <c r="B902" s="267"/>
      <c r="C902" s="267" t="s">
        <v>92</v>
      </c>
      <c r="D902" s="3" t="s">
        <v>695</v>
      </c>
      <c r="E902" s="1497"/>
      <c r="F902" s="1497">
        <v>3500</v>
      </c>
      <c r="G902" s="267" t="s">
        <v>56</v>
      </c>
      <c r="H902" s="3"/>
      <c r="I902" s="3"/>
    </row>
    <row r="903" spans="1:9">
      <c r="A903" s="270">
        <v>44721</v>
      </c>
      <c r="B903" s="267"/>
      <c r="C903" s="267" t="s">
        <v>79</v>
      </c>
      <c r="D903" s="3" t="s">
        <v>151</v>
      </c>
      <c r="E903" s="1497">
        <v>2500</v>
      </c>
      <c r="F903" s="1497"/>
      <c r="G903" s="267" t="s">
        <v>56</v>
      </c>
      <c r="H903" s="3"/>
      <c r="I903" s="3"/>
    </row>
    <row r="904" spans="1:9">
      <c r="A904" s="270">
        <v>44721</v>
      </c>
      <c r="B904" s="267"/>
      <c r="C904" s="267" t="s">
        <v>55</v>
      </c>
      <c r="D904" s="3" t="s">
        <v>407</v>
      </c>
      <c r="E904" s="1497">
        <v>457.65</v>
      </c>
      <c r="F904" s="1497"/>
      <c r="G904" s="267" t="s">
        <v>56</v>
      </c>
      <c r="H904" s="3"/>
      <c r="I904" s="3"/>
    </row>
    <row r="905" spans="1:9">
      <c r="A905" s="270">
        <v>44721</v>
      </c>
      <c r="B905" s="267"/>
      <c r="C905" s="267" t="s">
        <v>92</v>
      </c>
      <c r="D905" s="3" t="s">
        <v>696</v>
      </c>
      <c r="E905" s="1497"/>
      <c r="F905" s="1497">
        <v>3200</v>
      </c>
      <c r="G905" s="267" t="s">
        <v>56</v>
      </c>
      <c r="H905" s="3"/>
      <c r="I905" s="3"/>
    </row>
    <row r="906" spans="1:9">
      <c r="A906" s="270">
        <v>44721</v>
      </c>
      <c r="B906" s="267"/>
      <c r="C906" s="267" t="s">
        <v>55</v>
      </c>
      <c r="D906" s="3" t="s">
        <v>38</v>
      </c>
      <c r="E906" s="1497"/>
      <c r="F906" s="1497">
        <v>400</v>
      </c>
      <c r="G906" s="267" t="s">
        <v>56</v>
      </c>
      <c r="H906" s="3"/>
      <c r="I906" s="3"/>
    </row>
    <row r="907" spans="1:9">
      <c r="A907" s="270">
        <v>44722</v>
      </c>
      <c r="B907" s="267"/>
      <c r="C907" s="267" t="s">
        <v>92</v>
      </c>
      <c r="D907" s="3" t="s">
        <v>697</v>
      </c>
      <c r="E907" s="1497"/>
      <c r="F907" s="1497">
        <v>32200</v>
      </c>
      <c r="G907" s="267" t="s">
        <v>56</v>
      </c>
      <c r="H907" s="3"/>
      <c r="I907" s="3"/>
    </row>
    <row r="908" spans="1:9">
      <c r="A908" s="270">
        <v>44722</v>
      </c>
      <c r="B908" s="267"/>
      <c r="C908" s="267" t="s">
        <v>92</v>
      </c>
      <c r="D908" s="3" t="s">
        <v>698</v>
      </c>
      <c r="E908" s="1497"/>
      <c r="F908" s="1497">
        <v>6780</v>
      </c>
      <c r="G908" s="267" t="s">
        <v>56</v>
      </c>
      <c r="H908" s="3"/>
      <c r="I908" s="3"/>
    </row>
    <row r="909" spans="1:9">
      <c r="A909" s="270">
        <v>44722</v>
      </c>
      <c r="B909" s="267"/>
      <c r="C909" s="267" t="s">
        <v>156</v>
      </c>
      <c r="D909" s="3" t="s">
        <v>700</v>
      </c>
      <c r="E909" s="1497">
        <v>50327.27</v>
      </c>
      <c r="F909" s="1497"/>
      <c r="G909" s="267" t="s">
        <v>56</v>
      </c>
      <c r="H909" s="3"/>
      <c r="I909" s="3"/>
    </row>
    <row r="910" spans="1:9">
      <c r="A910" s="270">
        <v>44722</v>
      </c>
      <c r="B910" s="267"/>
      <c r="C910" s="267" t="s">
        <v>156</v>
      </c>
      <c r="D910" s="3" t="s">
        <v>701</v>
      </c>
      <c r="E910" s="1497">
        <v>134564.26999999999</v>
      </c>
      <c r="F910" s="1497"/>
      <c r="G910" s="267" t="s">
        <v>27</v>
      </c>
      <c r="H910" s="3"/>
      <c r="I910" s="3"/>
    </row>
    <row r="911" spans="1:9">
      <c r="A911" s="270">
        <v>44722</v>
      </c>
      <c r="B911" s="267"/>
      <c r="C911" s="267" t="s">
        <v>88</v>
      </c>
      <c r="D911" s="3" t="s">
        <v>88</v>
      </c>
      <c r="E911" s="1497">
        <v>80800</v>
      </c>
      <c r="F911" s="1497"/>
      <c r="G911" s="267" t="s">
        <v>56</v>
      </c>
      <c r="H911" s="3" t="s">
        <v>705</v>
      </c>
      <c r="I911" s="3"/>
    </row>
    <row r="912" spans="1:9">
      <c r="A912" s="267"/>
      <c r="B912" s="267"/>
      <c r="C912" s="267"/>
      <c r="D912" s="3"/>
      <c r="E912" s="1497"/>
      <c r="F912" s="1497"/>
      <c r="G912" s="267"/>
      <c r="H912" s="102" t="s">
        <v>702</v>
      </c>
      <c r="I912" s="3"/>
    </row>
    <row r="913" spans="1:9">
      <c r="A913" s="267"/>
      <c r="B913" s="267"/>
      <c r="C913" s="267"/>
      <c r="D913" s="3"/>
      <c r="E913" s="1497"/>
      <c r="F913" s="1497"/>
      <c r="G913" s="267"/>
      <c r="H913" s="102" t="s">
        <v>703</v>
      </c>
      <c r="I913" s="3"/>
    </row>
    <row r="914" spans="1:9">
      <c r="A914" s="267"/>
      <c r="B914" s="267"/>
      <c r="C914" s="267"/>
      <c r="D914" s="3"/>
      <c r="E914" s="1497"/>
      <c r="F914" s="1497"/>
      <c r="G914" s="267"/>
      <c r="H914" s="102" t="s">
        <v>706</v>
      </c>
      <c r="I914" s="3"/>
    </row>
    <row r="915" spans="1:9">
      <c r="A915" s="267"/>
      <c r="B915" s="267"/>
      <c r="C915" s="267"/>
      <c r="D915" s="3"/>
      <c r="E915" s="1497"/>
      <c r="F915" s="1497"/>
      <c r="G915" s="267"/>
      <c r="H915" s="102" t="s">
        <v>704</v>
      </c>
      <c r="I915" s="3"/>
    </row>
    <row r="916" spans="1:9">
      <c r="A916" s="267"/>
      <c r="B916" s="267"/>
      <c r="C916" s="267"/>
      <c r="D916" s="3"/>
      <c r="E916" s="1497"/>
      <c r="F916" s="1497"/>
      <c r="G916" s="267"/>
      <c r="H916" s="102" t="s">
        <v>678</v>
      </c>
      <c r="I916" s="3"/>
    </row>
    <row r="917" spans="1:9">
      <c r="A917" s="270">
        <v>44725</v>
      </c>
      <c r="B917" s="267"/>
      <c r="C917" s="267" t="s">
        <v>86</v>
      </c>
      <c r="D917" s="3" t="s">
        <v>107</v>
      </c>
      <c r="E917" s="1497">
        <v>2553.19</v>
      </c>
      <c r="F917" s="1497"/>
      <c r="G917" s="267" t="s">
        <v>56</v>
      </c>
      <c r="H917" s="3"/>
      <c r="I917" s="3"/>
    </row>
    <row r="918" spans="1:9">
      <c r="A918" s="270">
        <v>44725</v>
      </c>
      <c r="B918" s="267"/>
      <c r="C918" s="267" t="s">
        <v>205</v>
      </c>
      <c r="D918" s="3" t="s">
        <v>190</v>
      </c>
      <c r="E918" s="1497">
        <v>87200</v>
      </c>
      <c r="F918" s="1497"/>
      <c r="G918" s="267" t="s">
        <v>56</v>
      </c>
      <c r="H918" s="102" t="s">
        <v>707</v>
      </c>
      <c r="I918" s="3"/>
    </row>
    <row r="919" spans="1:9">
      <c r="A919" s="270">
        <v>44725</v>
      </c>
      <c r="B919" s="267"/>
      <c r="C919" s="267" t="s">
        <v>205</v>
      </c>
      <c r="D919" s="3" t="s">
        <v>190</v>
      </c>
      <c r="E919" s="1497">
        <v>61800</v>
      </c>
      <c r="F919" s="1497"/>
      <c r="G919" s="267" t="s">
        <v>56</v>
      </c>
      <c r="H919" s="102" t="s">
        <v>708</v>
      </c>
      <c r="I919" s="3"/>
    </row>
    <row r="920" spans="1:9">
      <c r="A920" s="270">
        <v>44725</v>
      </c>
      <c r="B920" s="267"/>
      <c r="C920" s="267" t="s">
        <v>94</v>
      </c>
      <c r="D920" s="3" t="s">
        <v>709</v>
      </c>
      <c r="E920" s="1497">
        <v>3300</v>
      </c>
      <c r="F920" s="1497"/>
      <c r="G920" s="267" t="s">
        <v>56</v>
      </c>
      <c r="H920" s="3"/>
      <c r="I920" s="3"/>
    </row>
    <row r="921" spans="1:9">
      <c r="A921" s="270">
        <v>44726</v>
      </c>
      <c r="B921" s="267"/>
      <c r="C921" s="267" t="s">
        <v>156</v>
      </c>
      <c r="D921" s="3" t="s">
        <v>710</v>
      </c>
      <c r="E921" s="1497">
        <v>6287.51</v>
      </c>
      <c r="F921" s="1497"/>
      <c r="G921" s="267" t="s">
        <v>56</v>
      </c>
      <c r="H921" s="3"/>
      <c r="I921" s="3"/>
    </row>
    <row r="922" spans="1:9">
      <c r="A922" s="270">
        <v>44726</v>
      </c>
      <c r="B922" s="267"/>
      <c r="C922" s="267" t="s">
        <v>156</v>
      </c>
      <c r="D922" s="3" t="s">
        <v>710</v>
      </c>
      <c r="E922" s="1497">
        <v>9605.02</v>
      </c>
      <c r="F922" s="1497"/>
      <c r="G922" s="267" t="s">
        <v>56</v>
      </c>
      <c r="H922" s="3"/>
      <c r="I922" s="3"/>
    </row>
    <row r="923" spans="1:9">
      <c r="A923" s="270">
        <v>44726</v>
      </c>
      <c r="B923" s="267"/>
      <c r="C923" s="267" t="s">
        <v>156</v>
      </c>
      <c r="D923" s="3" t="s">
        <v>710</v>
      </c>
      <c r="E923" s="1497">
        <v>7378.5</v>
      </c>
      <c r="F923" s="1497"/>
      <c r="G923" s="267" t="s">
        <v>56</v>
      </c>
      <c r="H923" s="3"/>
      <c r="I923" s="3"/>
    </row>
    <row r="924" spans="1:9">
      <c r="A924" s="270">
        <v>44726</v>
      </c>
      <c r="B924" s="267"/>
      <c r="C924" s="267" t="s">
        <v>156</v>
      </c>
      <c r="D924" s="3" t="s">
        <v>710</v>
      </c>
      <c r="E924" s="1497">
        <v>1859.59</v>
      </c>
      <c r="F924" s="1497"/>
      <c r="G924" s="267" t="s">
        <v>56</v>
      </c>
      <c r="H924" s="3"/>
      <c r="I924" s="3"/>
    </row>
    <row r="925" spans="1:9">
      <c r="A925" s="270">
        <v>44726</v>
      </c>
      <c r="B925" s="267"/>
      <c r="C925" s="267" t="s">
        <v>156</v>
      </c>
      <c r="D925" s="3" t="s">
        <v>710</v>
      </c>
      <c r="E925" s="1497">
        <v>4427.92</v>
      </c>
      <c r="F925" s="1497"/>
      <c r="G925" s="267" t="s">
        <v>56</v>
      </c>
      <c r="H925" s="3"/>
      <c r="I925" s="3"/>
    </row>
    <row r="926" spans="1:9">
      <c r="A926" s="270">
        <v>44726</v>
      </c>
      <c r="B926" s="267"/>
      <c r="C926" s="267" t="s">
        <v>62</v>
      </c>
      <c r="D926" s="3" t="s">
        <v>38</v>
      </c>
      <c r="E926" s="1497">
        <v>400</v>
      </c>
      <c r="F926" s="1497"/>
      <c r="G926" s="267" t="s">
        <v>56</v>
      </c>
      <c r="H926" s="3"/>
      <c r="I926" s="3"/>
    </row>
    <row r="927" spans="1:9">
      <c r="A927" s="270">
        <v>44726</v>
      </c>
      <c r="B927" s="267"/>
      <c r="C927" s="267" t="s">
        <v>77</v>
      </c>
      <c r="D927" s="3" t="s">
        <v>441</v>
      </c>
      <c r="E927" s="1497"/>
      <c r="F927" s="1497">
        <v>650000</v>
      </c>
      <c r="G927" s="267" t="s">
        <v>27</v>
      </c>
      <c r="H927" s="3"/>
      <c r="I927" s="3"/>
    </row>
    <row r="928" spans="1:9">
      <c r="A928" s="270">
        <v>44726</v>
      </c>
      <c r="B928" s="267"/>
      <c r="C928" s="267" t="s">
        <v>77</v>
      </c>
      <c r="D928" s="3" t="s">
        <v>711</v>
      </c>
      <c r="E928" s="1497">
        <v>18405.7</v>
      </c>
      <c r="F928" s="1497"/>
      <c r="G928" s="267" t="s">
        <v>27</v>
      </c>
      <c r="H928" s="3"/>
      <c r="I928" s="3"/>
    </row>
    <row r="929" spans="1:9">
      <c r="A929" s="270">
        <v>44727</v>
      </c>
      <c r="B929" s="267"/>
      <c r="C929" s="267" t="s">
        <v>90</v>
      </c>
      <c r="D929" s="3" t="s">
        <v>68</v>
      </c>
      <c r="E929" s="1497">
        <v>1500</v>
      </c>
      <c r="F929" s="1497"/>
      <c r="G929" s="267" t="s">
        <v>56</v>
      </c>
      <c r="H929" s="3"/>
      <c r="I929" s="3"/>
    </row>
    <row r="930" spans="1:9">
      <c r="A930" s="270">
        <v>44727</v>
      </c>
      <c r="B930" s="267"/>
      <c r="C930" s="267" t="s">
        <v>92</v>
      </c>
      <c r="D930" s="3" t="s">
        <v>712</v>
      </c>
      <c r="E930" s="1497"/>
      <c r="F930" s="1497">
        <v>8500</v>
      </c>
      <c r="G930" s="267" t="s">
        <v>27</v>
      </c>
      <c r="H930" s="3"/>
      <c r="I930" s="3"/>
    </row>
    <row r="931" spans="1:9">
      <c r="A931" s="270">
        <v>44727</v>
      </c>
      <c r="B931" s="267"/>
      <c r="C931" s="267" t="s">
        <v>77</v>
      </c>
      <c r="D931" s="15" t="s">
        <v>713</v>
      </c>
      <c r="E931" s="1497"/>
      <c r="F931" s="1497">
        <v>40000</v>
      </c>
      <c r="G931" s="267" t="s">
        <v>56</v>
      </c>
      <c r="H931" s="3"/>
      <c r="I931" s="3"/>
    </row>
    <row r="932" spans="1:9">
      <c r="A932" s="270">
        <v>44728</v>
      </c>
      <c r="B932" s="267"/>
      <c r="C932" s="267" t="s">
        <v>86</v>
      </c>
      <c r="D932" s="3" t="s">
        <v>107</v>
      </c>
      <c r="E932" s="1497">
        <v>2550</v>
      </c>
      <c r="F932" s="1497"/>
      <c r="G932" s="267" t="s">
        <v>56</v>
      </c>
      <c r="H932" s="3"/>
      <c r="I932" s="3"/>
    </row>
    <row r="933" spans="1:9">
      <c r="A933" s="270">
        <v>44728</v>
      </c>
      <c r="B933" s="267"/>
      <c r="C933" s="267" t="s">
        <v>62</v>
      </c>
      <c r="D933" s="3" t="s">
        <v>238</v>
      </c>
      <c r="E933" s="1497">
        <v>190</v>
      </c>
      <c r="F933" s="1497"/>
      <c r="G933" s="267" t="s">
        <v>56</v>
      </c>
      <c r="H933" s="3"/>
      <c r="I933" s="3"/>
    </row>
    <row r="934" spans="1:9">
      <c r="A934" s="270">
        <v>44728</v>
      </c>
      <c r="B934" s="267"/>
      <c r="C934" s="267" t="s">
        <v>62</v>
      </c>
      <c r="D934" s="3" t="s">
        <v>38</v>
      </c>
      <c r="E934" s="1497">
        <v>740</v>
      </c>
      <c r="F934" s="1497"/>
      <c r="G934" s="267" t="s">
        <v>56</v>
      </c>
      <c r="H934" s="3" t="s">
        <v>170</v>
      </c>
      <c r="I934" s="3"/>
    </row>
    <row r="935" spans="1:9">
      <c r="A935" s="270">
        <v>44728</v>
      </c>
      <c r="B935" s="267"/>
      <c r="C935" s="267" t="s">
        <v>55</v>
      </c>
      <c r="D935" s="3" t="s">
        <v>562</v>
      </c>
      <c r="E935" s="1497">
        <v>500</v>
      </c>
      <c r="F935" s="1497"/>
      <c r="G935" s="267" t="s">
        <v>56</v>
      </c>
      <c r="H935" s="3"/>
      <c r="I935" s="3"/>
    </row>
    <row r="936" spans="1:9">
      <c r="A936" s="270">
        <v>44728</v>
      </c>
      <c r="B936" s="267"/>
      <c r="C936" s="267" t="s">
        <v>715</v>
      </c>
      <c r="D936" s="15" t="s">
        <v>714</v>
      </c>
      <c r="E936" s="1497">
        <v>13700</v>
      </c>
      <c r="F936" s="1497"/>
      <c r="G936" s="267" t="s">
        <v>56</v>
      </c>
      <c r="H936" s="3"/>
      <c r="I936" s="3"/>
    </row>
    <row r="937" spans="1:9">
      <c r="A937" s="270">
        <v>44728</v>
      </c>
      <c r="B937" s="267"/>
      <c r="C937" s="267" t="s">
        <v>77</v>
      </c>
      <c r="D937" s="3" t="s">
        <v>716</v>
      </c>
      <c r="E937" s="1497"/>
      <c r="F937" s="1497">
        <v>271800</v>
      </c>
      <c r="G937" s="267" t="s">
        <v>72</v>
      </c>
      <c r="H937" s="3" t="s">
        <v>619</v>
      </c>
      <c r="I937" s="3"/>
    </row>
    <row r="938" spans="1:9">
      <c r="A938" s="270">
        <v>44728</v>
      </c>
      <c r="B938" s="267"/>
      <c r="C938" s="267" t="s">
        <v>55</v>
      </c>
      <c r="D938" s="3" t="s">
        <v>246</v>
      </c>
      <c r="E938" s="1497">
        <v>34441.15</v>
      </c>
      <c r="F938" s="1497"/>
      <c r="G938" s="267" t="s">
        <v>27</v>
      </c>
      <c r="H938" s="3" t="s">
        <v>717</v>
      </c>
      <c r="I938" s="3"/>
    </row>
    <row r="939" spans="1:9">
      <c r="A939" s="270">
        <v>44728</v>
      </c>
      <c r="B939" s="267"/>
      <c r="C939" s="267" t="s">
        <v>205</v>
      </c>
      <c r="D939" s="3" t="s">
        <v>354</v>
      </c>
      <c r="E939" s="1497">
        <v>150000</v>
      </c>
      <c r="F939" s="1497"/>
      <c r="G939" s="267" t="s">
        <v>72</v>
      </c>
      <c r="H939" s="3" t="s">
        <v>739</v>
      </c>
      <c r="I939" s="3"/>
    </row>
    <row r="940" spans="1:9">
      <c r="A940" s="270">
        <v>44728</v>
      </c>
      <c r="B940" s="267"/>
      <c r="C940" s="267" t="s">
        <v>205</v>
      </c>
      <c r="D940" s="3" t="s">
        <v>354</v>
      </c>
      <c r="E940" s="1497">
        <v>250000</v>
      </c>
      <c r="F940" s="1497"/>
      <c r="G940" s="267" t="s">
        <v>27</v>
      </c>
      <c r="H940" s="3"/>
      <c r="I940" s="3"/>
    </row>
    <row r="941" spans="1:9">
      <c r="A941" s="270">
        <v>44728</v>
      </c>
      <c r="B941" s="267"/>
      <c r="C941" s="267" t="s">
        <v>79</v>
      </c>
      <c r="D941" s="3" t="s">
        <v>718</v>
      </c>
      <c r="E941" s="1497">
        <v>6000</v>
      </c>
      <c r="F941" s="1497"/>
      <c r="G941" s="267" t="s">
        <v>27</v>
      </c>
      <c r="H941" s="3"/>
      <c r="I941" s="3"/>
    </row>
    <row r="942" spans="1:9">
      <c r="A942" s="270">
        <v>44728</v>
      </c>
      <c r="B942" s="267"/>
      <c r="C942" s="267" t="s">
        <v>88</v>
      </c>
      <c r="D942" s="3" t="s">
        <v>144</v>
      </c>
      <c r="E942" s="1497">
        <v>25000</v>
      </c>
      <c r="F942" s="1497"/>
      <c r="G942" s="267" t="s">
        <v>27</v>
      </c>
      <c r="H942" s="3"/>
      <c r="I942" s="3"/>
    </row>
    <row r="943" spans="1:9">
      <c r="A943" s="270">
        <v>44728</v>
      </c>
      <c r="B943" s="267"/>
      <c r="C943" s="267" t="s">
        <v>88</v>
      </c>
      <c r="D943" s="3" t="s">
        <v>88</v>
      </c>
      <c r="E943" s="1497">
        <v>56700</v>
      </c>
      <c r="F943" s="1497"/>
      <c r="G943" s="267" t="s">
        <v>56</v>
      </c>
      <c r="H943" s="82" t="s">
        <v>722</v>
      </c>
      <c r="I943" s="3"/>
    </row>
    <row r="944" spans="1:9">
      <c r="A944" s="267"/>
      <c r="B944" s="267"/>
      <c r="C944" s="267"/>
      <c r="D944" s="3"/>
      <c r="E944" s="1497"/>
      <c r="F944" s="1497"/>
      <c r="G944" s="267"/>
      <c r="H944" s="102" t="s">
        <v>721</v>
      </c>
      <c r="I944" s="3"/>
    </row>
    <row r="945" spans="1:9">
      <c r="A945" s="267"/>
      <c r="B945" s="267"/>
      <c r="C945" s="267"/>
      <c r="D945" s="3"/>
      <c r="E945" s="1497"/>
      <c r="F945" s="1497"/>
      <c r="G945" s="267"/>
      <c r="H945" s="102" t="s">
        <v>723</v>
      </c>
      <c r="I945" s="3"/>
    </row>
    <row r="946" spans="1:9">
      <c r="H946" s="102" t="s">
        <v>719</v>
      </c>
    </row>
    <row r="947" spans="1:9">
      <c r="H947" s="102" t="s">
        <v>724</v>
      </c>
    </row>
    <row r="948" spans="1:9">
      <c r="H948" s="102" t="s">
        <v>556</v>
      </c>
    </row>
    <row r="949" spans="1:9">
      <c r="H949" s="103" t="s">
        <v>720</v>
      </c>
    </row>
    <row r="950" spans="1:9">
      <c r="A950" s="270">
        <v>44733</v>
      </c>
      <c r="B950" s="267"/>
      <c r="C950" s="267" t="s">
        <v>79</v>
      </c>
      <c r="D950" s="3" t="s">
        <v>151</v>
      </c>
      <c r="E950" s="1497">
        <v>1500</v>
      </c>
      <c r="F950" s="1497"/>
      <c r="G950" s="267" t="s">
        <v>56</v>
      </c>
      <c r="H950" s="111"/>
      <c r="I950" s="3"/>
    </row>
    <row r="951" spans="1:9">
      <c r="A951" s="270">
        <v>44733</v>
      </c>
      <c r="B951" s="267"/>
      <c r="C951" s="267" t="s">
        <v>79</v>
      </c>
      <c r="D951" s="3" t="s">
        <v>151</v>
      </c>
      <c r="E951" s="1497">
        <v>4653.32</v>
      </c>
      <c r="F951" s="1497"/>
      <c r="G951" s="267" t="s">
        <v>27</v>
      </c>
      <c r="H951" s="3"/>
      <c r="I951" s="3"/>
    </row>
    <row r="952" spans="1:9">
      <c r="A952" s="270">
        <v>44733</v>
      </c>
      <c r="B952" s="267"/>
      <c r="C952" s="267" t="s">
        <v>79</v>
      </c>
      <c r="D952" s="3" t="s">
        <v>151</v>
      </c>
      <c r="E952" s="1497">
        <v>5010</v>
      </c>
      <c r="F952" s="1497"/>
      <c r="G952" s="267" t="s">
        <v>27</v>
      </c>
      <c r="H952" s="3"/>
      <c r="I952" s="3"/>
    </row>
    <row r="953" spans="1:9">
      <c r="A953" s="270">
        <v>44733</v>
      </c>
      <c r="B953" s="267"/>
      <c r="C953" s="267" t="s">
        <v>92</v>
      </c>
      <c r="D953" s="3" t="s">
        <v>725</v>
      </c>
      <c r="E953" s="1497">
        <v>84580</v>
      </c>
      <c r="F953" s="1497"/>
      <c r="G953" s="267" t="s">
        <v>27</v>
      </c>
      <c r="H953" s="3"/>
      <c r="I953" s="3"/>
    </row>
    <row r="954" spans="1:9">
      <c r="A954" s="270">
        <v>44733</v>
      </c>
      <c r="B954" s="267"/>
      <c r="C954" s="267" t="s">
        <v>537</v>
      </c>
      <c r="D954" s="3" t="s">
        <v>726</v>
      </c>
      <c r="E954" s="1497">
        <v>2000</v>
      </c>
      <c r="F954" s="1497"/>
      <c r="G954" s="267" t="s">
        <v>27</v>
      </c>
      <c r="H954" s="3"/>
      <c r="I954" s="3"/>
    </row>
    <row r="955" spans="1:9">
      <c r="A955" s="270">
        <v>44733</v>
      </c>
      <c r="B955" s="267"/>
      <c r="C955" s="267" t="s">
        <v>94</v>
      </c>
      <c r="D955" s="3" t="s">
        <v>727</v>
      </c>
      <c r="E955" s="1497">
        <v>4979.03</v>
      </c>
      <c r="F955" s="1497"/>
      <c r="G955" s="267" t="s">
        <v>27</v>
      </c>
      <c r="H955" s="3"/>
      <c r="I955" s="3"/>
    </row>
    <row r="956" spans="1:9">
      <c r="A956" s="112">
        <v>44733</v>
      </c>
      <c r="B956" s="70"/>
      <c r="C956" s="70" t="s">
        <v>55</v>
      </c>
      <c r="D956" s="113" t="s">
        <v>136</v>
      </c>
      <c r="E956" s="70">
        <v>1000</v>
      </c>
      <c r="F956" s="1497"/>
      <c r="G956" s="267" t="s">
        <v>56</v>
      </c>
      <c r="H956" s="45" t="s">
        <v>728</v>
      </c>
      <c r="I956" s="3"/>
    </row>
    <row r="957" spans="1:9">
      <c r="A957" s="270">
        <v>44733</v>
      </c>
      <c r="B957" s="267"/>
      <c r="C957" s="267" t="s">
        <v>79</v>
      </c>
      <c r="D957" s="3" t="s">
        <v>151</v>
      </c>
      <c r="E957" s="1497">
        <v>2117.21</v>
      </c>
      <c r="F957" s="1497"/>
      <c r="G957" s="267" t="s">
        <v>27</v>
      </c>
      <c r="H957" s="3"/>
      <c r="I957" s="3"/>
    </row>
    <row r="958" spans="1:9">
      <c r="A958" s="270">
        <v>44733</v>
      </c>
      <c r="B958" s="267"/>
      <c r="C958" s="267" t="s">
        <v>92</v>
      </c>
      <c r="D958" s="3" t="s">
        <v>732</v>
      </c>
      <c r="E958" s="1497"/>
      <c r="F958" s="1497">
        <v>106000</v>
      </c>
      <c r="G958" s="267" t="s">
        <v>56</v>
      </c>
      <c r="H958" s="3"/>
      <c r="I958" s="3"/>
    </row>
    <row r="959" spans="1:9">
      <c r="A959" s="270">
        <v>44733</v>
      </c>
      <c r="B959" s="267"/>
      <c r="C959" s="267" t="s">
        <v>77</v>
      </c>
      <c r="D959" s="3" t="s">
        <v>733</v>
      </c>
      <c r="E959" s="1497"/>
      <c r="F959" s="1497">
        <v>100000</v>
      </c>
      <c r="G959" s="267" t="s">
        <v>56</v>
      </c>
      <c r="H959" s="3"/>
      <c r="I959" s="3"/>
    </row>
    <row r="960" spans="1:9">
      <c r="A960" s="270">
        <v>44734</v>
      </c>
      <c r="B960" s="267"/>
      <c r="C960" s="267" t="s">
        <v>537</v>
      </c>
      <c r="D960" s="3" t="s">
        <v>726</v>
      </c>
      <c r="E960" s="1497">
        <v>2000</v>
      </c>
      <c r="F960" s="1497"/>
      <c r="G960" s="267" t="s">
        <v>27</v>
      </c>
      <c r="H960" s="3"/>
      <c r="I960" s="3"/>
    </row>
    <row r="961" spans="1:9">
      <c r="A961" s="270">
        <v>44734</v>
      </c>
      <c r="B961" s="267"/>
      <c r="C961" s="267" t="s">
        <v>29</v>
      </c>
      <c r="D961" s="3" t="s">
        <v>354</v>
      </c>
      <c r="E961" s="1497">
        <v>159500</v>
      </c>
      <c r="F961" s="1497"/>
      <c r="G961" s="267" t="s">
        <v>27</v>
      </c>
      <c r="H961" s="3"/>
      <c r="I961" s="3"/>
    </row>
    <row r="962" spans="1:9">
      <c r="A962" s="270">
        <v>44734</v>
      </c>
      <c r="B962" s="267"/>
      <c r="C962" s="267" t="s">
        <v>79</v>
      </c>
      <c r="D962" s="3" t="s">
        <v>166</v>
      </c>
      <c r="E962" s="1497">
        <v>32000</v>
      </c>
      <c r="F962" s="1497"/>
      <c r="G962" s="267" t="s">
        <v>27</v>
      </c>
      <c r="H962" s="3"/>
      <c r="I962" s="3"/>
    </row>
    <row r="963" spans="1:9">
      <c r="A963" s="270">
        <v>44734</v>
      </c>
      <c r="B963" s="267"/>
      <c r="C963" s="267" t="s">
        <v>730</v>
      </c>
      <c r="D963" s="3" t="s">
        <v>729</v>
      </c>
      <c r="E963" s="1497">
        <v>10000</v>
      </c>
      <c r="F963" s="1497"/>
      <c r="G963" s="267" t="s">
        <v>56</v>
      </c>
      <c r="H963" s="3"/>
      <c r="I963" s="3"/>
    </row>
    <row r="964" spans="1:9">
      <c r="A964" s="270">
        <v>44734</v>
      </c>
      <c r="B964" s="267"/>
      <c r="C964" s="267" t="s">
        <v>730</v>
      </c>
      <c r="D964" s="3" t="s">
        <v>729</v>
      </c>
      <c r="E964" s="1497">
        <v>6000</v>
      </c>
      <c r="F964" s="1497"/>
      <c r="G964" s="267" t="s">
        <v>206</v>
      </c>
      <c r="H964" s="45" t="s">
        <v>731</v>
      </c>
      <c r="I964" s="3"/>
    </row>
    <row r="965" spans="1:9">
      <c r="A965" s="270">
        <v>44734</v>
      </c>
      <c r="B965" s="267"/>
      <c r="C965" s="267" t="s">
        <v>205</v>
      </c>
      <c r="D965" s="3" t="s">
        <v>71</v>
      </c>
      <c r="E965" s="1497">
        <v>20000</v>
      </c>
      <c r="F965" s="1497"/>
      <c r="G965" s="267" t="s">
        <v>27</v>
      </c>
      <c r="H965" s="3"/>
      <c r="I965" s="3"/>
    </row>
    <row r="966" spans="1:9">
      <c r="A966" s="270">
        <v>44734</v>
      </c>
      <c r="B966" s="267"/>
      <c r="C966" s="267" t="s">
        <v>205</v>
      </c>
      <c r="D966" s="3" t="s">
        <v>80</v>
      </c>
      <c r="E966" s="1497">
        <v>3000</v>
      </c>
      <c r="F966" s="1497"/>
      <c r="G966" s="267" t="s">
        <v>56</v>
      </c>
      <c r="H966" s="3" t="s">
        <v>734</v>
      </c>
      <c r="I966" s="3"/>
    </row>
    <row r="967" spans="1:9">
      <c r="A967" s="270">
        <v>44734</v>
      </c>
      <c r="B967" s="267"/>
      <c r="C967" s="267" t="s">
        <v>205</v>
      </c>
      <c r="D967" s="3" t="s">
        <v>80</v>
      </c>
      <c r="E967" s="1497">
        <v>500</v>
      </c>
      <c r="F967" s="1497"/>
      <c r="G967" s="267" t="s">
        <v>56</v>
      </c>
      <c r="H967" s="3" t="s">
        <v>735</v>
      </c>
      <c r="I967" s="3"/>
    </row>
    <row r="968" spans="1:9">
      <c r="A968" s="270">
        <v>44734</v>
      </c>
      <c r="B968" s="267"/>
      <c r="C968" s="267" t="s">
        <v>205</v>
      </c>
      <c r="D968" s="3" t="s">
        <v>554</v>
      </c>
      <c r="E968" s="1497">
        <v>2099.9899999999998</v>
      </c>
      <c r="F968" s="1497"/>
      <c r="G968" s="267" t="s">
        <v>56</v>
      </c>
      <c r="H968" s="3"/>
      <c r="I968" s="3"/>
    </row>
    <row r="969" spans="1:9">
      <c r="A969" s="270">
        <v>44734</v>
      </c>
      <c r="B969" s="267"/>
      <c r="C969" s="267" t="s">
        <v>77</v>
      </c>
      <c r="D969" s="3" t="s">
        <v>733</v>
      </c>
      <c r="E969" s="1497"/>
      <c r="F969" s="1497">
        <v>411000</v>
      </c>
      <c r="G969" s="267" t="s">
        <v>56</v>
      </c>
      <c r="H969" s="3"/>
      <c r="I969" s="3"/>
    </row>
    <row r="970" spans="1:9">
      <c r="A970" s="270">
        <v>44735</v>
      </c>
      <c r="B970" s="267"/>
      <c r="C970" s="267" t="s">
        <v>79</v>
      </c>
      <c r="D970" s="15" t="s">
        <v>737</v>
      </c>
      <c r="E970" s="1497">
        <v>3517.8</v>
      </c>
      <c r="F970" s="1497"/>
      <c r="G970" s="267" t="s">
        <v>27</v>
      </c>
      <c r="H970" s="3"/>
      <c r="I970" s="3"/>
    </row>
    <row r="971" spans="1:9">
      <c r="A971" s="270">
        <v>44735</v>
      </c>
      <c r="B971" s="267"/>
      <c r="C971" s="267" t="s">
        <v>79</v>
      </c>
      <c r="D971" s="15" t="s">
        <v>736</v>
      </c>
      <c r="E971" s="1497">
        <v>686.33</v>
      </c>
      <c r="F971" s="1497"/>
      <c r="G971" s="267" t="s">
        <v>27</v>
      </c>
      <c r="H971" s="3"/>
      <c r="I971" s="3"/>
    </row>
    <row r="972" spans="1:9">
      <c r="A972" s="270">
        <v>44735</v>
      </c>
      <c r="B972" s="267"/>
      <c r="C972" s="267" t="s">
        <v>79</v>
      </c>
      <c r="D972" s="15" t="s">
        <v>736</v>
      </c>
      <c r="E972" s="1497">
        <v>686.33</v>
      </c>
      <c r="F972" s="1497"/>
      <c r="G972" s="267" t="s">
        <v>27</v>
      </c>
      <c r="H972" s="3"/>
      <c r="I972" s="3"/>
    </row>
    <row r="973" spans="1:9">
      <c r="A973" s="270">
        <v>44735</v>
      </c>
      <c r="B973" s="267"/>
      <c r="C973" s="267" t="s">
        <v>433</v>
      </c>
      <c r="D973" s="3" t="s">
        <v>319</v>
      </c>
      <c r="E973" s="1497">
        <v>96400</v>
      </c>
      <c r="F973" s="1497"/>
      <c r="G973" s="267" t="s">
        <v>56</v>
      </c>
      <c r="H973" s="3"/>
      <c r="I973" s="3"/>
    </row>
    <row r="974" spans="1:9">
      <c r="A974" s="270">
        <v>44735</v>
      </c>
      <c r="B974" s="267"/>
      <c r="C974" s="267" t="s">
        <v>433</v>
      </c>
      <c r="D974" s="15" t="s">
        <v>319</v>
      </c>
      <c r="E974" s="1497">
        <v>24000</v>
      </c>
      <c r="F974" s="1497"/>
      <c r="G974" s="267" t="s">
        <v>56</v>
      </c>
      <c r="H974" s="3"/>
      <c r="I974" s="3"/>
    </row>
    <row r="975" spans="1:9">
      <c r="A975" s="270">
        <v>44735</v>
      </c>
      <c r="B975" s="267"/>
      <c r="C975" s="267" t="s">
        <v>433</v>
      </c>
      <c r="D975" s="15" t="s">
        <v>319</v>
      </c>
      <c r="E975" s="1497">
        <v>80000</v>
      </c>
      <c r="F975" s="1497"/>
      <c r="G975" s="267" t="s">
        <v>56</v>
      </c>
      <c r="H975" s="3"/>
      <c r="I975" s="3"/>
    </row>
    <row r="976" spans="1:9">
      <c r="A976" s="270">
        <v>44735</v>
      </c>
      <c r="B976" s="267"/>
      <c r="C976" s="267" t="s">
        <v>691</v>
      </c>
      <c r="D976" s="3" t="s">
        <v>738</v>
      </c>
      <c r="E976" s="1497">
        <v>189546.5</v>
      </c>
      <c r="F976" s="1497"/>
      <c r="G976" s="267" t="s">
        <v>27</v>
      </c>
      <c r="H976" s="3"/>
      <c r="I976" s="3"/>
    </row>
    <row r="977" spans="1:9">
      <c r="A977" s="270">
        <v>44735</v>
      </c>
      <c r="B977" s="267"/>
      <c r="C977" s="267" t="s">
        <v>29</v>
      </c>
      <c r="D977" s="3" t="s">
        <v>740</v>
      </c>
      <c r="E977" s="1497">
        <v>5800</v>
      </c>
      <c r="F977" s="1497"/>
      <c r="G977" s="267" t="s">
        <v>56</v>
      </c>
      <c r="H977" s="3" t="s">
        <v>735</v>
      </c>
      <c r="I977" s="3"/>
    </row>
    <row r="978" spans="1:9">
      <c r="A978" s="270">
        <v>44735</v>
      </c>
      <c r="B978" s="267"/>
      <c r="C978" s="267" t="s">
        <v>77</v>
      </c>
      <c r="D978" s="3" t="s">
        <v>741</v>
      </c>
      <c r="E978" s="1497"/>
      <c r="F978" s="1497">
        <v>8300</v>
      </c>
      <c r="G978" s="267" t="s">
        <v>27</v>
      </c>
      <c r="H978" s="3" t="s">
        <v>742</v>
      </c>
      <c r="I978" s="3"/>
    </row>
    <row r="979" spans="1:9">
      <c r="A979" s="270">
        <v>44735</v>
      </c>
      <c r="B979" s="267"/>
      <c r="C979" s="267" t="s">
        <v>79</v>
      </c>
      <c r="D979" s="3" t="s">
        <v>151</v>
      </c>
      <c r="E979" s="1497">
        <v>7000</v>
      </c>
      <c r="F979" s="1497"/>
      <c r="G979" s="267" t="s">
        <v>56</v>
      </c>
      <c r="H979" s="3"/>
      <c r="I979" s="3"/>
    </row>
    <row r="980" spans="1:9">
      <c r="A980" s="270">
        <v>44735</v>
      </c>
      <c r="B980" s="267"/>
      <c r="C980" s="267" t="s">
        <v>55</v>
      </c>
      <c r="D980" s="3" t="s">
        <v>635</v>
      </c>
      <c r="E980" s="1497">
        <v>200</v>
      </c>
      <c r="F980" s="1497"/>
      <c r="G980" s="267" t="s">
        <v>56</v>
      </c>
      <c r="H980" s="3"/>
      <c r="I980" s="3"/>
    </row>
    <row r="981" spans="1:9">
      <c r="A981" s="270">
        <v>44735</v>
      </c>
      <c r="B981" s="267"/>
      <c r="C981" s="267" t="s">
        <v>433</v>
      </c>
      <c r="D981" s="3" t="s">
        <v>743</v>
      </c>
      <c r="E981" s="1497">
        <v>8600</v>
      </c>
      <c r="F981" s="1497"/>
      <c r="G981" s="267" t="s">
        <v>27</v>
      </c>
      <c r="H981" s="3"/>
      <c r="I981" s="3"/>
    </row>
    <row r="982" spans="1:9">
      <c r="A982" s="270">
        <v>44735</v>
      </c>
      <c r="B982" s="267"/>
      <c r="C982" s="267" t="s">
        <v>79</v>
      </c>
      <c r="D982" s="15" t="s">
        <v>151</v>
      </c>
      <c r="E982" s="1497">
        <v>1477.65</v>
      </c>
      <c r="F982" s="1497"/>
      <c r="G982" s="267" t="s">
        <v>27</v>
      </c>
      <c r="H982" s="3"/>
      <c r="I982" s="3"/>
    </row>
    <row r="983" spans="1:9">
      <c r="A983" s="270">
        <v>44736</v>
      </c>
      <c r="B983" s="267"/>
      <c r="C983" s="267" t="s">
        <v>86</v>
      </c>
      <c r="D983" s="3" t="s">
        <v>104</v>
      </c>
      <c r="E983" s="1497">
        <v>2560</v>
      </c>
      <c r="F983" s="1497"/>
      <c r="G983" s="267" t="s">
        <v>27</v>
      </c>
      <c r="H983" s="3"/>
      <c r="I983" s="3"/>
    </row>
    <row r="984" spans="1:9" ht="30">
      <c r="A984" s="270">
        <v>44736</v>
      </c>
      <c r="B984" s="267"/>
      <c r="C984" s="267" t="s">
        <v>205</v>
      </c>
      <c r="D984" s="3" t="s">
        <v>45</v>
      </c>
      <c r="E984" s="1497">
        <v>21000</v>
      </c>
      <c r="F984" s="1497"/>
      <c r="G984" s="267" t="s">
        <v>287</v>
      </c>
      <c r="H984" s="114" t="s">
        <v>744</v>
      </c>
      <c r="I984" s="3"/>
    </row>
    <row r="985" spans="1:9">
      <c r="A985" s="270">
        <v>44736</v>
      </c>
      <c r="B985" s="267"/>
      <c r="C985" s="267" t="s">
        <v>205</v>
      </c>
      <c r="D985" s="3" t="s">
        <v>45</v>
      </c>
      <c r="E985" s="1497">
        <v>12123</v>
      </c>
      <c r="F985" s="1497"/>
      <c r="G985" s="267" t="s">
        <v>27</v>
      </c>
      <c r="H985" s="3"/>
      <c r="I985" s="3"/>
    </row>
    <row r="986" spans="1:9">
      <c r="A986" s="270">
        <v>44736</v>
      </c>
      <c r="B986" s="267" t="s">
        <v>660</v>
      </c>
      <c r="C986" s="267" t="s">
        <v>55</v>
      </c>
      <c r="D986" s="3" t="s">
        <v>514</v>
      </c>
      <c r="E986" s="1497">
        <v>500</v>
      </c>
      <c r="F986" s="1497"/>
      <c r="G986" s="267" t="s">
        <v>56</v>
      </c>
      <c r="H986" s="3"/>
      <c r="I986" s="3"/>
    </row>
    <row r="987" spans="1:9">
      <c r="A987" s="270">
        <v>44736</v>
      </c>
      <c r="B987" s="267"/>
      <c r="C987" s="267" t="s">
        <v>205</v>
      </c>
      <c r="D987" s="15" t="s">
        <v>38</v>
      </c>
      <c r="E987" s="1497">
        <v>900</v>
      </c>
      <c r="F987" s="1497"/>
      <c r="G987" s="267" t="s">
        <v>56</v>
      </c>
      <c r="H987" s="3" t="s">
        <v>745</v>
      </c>
      <c r="I987" s="3"/>
    </row>
    <row r="988" spans="1:9">
      <c r="A988" s="270">
        <v>44736</v>
      </c>
      <c r="B988" s="267"/>
      <c r="C988" s="267" t="s">
        <v>92</v>
      </c>
      <c r="D988" s="3" t="s">
        <v>747</v>
      </c>
      <c r="E988" s="1497"/>
      <c r="F988" s="1497">
        <v>5500</v>
      </c>
      <c r="G988" s="267" t="s">
        <v>27</v>
      </c>
      <c r="H988" s="3"/>
      <c r="I988" s="3"/>
    </row>
    <row r="989" spans="1:9">
      <c r="A989" s="270">
        <v>44736</v>
      </c>
      <c r="B989" s="267"/>
      <c r="C989" s="267" t="s">
        <v>92</v>
      </c>
      <c r="D989" s="3" t="s">
        <v>748</v>
      </c>
      <c r="E989" s="1497"/>
      <c r="F989" s="1497">
        <v>54500</v>
      </c>
      <c r="G989" s="267" t="s">
        <v>56</v>
      </c>
      <c r="H989" s="3"/>
      <c r="I989" s="3"/>
    </row>
    <row r="990" spans="1:9">
      <c r="A990" s="270">
        <v>44736</v>
      </c>
      <c r="B990" s="267"/>
      <c r="C990" s="267" t="s">
        <v>29</v>
      </c>
      <c r="D990" s="15" t="s">
        <v>749</v>
      </c>
      <c r="E990" s="1497">
        <v>26500</v>
      </c>
      <c r="F990" s="1497"/>
      <c r="G990" s="267" t="s">
        <v>56</v>
      </c>
      <c r="H990" s="3"/>
      <c r="I990" s="3"/>
    </row>
    <row r="991" spans="1:9">
      <c r="A991" s="270">
        <v>44736</v>
      </c>
      <c r="B991" s="267"/>
      <c r="C991" s="267" t="s">
        <v>537</v>
      </c>
      <c r="D991" s="3" t="s">
        <v>144</v>
      </c>
      <c r="E991" s="1497">
        <v>15000</v>
      </c>
      <c r="F991" s="1497"/>
      <c r="G991" s="267" t="s">
        <v>27</v>
      </c>
      <c r="H991" s="3"/>
      <c r="I991" s="3"/>
    </row>
    <row r="992" spans="1:9">
      <c r="A992" s="270">
        <v>44736</v>
      </c>
      <c r="B992" s="267"/>
      <c r="C992" s="267" t="s">
        <v>537</v>
      </c>
      <c r="D992" s="3" t="s">
        <v>144</v>
      </c>
      <c r="E992" s="1497">
        <v>2630.95</v>
      </c>
      <c r="F992" s="1497"/>
      <c r="G992" s="267" t="s">
        <v>27</v>
      </c>
      <c r="H992" s="3"/>
      <c r="I992" s="3"/>
    </row>
    <row r="993" spans="1:9">
      <c r="A993" s="270">
        <v>44736</v>
      </c>
      <c r="B993" s="267"/>
      <c r="C993" s="267" t="s">
        <v>537</v>
      </c>
      <c r="D993" s="3" t="s">
        <v>144</v>
      </c>
      <c r="E993" s="1497">
        <v>2369.0500000000002</v>
      </c>
      <c r="F993" s="1497"/>
      <c r="G993" s="267" t="s">
        <v>27</v>
      </c>
      <c r="H993" s="3"/>
      <c r="I993" s="3"/>
    </row>
    <row r="994" spans="1:9">
      <c r="A994" s="270">
        <v>44736</v>
      </c>
      <c r="B994" s="267"/>
      <c r="C994" s="267" t="s">
        <v>537</v>
      </c>
      <c r="D994" s="3" t="s">
        <v>144</v>
      </c>
      <c r="E994" s="1497">
        <v>16000</v>
      </c>
      <c r="F994" s="1497"/>
      <c r="G994" s="267" t="s">
        <v>56</v>
      </c>
      <c r="H994" s="3"/>
      <c r="I994" s="3"/>
    </row>
    <row r="995" spans="1:9">
      <c r="A995" s="270">
        <v>44736</v>
      </c>
      <c r="B995" s="267"/>
      <c r="C995" s="267" t="s">
        <v>537</v>
      </c>
      <c r="D995" s="15" t="s">
        <v>364</v>
      </c>
      <c r="E995" s="1497">
        <v>14000</v>
      </c>
      <c r="F995" s="1497"/>
      <c r="G995" s="267" t="s">
        <v>56</v>
      </c>
      <c r="H995" s="3"/>
      <c r="I995" s="3"/>
    </row>
    <row r="996" spans="1:9">
      <c r="A996" s="270">
        <v>44736</v>
      </c>
      <c r="B996" s="267"/>
      <c r="C996" s="267" t="s">
        <v>537</v>
      </c>
      <c r="D996" s="15" t="s">
        <v>220</v>
      </c>
      <c r="E996" s="1497">
        <v>20000</v>
      </c>
      <c r="F996" s="1497"/>
      <c r="G996" s="267" t="s">
        <v>56</v>
      </c>
      <c r="H996" s="3"/>
      <c r="I996" s="3"/>
    </row>
    <row r="997" spans="1:9">
      <c r="A997" s="270">
        <v>44736</v>
      </c>
      <c r="B997" s="267"/>
      <c r="C997" s="267" t="s">
        <v>537</v>
      </c>
      <c r="D997" s="3" t="s">
        <v>750</v>
      </c>
      <c r="E997" s="1497">
        <v>28950</v>
      </c>
      <c r="F997" s="1497"/>
      <c r="G997" s="267" t="s">
        <v>56</v>
      </c>
      <c r="H997" s="3"/>
      <c r="I997" s="3"/>
    </row>
    <row r="998" spans="1:9">
      <c r="A998" s="270">
        <v>44736</v>
      </c>
      <c r="B998" s="267"/>
      <c r="C998" s="267" t="s">
        <v>79</v>
      </c>
      <c r="D998" s="3" t="s">
        <v>151</v>
      </c>
      <c r="E998" s="1497">
        <v>2500</v>
      </c>
      <c r="F998" s="1497"/>
      <c r="G998" s="267" t="s">
        <v>56</v>
      </c>
      <c r="H998" s="3"/>
      <c r="I998" s="3"/>
    </row>
    <row r="999" spans="1:9">
      <c r="A999" s="270">
        <v>44737</v>
      </c>
      <c r="B999" s="267"/>
      <c r="C999" s="267"/>
      <c r="D999" s="3" t="s">
        <v>760</v>
      </c>
      <c r="E999" s="1497"/>
      <c r="F999" s="1497">
        <v>445600</v>
      </c>
      <c r="G999" s="267"/>
      <c r="H999" s="3" t="s">
        <v>758</v>
      </c>
      <c r="I999" s="3"/>
    </row>
    <row r="1000" spans="1:9">
      <c r="A1000" s="270">
        <v>44739</v>
      </c>
      <c r="B1000" s="267"/>
      <c r="C1000" s="267" t="s">
        <v>150</v>
      </c>
      <c r="D1000" s="15" t="s">
        <v>751</v>
      </c>
      <c r="E1000" s="1497">
        <v>5000</v>
      </c>
      <c r="F1000" s="1497"/>
      <c r="G1000" s="267" t="s">
        <v>27</v>
      </c>
      <c r="H1000" s="3"/>
      <c r="I1000" s="3"/>
    </row>
    <row r="1001" spans="1:9">
      <c r="A1001" s="270">
        <v>44739</v>
      </c>
      <c r="B1001" s="267"/>
      <c r="C1001" s="267" t="s">
        <v>150</v>
      </c>
      <c r="D1001" s="15" t="s">
        <v>752</v>
      </c>
      <c r="E1001" s="1497">
        <v>33300</v>
      </c>
      <c r="F1001" s="1497"/>
      <c r="G1001" s="267" t="s">
        <v>27</v>
      </c>
      <c r="H1001" s="3"/>
      <c r="I1001" s="3"/>
    </row>
    <row r="1002" spans="1:9">
      <c r="A1002" s="270">
        <v>44739</v>
      </c>
      <c r="B1002" s="267"/>
      <c r="C1002" s="267" t="s">
        <v>79</v>
      </c>
      <c r="D1002" s="15" t="s">
        <v>151</v>
      </c>
      <c r="E1002" s="1497">
        <v>5150</v>
      </c>
      <c r="F1002" s="1497"/>
      <c r="G1002" s="267" t="s">
        <v>27</v>
      </c>
      <c r="H1002" s="3"/>
      <c r="I1002" s="3"/>
    </row>
    <row r="1003" spans="1:9">
      <c r="A1003" s="270">
        <v>44739</v>
      </c>
      <c r="B1003" s="267"/>
      <c r="C1003" s="267" t="s">
        <v>79</v>
      </c>
      <c r="D1003" s="15" t="s">
        <v>151</v>
      </c>
      <c r="E1003" s="1497">
        <v>7040</v>
      </c>
      <c r="F1003" s="1497"/>
      <c r="G1003" s="267" t="s">
        <v>27</v>
      </c>
      <c r="H1003" s="3"/>
      <c r="I1003" s="3"/>
    </row>
    <row r="1004" spans="1:9">
      <c r="A1004" s="270">
        <v>44739</v>
      </c>
      <c r="B1004" s="267"/>
      <c r="C1004" s="267" t="s">
        <v>156</v>
      </c>
      <c r="D1004" s="15" t="s">
        <v>156</v>
      </c>
      <c r="E1004" s="1497">
        <v>3845.21</v>
      </c>
      <c r="F1004" s="1497"/>
      <c r="G1004" s="267" t="s">
        <v>27</v>
      </c>
      <c r="H1004" s="3"/>
      <c r="I1004" s="3"/>
    </row>
    <row r="1005" spans="1:9">
      <c r="A1005" s="270">
        <v>44739</v>
      </c>
      <c r="B1005" s="267"/>
      <c r="C1005" s="267" t="s">
        <v>156</v>
      </c>
      <c r="D1005" s="15" t="s">
        <v>156</v>
      </c>
      <c r="E1005" s="1497">
        <v>7423.4</v>
      </c>
      <c r="F1005" s="1497"/>
      <c r="G1005" s="267" t="s">
        <v>27</v>
      </c>
      <c r="H1005" s="3"/>
      <c r="I1005" s="3"/>
    </row>
    <row r="1006" spans="1:9">
      <c r="A1006" s="270">
        <v>44739</v>
      </c>
      <c r="B1006" s="267"/>
      <c r="C1006" s="267" t="s">
        <v>86</v>
      </c>
      <c r="D1006" s="15" t="s">
        <v>534</v>
      </c>
      <c r="E1006" s="1497">
        <v>3063.82</v>
      </c>
      <c r="F1006" s="1497"/>
      <c r="G1006" s="267" t="s">
        <v>56</v>
      </c>
      <c r="H1006" s="3"/>
      <c r="I1006" s="3"/>
    </row>
    <row r="1007" spans="1:9">
      <c r="A1007" s="270">
        <v>44739</v>
      </c>
      <c r="B1007" s="267"/>
      <c r="C1007" s="267" t="s">
        <v>62</v>
      </c>
      <c r="D1007" s="3" t="s">
        <v>753</v>
      </c>
      <c r="E1007" s="1497">
        <v>500</v>
      </c>
      <c r="F1007" s="1497"/>
      <c r="G1007" s="267" t="s">
        <v>56</v>
      </c>
      <c r="H1007" s="3" t="s">
        <v>754</v>
      </c>
      <c r="I1007" s="3"/>
    </row>
    <row r="1008" spans="1:9">
      <c r="A1008" s="270">
        <v>44739</v>
      </c>
      <c r="B1008" s="267"/>
      <c r="C1008" s="267" t="s">
        <v>29</v>
      </c>
      <c r="D1008" s="3" t="s">
        <v>755</v>
      </c>
      <c r="E1008" s="1497">
        <v>729.52</v>
      </c>
      <c r="F1008" s="1497"/>
      <c r="G1008" s="267" t="s">
        <v>56</v>
      </c>
      <c r="H1008" s="3"/>
      <c r="I1008" s="3"/>
    </row>
    <row r="1009" spans="1:9">
      <c r="A1009" s="270">
        <v>44739</v>
      </c>
      <c r="B1009" s="267"/>
      <c r="C1009" s="267" t="s">
        <v>92</v>
      </c>
      <c r="D1009" s="3" t="s">
        <v>300</v>
      </c>
      <c r="E1009" s="1497"/>
      <c r="F1009" s="1497">
        <v>21600</v>
      </c>
      <c r="G1009" s="267" t="s">
        <v>56</v>
      </c>
      <c r="H1009" s="3"/>
      <c r="I1009" s="3"/>
    </row>
    <row r="1010" spans="1:9">
      <c r="A1010" s="270">
        <v>44739</v>
      </c>
      <c r="B1010" s="267"/>
      <c r="C1010" s="267" t="s">
        <v>55</v>
      </c>
      <c r="D1010" s="3" t="s">
        <v>756</v>
      </c>
      <c r="E1010" s="1497">
        <v>450</v>
      </c>
      <c r="F1010" s="1497"/>
      <c r="G1010" s="267" t="s">
        <v>56</v>
      </c>
      <c r="H1010" s="3" t="s">
        <v>754</v>
      </c>
      <c r="I1010" s="3"/>
    </row>
    <row r="1011" spans="1:9">
      <c r="A1011" s="270">
        <v>44739</v>
      </c>
      <c r="B1011" s="267"/>
      <c r="C1011" s="267" t="s">
        <v>28</v>
      </c>
      <c r="D1011" s="3" t="s">
        <v>757</v>
      </c>
      <c r="E1011" s="1497">
        <v>18710</v>
      </c>
      <c r="F1011" s="1497"/>
      <c r="G1011" s="267" t="s">
        <v>56</v>
      </c>
      <c r="H1011" s="3"/>
      <c r="I1011" s="3"/>
    </row>
    <row r="1012" spans="1:9">
      <c r="A1012" s="270">
        <v>44739</v>
      </c>
      <c r="B1012" s="267"/>
      <c r="C1012" s="267" t="s">
        <v>92</v>
      </c>
      <c r="D1012" s="3" t="s">
        <v>759</v>
      </c>
      <c r="E1012" s="1497"/>
      <c r="F1012" s="1497">
        <v>9800</v>
      </c>
      <c r="G1012" s="267" t="s">
        <v>56</v>
      </c>
      <c r="H1012" s="3"/>
      <c r="I1012" s="3"/>
    </row>
    <row r="1013" spans="1:9">
      <c r="A1013" s="270">
        <v>44740</v>
      </c>
      <c r="B1013" s="267"/>
      <c r="C1013" s="267" t="s">
        <v>205</v>
      </c>
      <c r="D1013" s="3" t="s">
        <v>48</v>
      </c>
      <c r="E1013" s="1497">
        <v>121800</v>
      </c>
      <c r="F1013" s="1497"/>
      <c r="G1013" s="267" t="s">
        <v>72</v>
      </c>
      <c r="H1013" s="3"/>
      <c r="I1013" s="3"/>
    </row>
    <row r="1014" spans="1:9">
      <c r="A1014" s="270">
        <v>44740</v>
      </c>
      <c r="B1014" s="267"/>
      <c r="C1014" s="267" t="s">
        <v>92</v>
      </c>
      <c r="D1014" s="3" t="s">
        <v>485</v>
      </c>
      <c r="E1014" s="1497"/>
      <c r="F1014" s="1497">
        <v>3500</v>
      </c>
      <c r="G1014" s="267" t="s">
        <v>56</v>
      </c>
      <c r="H1014" s="3"/>
      <c r="I1014" s="3"/>
    </row>
    <row r="1015" spans="1:9">
      <c r="A1015" s="270">
        <v>44740</v>
      </c>
      <c r="B1015" s="267"/>
      <c r="C1015" s="267" t="s">
        <v>92</v>
      </c>
      <c r="D1015" s="3" t="s">
        <v>605</v>
      </c>
      <c r="E1015" s="1497"/>
      <c r="F1015" s="1497">
        <v>80927.64</v>
      </c>
      <c r="G1015" s="267" t="s">
        <v>27</v>
      </c>
      <c r="H1015" s="3"/>
      <c r="I1015" s="3"/>
    </row>
    <row r="1016" spans="1:9">
      <c r="A1016" s="270">
        <v>44740</v>
      </c>
      <c r="B1016" s="267"/>
      <c r="C1016" s="267" t="s">
        <v>205</v>
      </c>
      <c r="D1016" s="3" t="s">
        <v>44</v>
      </c>
      <c r="E1016" s="1497">
        <v>8885</v>
      </c>
      <c r="F1016" s="1497"/>
      <c r="G1016" s="267" t="s">
        <v>27</v>
      </c>
      <c r="H1016" s="3"/>
      <c r="I1016" s="3"/>
    </row>
    <row r="1017" spans="1:9">
      <c r="A1017" s="270">
        <v>44740</v>
      </c>
      <c r="B1017" s="267"/>
      <c r="C1017" s="267" t="s">
        <v>205</v>
      </c>
      <c r="D1017" s="3" t="s">
        <v>655</v>
      </c>
      <c r="E1017" s="1497">
        <v>9075</v>
      </c>
      <c r="F1017" s="1497"/>
      <c r="G1017" s="267" t="s">
        <v>27</v>
      </c>
      <c r="H1017" s="3"/>
      <c r="I1017" s="3"/>
    </row>
    <row r="1018" spans="1:9">
      <c r="A1018" s="270">
        <v>44740</v>
      </c>
      <c r="B1018" s="267"/>
      <c r="C1018" s="267" t="s">
        <v>79</v>
      </c>
      <c r="D1018" s="3" t="s">
        <v>278</v>
      </c>
      <c r="E1018" s="1497">
        <v>15000</v>
      </c>
      <c r="F1018" s="1497"/>
      <c r="G1018" s="267" t="s">
        <v>27</v>
      </c>
      <c r="H1018" s="3"/>
      <c r="I1018" s="3"/>
    </row>
    <row r="1019" spans="1:9">
      <c r="A1019" s="270">
        <v>44741</v>
      </c>
      <c r="B1019" s="267"/>
      <c r="C1019" s="267" t="s">
        <v>150</v>
      </c>
      <c r="D1019" s="3" t="s">
        <v>761</v>
      </c>
      <c r="E1019" s="1497">
        <v>2334.38</v>
      </c>
      <c r="F1019" s="1497"/>
      <c r="G1019" s="267" t="s">
        <v>27</v>
      </c>
      <c r="H1019" s="3"/>
      <c r="I1019" s="3"/>
    </row>
    <row r="1020" spans="1:9">
      <c r="A1020" s="270">
        <v>44741</v>
      </c>
      <c r="B1020" s="267"/>
      <c r="C1020" s="267" t="s">
        <v>176</v>
      </c>
      <c r="D1020" s="3" t="s">
        <v>175</v>
      </c>
      <c r="E1020" s="1497">
        <v>9000</v>
      </c>
      <c r="F1020" s="1497"/>
      <c r="G1020" s="267" t="s">
        <v>56</v>
      </c>
      <c r="H1020" s="3"/>
      <c r="I1020" s="3"/>
    </row>
    <row r="1021" spans="1:9">
      <c r="A1021" s="270">
        <v>44741</v>
      </c>
      <c r="B1021" s="267"/>
      <c r="C1021" s="267" t="s">
        <v>55</v>
      </c>
      <c r="D1021" s="3" t="s">
        <v>562</v>
      </c>
      <c r="E1021" s="1497">
        <v>314</v>
      </c>
      <c r="F1021" s="1497"/>
      <c r="G1021" s="267" t="s">
        <v>56</v>
      </c>
      <c r="H1021" s="3"/>
      <c r="I1021" s="3"/>
    </row>
    <row r="1022" spans="1:9">
      <c r="A1022" s="270">
        <v>44741</v>
      </c>
      <c r="B1022" s="267"/>
      <c r="C1022" s="267" t="s">
        <v>68</v>
      </c>
      <c r="D1022" s="3" t="s">
        <v>453</v>
      </c>
      <c r="E1022" s="1497">
        <v>1500</v>
      </c>
      <c r="F1022" s="1497"/>
      <c r="G1022" s="267" t="s">
        <v>56</v>
      </c>
      <c r="H1022" s="3"/>
      <c r="I1022" s="3"/>
    </row>
    <row r="1023" spans="1:9">
      <c r="A1023" s="270">
        <v>44741</v>
      </c>
      <c r="B1023" s="267"/>
      <c r="C1023" s="267" t="s">
        <v>55</v>
      </c>
      <c r="D1023" s="3" t="s">
        <v>763</v>
      </c>
      <c r="E1023" s="1497"/>
      <c r="F1023" s="1497">
        <v>8500</v>
      </c>
      <c r="G1023" s="267" t="s">
        <v>56</v>
      </c>
      <c r="H1023" s="3"/>
      <c r="I1023" s="3"/>
    </row>
    <row r="1024" spans="1:9" ht="45">
      <c r="A1024" s="116">
        <v>44741</v>
      </c>
      <c r="B1024" s="51"/>
      <c r="C1024" s="51" t="s">
        <v>77</v>
      </c>
      <c r="D1024" s="52" t="s">
        <v>266</v>
      </c>
      <c r="E1024" s="51"/>
      <c r="F1024" s="51">
        <v>280304</v>
      </c>
      <c r="G1024" s="51" t="s">
        <v>72</v>
      </c>
      <c r="H1024" s="69" t="s">
        <v>764</v>
      </c>
      <c r="I1024" s="3"/>
    </row>
    <row r="1025" spans="1:9">
      <c r="A1025" s="270">
        <v>44741</v>
      </c>
      <c r="B1025" s="267"/>
      <c r="C1025" s="267" t="s">
        <v>88</v>
      </c>
      <c r="D1025" s="3" t="s">
        <v>144</v>
      </c>
      <c r="E1025" s="1497">
        <v>16000</v>
      </c>
      <c r="F1025" s="1497"/>
      <c r="G1025" s="267" t="s">
        <v>27</v>
      </c>
      <c r="H1025" s="3"/>
      <c r="I1025" s="3"/>
    </row>
    <row r="1026" spans="1:9">
      <c r="A1026" s="270">
        <v>44742</v>
      </c>
      <c r="B1026" s="267"/>
      <c r="C1026" s="267" t="s">
        <v>77</v>
      </c>
      <c r="D1026" s="3" t="s">
        <v>266</v>
      </c>
      <c r="E1026" s="1497"/>
      <c r="F1026" s="1497">
        <v>103390</v>
      </c>
      <c r="G1026" s="267" t="s">
        <v>56</v>
      </c>
      <c r="H1026" s="3"/>
      <c r="I1026" s="3"/>
    </row>
    <row r="1027" spans="1:9">
      <c r="A1027" s="270">
        <v>44742</v>
      </c>
      <c r="B1027" s="267"/>
      <c r="C1027" s="267" t="s">
        <v>79</v>
      </c>
      <c r="D1027" s="3" t="s">
        <v>16</v>
      </c>
      <c r="E1027" s="1497">
        <v>33111.910000000003</v>
      </c>
      <c r="F1027" s="1497"/>
      <c r="G1027" s="267" t="s">
        <v>27</v>
      </c>
      <c r="H1027" s="3"/>
      <c r="I1027" s="3"/>
    </row>
    <row r="1028" spans="1:9">
      <c r="A1028" s="270">
        <v>44742</v>
      </c>
      <c r="B1028" s="267"/>
      <c r="C1028" s="267" t="s">
        <v>691</v>
      </c>
      <c r="D1028" s="3" t="s">
        <v>765</v>
      </c>
      <c r="E1028" s="1497">
        <v>148.22</v>
      </c>
      <c r="F1028" s="1497"/>
      <c r="G1028" s="267" t="s">
        <v>27</v>
      </c>
      <c r="H1028" s="3"/>
      <c r="I1028" s="3"/>
    </row>
    <row r="1029" spans="1:9">
      <c r="A1029" s="270">
        <v>44742</v>
      </c>
      <c r="B1029" s="267"/>
      <c r="C1029" s="267" t="s">
        <v>55</v>
      </c>
      <c r="D1029" s="3" t="s">
        <v>478</v>
      </c>
      <c r="E1029" s="1497">
        <v>1800</v>
      </c>
      <c r="F1029" s="1497"/>
      <c r="G1029" s="267" t="s">
        <v>56</v>
      </c>
      <c r="H1029" s="3"/>
      <c r="I1029" s="3"/>
    </row>
    <row r="1030" spans="1:9">
      <c r="A1030" s="119">
        <v>44742</v>
      </c>
      <c r="B1030" s="57"/>
      <c r="C1030" s="57" t="s">
        <v>97</v>
      </c>
      <c r="D1030" s="85" t="s">
        <v>766</v>
      </c>
      <c r="E1030" s="57">
        <v>5000</v>
      </c>
      <c r="F1030" s="57"/>
      <c r="G1030" s="57" t="s">
        <v>27</v>
      </c>
      <c r="H1030" s="85" t="s">
        <v>36</v>
      </c>
      <c r="I1030" s="85"/>
    </row>
    <row r="1031" spans="1:9">
      <c r="A1031" s="270">
        <v>44742</v>
      </c>
      <c r="B1031" s="267"/>
      <c r="C1031" s="267" t="s">
        <v>55</v>
      </c>
      <c r="D1031" s="3" t="s">
        <v>774</v>
      </c>
      <c r="E1031" s="1497">
        <v>65000</v>
      </c>
      <c r="F1031" s="1497"/>
      <c r="G1031" s="267" t="s">
        <v>56</v>
      </c>
      <c r="H1031" s="3"/>
      <c r="I1031" s="3"/>
    </row>
    <row r="1032" spans="1:9">
      <c r="A1032" s="254"/>
      <c r="B1032" s="244"/>
      <c r="C1032" s="244"/>
      <c r="D1032" s="244"/>
      <c r="E1032" s="120">
        <f>SUM(E850:E1031)</f>
        <v>2731889.45</v>
      </c>
      <c r="F1032" s="121">
        <f>SUM(F850:F1030)</f>
        <v>3601061.64</v>
      </c>
      <c r="G1032" s="273"/>
      <c r="H1032" s="122" t="s">
        <v>767</v>
      </c>
      <c r="I1032" s="5"/>
    </row>
    <row r="1033" spans="1:9" ht="15.75" thickBot="1">
      <c r="A1033" s="254"/>
      <c r="B1033" s="244"/>
      <c r="C1033" s="244"/>
      <c r="D1033" s="244"/>
      <c r="E1033" s="252">
        <f>F1032-E1032</f>
        <v>869172.19</v>
      </c>
      <c r="F1033" s="253"/>
      <c r="G1033" s="273"/>
      <c r="H1033" s="117" t="s">
        <v>771</v>
      </c>
      <c r="I1033" s="3"/>
    </row>
    <row r="1034" spans="1:9">
      <c r="A1034" s="244"/>
      <c r="B1034" s="244"/>
      <c r="C1034" s="244"/>
      <c r="D1034" s="115"/>
      <c r="E1034" s="1492"/>
      <c r="F1034" s="1492"/>
      <c r="G1034" s="244"/>
      <c r="H1034" s="117" t="s">
        <v>768</v>
      </c>
      <c r="I1034" s="3"/>
    </row>
    <row r="1035" spans="1:9">
      <c r="H1035" s="117" t="s">
        <v>772</v>
      </c>
    </row>
    <row r="1036" spans="1:9">
      <c r="H1036" s="117" t="s">
        <v>770</v>
      </c>
    </row>
    <row r="1037" spans="1:9">
      <c r="H1037" s="117" t="s">
        <v>773</v>
      </c>
    </row>
    <row r="1038" spans="1:9" ht="15.75" thickBot="1">
      <c r="H1038" s="118" t="s">
        <v>769</v>
      </c>
    </row>
    <row r="1039" spans="1:9">
      <c r="A1039" s="255" t="s">
        <v>746</v>
      </c>
      <c r="B1039" s="256"/>
      <c r="C1039" s="256"/>
      <c r="D1039" s="256"/>
      <c r="E1039" s="1493"/>
      <c r="F1039" s="1493"/>
      <c r="G1039" s="256"/>
      <c r="H1039" s="256"/>
      <c r="I1039" s="257"/>
    </row>
    <row r="1040" spans="1:9" s="123" customFormat="1">
      <c r="A1040" s="73">
        <v>44743</v>
      </c>
      <c r="B1040" s="8"/>
      <c r="C1040" s="8" t="s">
        <v>55</v>
      </c>
      <c r="D1040" s="56" t="s">
        <v>562</v>
      </c>
      <c r="E1040" s="8">
        <v>1000</v>
      </c>
      <c r="F1040" s="8"/>
      <c r="G1040" s="8" t="s">
        <v>56</v>
      </c>
      <c r="H1040" s="8"/>
      <c r="I1040" s="8"/>
    </row>
    <row r="1041" spans="1:9">
      <c r="A1041" s="270">
        <v>44743</v>
      </c>
      <c r="B1041" s="267"/>
      <c r="C1041" s="267" t="s">
        <v>65</v>
      </c>
      <c r="D1041" s="3" t="s">
        <v>776</v>
      </c>
      <c r="E1041" s="1497">
        <v>3720</v>
      </c>
      <c r="F1041" s="1497"/>
      <c r="G1041" s="267" t="s">
        <v>56</v>
      </c>
      <c r="H1041" s="3"/>
      <c r="I1041" s="3"/>
    </row>
    <row r="1042" spans="1:9">
      <c r="A1042" s="270">
        <v>44743</v>
      </c>
      <c r="B1042" s="267"/>
      <c r="C1042" s="267" t="s">
        <v>79</v>
      </c>
      <c r="D1042" s="3" t="s">
        <v>777</v>
      </c>
      <c r="E1042" s="1497">
        <v>1560</v>
      </c>
      <c r="F1042" s="1497"/>
      <c r="G1042" s="267" t="s">
        <v>56</v>
      </c>
      <c r="H1042" s="3"/>
      <c r="I1042" s="3"/>
    </row>
    <row r="1043" spans="1:9" ht="15.75">
      <c r="A1043" s="270">
        <v>44743</v>
      </c>
      <c r="B1043" s="267"/>
      <c r="C1043" s="267" t="s">
        <v>88</v>
      </c>
      <c r="D1043" s="3" t="s">
        <v>88</v>
      </c>
      <c r="E1043" s="57">
        <v>74240</v>
      </c>
      <c r="F1043" s="1510"/>
      <c r="G1043" s="267" t="s">
        <v>56</v>
      </c>
      <c r="H1043" s="5"/>
      <c r="I1043" s="3"/>
    </row>
    <row r="1044" spans="1:9" ht="15.75">
      <c r="A1044" s="270">
        <v>44743</v>
      </c>
      <c r="B1044" s="267"/>
      <c r="C1044" s="267" t="s">
        <v>691</v>
      </c>
      <c r="D1044" s="3" t="s">
        <v>448</v>
      </c>
      <c r="E1044" s="57">
        <v>100000</v>
      </c>
      <c r="F1044" s="1510"/>
      <c r="G1044" s="267" t="s">
        <v>781</v>
      </c>
      <c r="H1044" s="5"/>
      <c r="I1044" s="3"/>
    </row>
    <row r="1045" spans="1:9">
      <c r="A1045" s="270"/>
      <c r="B1045" s="267"/>
      <c r="C1045" s="267"/>
      <c r="D1045" s="3"/>
      <c r="E1045" s="1497"/>
      <c r="F1045" s="1497"/>
      <c r="G1045" s="267"/>
      <c r="H1045" s="122" t="s">
        <v>767</v>
      </c>
      <c r="I1045" s="3"/>
    </row>
    <row r="1046" spans="1:9">
      <c r="A1046" s="267"/>
      <c r="B1046" s="267"/>
      <c r="C1046" s="267"/>
      <c r="D1046" s="3"/>
      <c r="E1046" s="1497"/>
      <c r="F1046" s="1497"/>
      <c r="G1046" s="267"/>
      <c r="H1046" s="117" t="s">
        <v>771</v>
      </c>
      <c r="I1046" s="3"/>
    </row>
    <row r="1047" spans="1:9">
      <c r="H1047" s="117" t="s">
        <v>780</v>
      </c>
    </row>
    <row r="1048" spans="1:9">
      <c r="H1048" s="117" t="s">
        <v>779</v>
      </c>
    </row>
    <row r="1049" spans="1:9">
      <c r="H1049" s="117" t="s">
        <v>770</v>
      </c>
    </row>
    <row r="1050" spans="1:9">
      <c r="H1050" s="117" t="s">
        <v>778</v>
      </c>
    </row>
    <row r="1051" spans="1:9">
      <c r="H1051" s="118" t="s">
        <v>769</v>
      </c>
    </row>
    <row r="1052" spans="1:9">
      <c r="A1052" s="270">
        <v>44746</v>
      </c>
      <c r="B1052" s="267"/>
      <c r="C1052" s="267" t="s">
        <v>122</v>
      </c>
      <c r="D1052" s="3" t="s">
        <v>782</v>
      </c>
      <c r="E1052" s="1497">
        <v>33360</v>
      </c>
      <c r="F1052" s="1497"/>
      <c r="G1052" s="267" t="s">
        <v>27</v>
      </c>
      <c r="H1052" s="3"/>
      <c r="I1052" s="3"/>
    </row>
    <row r="1053" spans="1:9">
      <c r="A1053" s="270">
        <v>44746</v>
      </c>
      <c r="B1053" s="267"/>
      <c r="C1053" s="267" t="s">
        <v>79</v>
      </c>
      <c r="D1053" s="3" t="s">
        <v>151</v>
      </c>
      <c r="E1053" s="1497">
        <v>2000</v>
      </c>
      <c r="F1053" s="1497"/>
      <c r="G1053" s="267" t="s">
        <v>56</v>
      </c>
      <c r="H1053" s="3"/>
      <c r="I1053" s="3"/>
    </row>
    <row r="1054" spans="1:9">
      <c r="A1054" s="124">
        <v>44746</v>
      </c>
      <c r="B1054" s="266"/>
      <c r="C1054" s="266" t="s">
        <v>86</v>
      </c>
      <c r="D1054" s="79" t="s">
        <v>783</v>
      </c>
      <c r="E1054" s="1496">
        <v>2500</v>
      </c>
      <c r="F1054" s="1496"/>
      <c r="G1054" s="266" t="s">
        <v>56</v>
      </c>
      <c r="H1054" s="3"/>
      <c r="I1054" s="3"/>
    </row>
    <row r="1055" spans="1:9">
      <c r="A1055" s="270">
        <v>44746</v>
      </c>
      <c r="B1055" s="267"/>
      <c r="C1055" s="267" t="s">
        <v>55</v>
      </c>
      <c r="D1055" s="3" t="s">
        <v>633</v>
      </c>
      <c r="E1055" s="1497">
        <v>700</v>
      </c>
      <c r="F1055" s="1497"/>
      <c r="G1055" s="267" t="s">
        <v>56</v>
      </c>
      <c r="H1055" s="3"/>
      <c r="I1055" s="3"/>
    </row>
    <row r="1056" spans="1:9">
      <c r="A1056" s="270">
        <v>44746</v>
      </c>
      <c r="B1056" s="267"/>
      <c r="C1056" s="267" t="s">
        <v>92</v>
      </c>
      <c r="D1056" s="3" t="s">
        <v>784</v>
      </c>
      <c r="E1056" s="1497"/>
      <c r="F1056" s="1497">
        <v>15700</v>
      </c>
      <c r="G1056" s="267" t="s">
        <v>56</v>
      </c>
      <c r="H1056" s="3"/>
      <c r="I1056" s="3"/>
    </row>
    <row r="1057" spans="1:9">
      <c r="A1057" s="270">
        <v>44746</v>
      </c>
      <c r="B1057" s="267"/>
      <c r="C1057" s="267" t="s">
        <v>77</v>
      </c>
      <c r="D1057" s="3" t="s">
        <v>674</v>
      </c>
      <c r="E1057" s="1497"/>
      <c r="F1057" s="1497">
        <v>185700</v>
      </c>
      <c r="G1057" s="267" t="s">
        <v>27</v>
      </c>
      <c r="H1057" s="3"/>
      <c r="I1057" s="3"/>
    </row>
    <row r="1058" spans="1:9">
      <c r="A1058" s="270">
        <v>44746</v>
      </c>
      <c r="B1058" s="267"/>
      <c r="C1058" s="267" t="s">
        <v>785</v>
      </c>
      <c r="D1058" s="3" t="s">
        <v>674</v>
      </c>
      <c r="E1058" s="1497">
        <v>1995.12</v>
      </c>
      <c r="F1058" s="1497"/>
      <c r="G1058" s="267" t="s">
        <v>27</v>
      </c>
      <c r="H1058" s="3"/>
      <c r="I1058" s="3"/>
    </row>
    <row r="1059" spans="1:9">
      <c r="A1059" s="270">
        <v>44746</v>
      </c>
      <c r="B1059" s="267"/>
      <c r="C1059" s="267" t="s">
        <v>79</v>
      </c>
      <c r="D1059" s="3" t="s">
        <v>786</v>
      </c>
      <c r="E1059" s="1497">
        <v>6390</v>
      </c>
      <c r="F1059" s="1497"/>
      <c r="G1059" s="267" t="s">
        <v>27</v>
      </c>
      <c r="H1059" s="3"/>
      <c r="I1059" s="3"/>
    </row>
    <row r="1060" spans="1:9">
      <c r="A1060" s="270">
        <v>44746</v>
      </c>
      <c r="B1060" s="267"/>
      <c r="C1060" s="267" t="s">
        <v>92</v>
      </c>
      <c r="D1060" s="3" t="s">
        <v>775</v>
      </c>
      <c r="E1060" s="1497"/>
      <c r="F1060" s="1497">
        <v>116498.8</v>
      </c>
      <c r="G1060" s="267" t="s">
        <v>27</v>
      </c>
      <c r="H1060" s="3"/>
      <c r="I1060" s="3"/>
    </row>
    <row r="1061" spans="1:9" ht="15.75">
      <c r="A1061" s="270">
        <v>44746</v>
      </c>
      <c r="B1061" s="267"/>
      <c r="C1061" s="267" t="s">
        <v>103</v>
      </c>
      <c r="D1061" s="3" t="s">
        <v>775</v>
      </c>
      <c r="E1061" s="57">
        <v>16102.37</v>
      </c>
      <c r="F1061" s="1510"/>
      <c r="G1061" s="267" t="s">
        <v>27</v>
      </c>
      <c r="H1061" s="3"/>
      <c r="I1061" s="3"/>
    </row>
    <row r="1062" spans="1:9">
      <c r="A1062" s="270">
        <v>44747</v>
      </c>
      <c r="B1062" s="267"/>
      <c r="C1062" s="267" t="s">
        <v>55</v>
      </c>
      <c r="D1062" s="3" t="s">
        <v>787</v>
      </c>
      <c r="E1062" s="1497">
        <v>6480</v>
      </c>
      <c r="F1062" s="1497"/>
      <c r="G1062" s="267" t="s">
        <v>27</v>
      </c>
      <c r="H1062" s="3"/>
      <c r="I1062" s="3"/>
    </row>
    <row r="1063" spans="1:9">
      <c r="A1063" s="270">
        <v>44747</v>
      </c>
      <c r="B1063" s="267"/>
      <c r="C1063" s="267" t="s">
        <v>55</v>
      </c>
      <c r="D1063" s="3" t="s">
        <v>788</v>
      </c>
      <c r="E1063" s="1497">
        <v>2806.46</v>
      </c>
      <c r="F1063" s="1497"/>
      <c r="G1063" s="267" t="s">
        <v>27</v>
      </c>
      <c r="H1063" s="3"/>
      <c r="I1063" s="3"/>
    </row>
    <row r="1064" spans="1:9">
      <c r="A1064" s="270">
        <v>44747</v>
      </c>
      <c r="B1064" s="267"/>
      <c r="C1064" s="267" t="s">
        <v>205</v>
      </c>
      <c r="D1064" s="3" t="s">
        <v>499</v>
      </c>
      <c r="E1064" s="1497">
        <v>25000</v>
      </c>
      <c r="F1064" s="1497"/>
      <c r="G1064" s="267" t="s">
        <v>27</v>
      </c>
      <c r="H1064" s="3"/>
      <c r="I1064" s="3"/>
    </row>
    <row r="1065" spans="1:9">
      <c r="A1065" s="270">
        <v>44747</v>
      </c>
      <c r="B1065" s="267"/>
      <c r="C1065" s="267" t="s">
        <v>205</v>
      </c>
      <c r="D1065" s="3" t="s">
        <v>790</v>
      </c>
      <c r="E1065" s="1497">
        <v>21500</v>
      </c>
      <c r="F1065" s="1497"/>
      <c r="G1065" s="267" t="s">
        <v>27</v>
      </c>
      <c r="H1065" s="3"/>
      <c r="I1065" s="3"/>
    </row>
    <row r="1066" spans="1:9">
      <c r="A1066" s="270">
        <v>44747</v>
      </c>
      <c r="B1066" s="267"/>
      <c r="C1066" s="267" t="s">
        <v>205</v>
      </c>
      <c r="D1066" s="3" t="s">
        <v>113</v>
      </c>
      <c r="E1066" s="1497">
        <v>40755</v>
      </c>
      <c r="F1066" s="1497"/>
      <c r="G1066" s="267" t="s">
        <v>27</v>
      </c>
      <c r="H1066" s="3" t="s">
        <v>791</v>
      </c>
      <c r="I1066" s="3"/>
    </row>
    <row r="1067" spans="1:9">
      <c r="A1067" s="270">
        <v>44747</v>
      </c>
      <c r="B1067" s="267"/>
      <c r="C1067" s="267" t="s">
        <v>205</v>
      </c>
      <c r="D1067" s="3" t="s">
        <v>789</v>
      </c>
      <c r="E1067" s="1497">
        <v>20000</v>
      </c>
      <c r="F1067" s="1497"/>
      <c r="G1067" s="267" t="s">
        <v>27</v>
      </c>
      <c r="H1067" s="3"/>
      <c r="I1067" s="3"/>
    </row>
    <row r="1068" spans="1:9">
      <c r="A1068" s="270">
        <v>44747</v>
      </c>
      <c r="B1068" s="267"/>
      <c r="C1068" s="267" t="s">
        <v>205</v>
      </c>
      <c r="D1068" s="3" t="s">
        <v>113</v>
      </c>
      <c r="E1068" s="1497">
        <v>5572.78</v>
      </c>
      <c r="F1068" s="1497"/>
      <c r="G1068" s="267" t="s">
        <v>27</v>
      </c>
      <c r="H1068" s="3"/>
      <c r="I1068" s="3"/>
    </row>
    <row r="1069" spans="1:9">
      <c r="A1069" s="270">
        <v>44747</v>
      </c>
      <c r="B1069" s="267"/>
      <c r="C1069" s="267" t="s">
        <v>205</v>
      </c>
      <c r="D1069" s="3" t="s">
        <v>71</v>
      </c>
      <c r="E1069" s="1497">
        <v>110268</v>
      </c>
      <c r="F1069" s="1497"/>
      <c r="G1069" s="267" t="s">
        <v>72</v>
      </c>
      <c r="H1069" s="3"/>
      <c r="I1069" s="3"/>
    </row>
    <row r="1070" spans="1:9">
      <c r="A1070" s="270">
        <v>44747</v>
      </c>
      <c r="B1070" s="267"/>
      <c r="C1070" s="267" t="s">
        <v>205</v>
      </c>
      <c r="D1070" s="3" t="s">
        <v>71</v>
      </c>
      <c r="E1070" s="1497">
        <v>8020</v>
      </c>
      <c r="F1070" s="1497"/>
      <c r="G1070" s="267" t="s">
        <v>206</v>
      </c>
      <c r="H1070" s="3"/>
      <c r="I1070" s="3"/>
    </row>
    <row r="1071" spans="1:9">
      <c r="A1071" s="270">
        <v>44747</v>
      </c>
      <c r="B1071" s="267"/>
      <c r="C1071" s="267" t="s">
        <v>79</v>
      </c>
      <c r="D1071" s="3" t="s">
        <v>79</v>
      </c>
      <c r="E1071" s="1497">
        <v>16500</v>
      </c>
      <c r="F1071" s="1497"/>
      <c r="G1071" s="267" t="s">
        <v>56</v>
      </c>
      <c r="H1071" s="3"/>
      <c r="I1071" s="3"/>
    </row>
    <row r="1072" spans="1:9">
      <c r="A1072" s="270">
        <v>44747</v>
      </c>
      <c r="B1072" s="267"/>
      <c r="C1072" s="267" t="s">
        <v>205</v>
      </c>
      <c r="D1072" s="3" t="s">
        <v>48</v>
      </c>
      <c r="E1072" s="1497">
        <v>20000</v>
      </c>
      <c r="F1072" s="1497"/>
      <c r="G1072" s="267" t="s">
        <v>56</v>
      </c>
      <c r="H1072" s="3"/>
      <c r="I1072" s="3"/>
    </row>
    <row r="1073" spans="1:9">
      <c r="A1073" s="270">
        <v>44747</v>
      </c>
      <c r="B1073" s="267"/>
      <c r="C1073" s="267" t="s">
        <v>205</v>
      </c>
      <c r="D1073" s="3" t="s">
        <v>48</v>
      </c>
      <c r="E1073" s="1497">
        <v>100000</v>
      </c>
      <c r="F1073" s="1497"/>
      <c r="G1073" s="267" t="s">
        <v>56</v>
      </c>
      <c r="H1073" s="3"/>
      <c r="I1073" s="3"/>
    </row>
    <row r="1074" spans="1:9">
      <c r="A1074" s="270">
        <v>44747</v>
      </c>
      <c r="B1074" s="267"/>
      <c r="C1074" s="267" t="s">
        <v>79</v>
      </c>
      <c r="D1074" s="3" t="s">
        <v>653</v>
      </c>
      <c r="E1074" s="1497">
        <v>13640</v>
      </c>
      <c r="F1074" s="1497"/>
      <c r="G1074" s="267" t="s">
        <v>27</v>
      </c>
      <c r="H1074" s="3"/>
      <c r="I1074" s="3"/>
    </row>
    <row r="1075" spans="1:9">
      <c r="A1075" s="270">
        <v>44747</v>
      </c>
      <c r="B1075" s="267"/>
      <c r="C1075" s="267" t="s">
        <v>205</v>
      </c>
      <c r="D1075" s="3" t="s">
        <v>792</v>
      </c>
      <c r="E1075" s="1497">
        <v>11956.31</v>
      </c>
      <c r="F1075" s="1497"/>
      <c r="G1075" s="267" t="s">
        <v>27</v>
      </c>
      <c r="H1075" s="3"/>
      <c r="I1075" s="3"/>
    </row>
    <row r="1076" spans="1:9">
      <c r="A1076" s="270">
        <v>44747</v>
      </c>
      <c r="B1076" s="267"/>
      <c r="C1076" s="267" t="s">
        <v>55</v>
      </c>
      <c r="D1076" s="15" t="s">
        <v>794</v>
      </c>
      <c r="E1076" s="1497">
        <v>60</v>
      </c>
      <c r="F1076" s="1497"/>
      <c r="G1076" s="267" t="s">
        <v>56</v>
      </c>
      <c r="H1076" s="3" t="s">
        <v>793</v>
      </c>
      <c r="I1076" s="3"/>
    </row>
    <row r="1077" spans="1:9">
      <c r="A1077" s="270">
        <v>44747</v>
      </c>
      <c r="B1077" s="267"/>
      <c r="C1077" s="267" t="s">
        <v>55</v>
      </c>
      <c r="D1077" s="3" t="s">
        <v>740</v>
      </c>
      <c r="E1077" s="1497">
        <v>4800</v>
      </c>
      <c r="F1077" s="1497"/>
      <c r="G1077" s="267" t="s">
        <v>56</v>
      </c>
      <c r="H1077" s="3" t="s">
        <v>793</v>
      </c>
      <c r="I1077" s="3"/>
    </row>
    <row r="1078" spans="1:9">
      <c r="A1078" s="270">
        <v>44747</v>
      </c>
      <c r="B1078" s="267"/>
      <c r="C1078" s="267" t="s">
        <v>537</v>
      </c>
      <c r="D1078" s="3" t="s">
        <v>598</v>
      </c>
      <c r="E1078" s="1497">
        <v>3000</v>
      </c>
      <c r="F1078" s="1497"/>
      <c r="G1078" s="267" t="s">
        <v>56</v>
      </c>
      <c r="H1078" s="3"/>
      <c r="I1078" s="3"/>
    </row>
    <row r="1079" spans="1:9">
      <c r="A1079" s="270">
        <v>44748</v>
      </c>
      <c r="B1079" s="267"/>
      <c r="C1079" s="267" t="s">
        <v>55</v>
      </c>
      <c r="D1079" s="3" t="s">
        <v>562</v>
      </c>
      <c r="E1079" s="1497">
        <v>429</v>
      </c>
      <c r="F1079" s="1497"/>
      <c r="G1079" s="267" t="s">
        <v>56</v>
      </c>
      <c r="H1079" s="3"/>
      <c r="I1079" s="3"/>
    </row>
    <row r="1080" spans="1:9">
      <c r="A1080" s="270">
        <v>44748</v>
      </c>
      <c r="B1080" s="267"/>
      <c r="C1080" s="267" t="s">
        <v>55</v>
      </c>
      <c r="D1080" s="3" t="s">
        <v>795</v>
      </c>
      <c r="E1080" s="1497">
        <v>3193.5</v>
      </c>
      <c r="F1080" s="1497"/>
      <c r="G1080" s="267" t="s">
        <v>56</v>
      </c>
      <c r="H1080" s="3"/>
      <c r="I1080" s="3"/>
    </row>
    <row r="1081" spans="1:9">
      <c r="A1081" s="270">
        <v>44748</v>
      </c>
      <c r="B1081" s="267"/>
      <c r="C1081" s="267" t="s">
        <v>55</v>
      </c>
      <c r="D1081" s="3" t="s">
        <v>453</v>
      </c>
      <c r="E1081" s="1497">
        <v>1500</v>
      </c>
      <c r="F1081" s="1497"/>
      <c r="G1081" s="267" t="s">
        <v>56</v>
      </c>
      <c r="H1081" s="3"/>
      <c r="I1081" s="3"/>
    </row>
    <row r="1082" spans="1:9">
      <c r="A1082" s="270">
        <v>44748</v>
      </c>
      <c r="B1082" s="267"/>
      <c r="C1082" s="267" t="s">
        <v>55</v>
      </c>
      <c r="D1082" s="3" t="s">
        <v>238</v>
      </c>
      <c r="E1082" s="1497">
        <v>660</v>
      </c>
      <c r="F1082" s="1497"/>
      <c r="G1082" s="267" t="s">
        <v>56</v>
      </c>
      <c r="H1082" s="3"/>
      <c r="I1082" s="3"/>
    </row>
    <row r="1083" spans="1:9">
      <c r="A1083" s="270">
        <v>44748</v>
      </c>
      <c r="B1083" s="267"/>
      <c r="C1083" s="267" t="s">
        <v>77</v>
      </c>
      <c r="D1083" s="3" t="s">
        <v>796</v>
      </c>
      <c r="E1083" s="1497"/>
      <c r="F1083" s="1497">
        <v>45280</v>
      </c>
      <c r="G1083" s="267" t="s">
        <v>56</v>
      </c>
      <c r="H1083" s="3"/>
      <c r="I1083" s="3"/>
    </row>
    <row r="1084" spans="1:9">
      <c r="A1084" s="270">
        <v>44748</v>
      </c>
      <c r="B1084" s="267"/>
      <c r="C1084" s="267" t="s">
        <v>92</v>
      </c>
      <c r="D1084" s="15" t="s">
        <v>796</v>
      </c>
      <c r="E1084" s="1497"/>
      <c r="F1084" s="1497">
        <v>6500</v>
      </c>
      <c r="G1084" s="267" t="s">
        <v>56</v>
      </c>
      <c r="H1084" s="3"/>
      <c r="I1084" s="3"/>
    </row>
    <row r="1085" spans="1:9">
      <c r="A1085" s="270">
        <v>44748</v>
      </c>
      <c r="B1085" s="267"/>
      <c r="C1085" s="267" t="s">
        <v>77</v>
      </c>
      <c r="D1085" s="3" t="s">
        <v>797</v>
      </c>
      <c r="E1085" s="1497"/>
      <c r="F1085" s="1497">
        <v>2800</v>
      </c>
      <c r="G1085" s="267" t="s">
        <v>56</v>
      </c>
      <c r="H1085" s="3"/>
      <c r="I1085" s="3"/>
    </row>
    <row r="1086" spans="1:9">
      <c r="A1086" s="270">
        <v>44748</v>
      </c>
      <c r="B1086" s="267"/>
      <c r="C1086" s="267" t="s">
        <v>160</v>
      </c>
      <c r="D1086" s="3" t="s">
        <v>799</v>
      </c>
      <c r="E1086" s="1497"/>
      <c r="F1086" s="1497">
        <v>9450</v>
      </c>
      <c r="G1086" s="267" t="s">
        <v>27</v>
      </c>
      <c r="H1086" s="3"/>
      <c r="I1086" s="3"/>
    </row>
    <row r="1087" spans="1:9">
      <c r="A1087" s="270">
        <v>44748</v>
      </c>
      <c r="B1087" s="267"/>
      <c r="C1087" s="267" t="s">
        <v>160</v>
      </c>
      <c r="D1087" s="3" t="s">
        <v>799</v>
      </c>
      <c r="E1087" s="1497">
        <v>147.81</v>
      </c>
      <c r="F1087" s="1497"/>
      <c r="G1087" s="267" t="s">
        <v>27</v>
      </c>
      <c r="H1087" s="3"/>
      <c r="I1087" s="3"/>
    </row>
    <row r="1088" spans="1:9">
      <c r="A1088" s="270">
        <v>44748</v>
      </c>
      <c r="B1088" s="267"/>
      <c r="C1088" s="267" t="s">
        <v>185</v>
      </c>
      <c r="D1088" s="3" t="s">
        <v>800</v>
      </c>
      <c r="E1088" s="1497">
        <v>39723.15</v>
      </c>
      <c r="F1088" s="1497"/>
      <c r="G1088" s="267" t="s">
        <v>27</v>
      </c>
      <c r="H1088" s="3"/>
      <c r="I1088" s="3"/>
    </row>
    <row r="1089" spans="1:9">
      <c r="A1089" s="270">
        <v>44749</v>
      </c>
      <c r="B1089" s="267"/>
      <c r="C1089" s="267" t="s">
        <v>92</v>
      </c>
      <c r="D1089" s="3" t="s">
        <v>605</v>
      </c>
      <c r="E1089" s="1497"/>
      <c r="F1089" s="1497">
        <v>77000</v>
      </c>
      <c r="G1089" s="267" t="s">
        <v>27</v>
      </c>
      <c r="H1089" s="3"/>
      <c r="I1089" s="3"/>
    </row>
    <row r="1090" spans="1:9">
      <c r="A1090" s="270">
        <v>44749</v>
      </c>
      <c r="B1090" s="267"/>
      <c r="C1090" s="267" t="s">
        <v>92</v>
      </c>
      <c r="D1090" s="3" t="s">
        <v>605</v>
      </c>
      <c r="E1090" s="1497">
        <v>7318.18</v>
      </c>
      <c r="F1090" s="1497"/>
      <c r="G1090" s="267" t="s">
        <v>27</v>
      </c>
      <c r="H1090" s="3"/>
      <c r="I1090" s="3"/>
    </row>
    <row r="1091" spans="1:9">
      <c r="A1091" s="270">
        <v>44749</v>
      </c>
      <c r="B1091" s="267"/>
      <c r="C1091" s="267" t="s">
        <v>160</v>
      </c>
      <c r="D1091" s="3" t="s">
        <v>609</v>
      </c>
      <c r="E1091" s="1497"/>
      <c r="F1091" s="1497">
        <v>32400</v>
      </c>
      <c r="G1091" s="267" t="s">
        <v>27</v>
      </c>
      <c r="H1091" s="3"/>
      <c r="I1091" s="3"/>
    </row>
    <row r="1092" spans="1:9">
      <c r="A1092" s="270">
        <v>44750</v>
      </c>
      <c r="B1092" s="267"/>
      <c r="C1092" s="267" t="s">
        <v>88</v>
      </c>
      <c r="D1092" s="3" t="s">
        <v>144</v>
      </c>
      <c r="E1092" s="1497">
        <v>20000</v>
      </c>
      <c r="F1092" s="1497"/>
      <c r="G1092" s="267" t="s">
        <v>27</v>
      </c>
      <c r="H1092" s="3"/>
      <c r="I1092" s="3"/>
    </row>
    <row r="1093" spans="1:9">
      <c r="A1093" s="270">
        <v>44750</v>
      </c>
      <c r="B1093" s="267"/>
      <c r="C1093" s="267" t="s">
        <v>88</v>
      </c>
      <c r="D1093" s="3" t="s">
        <v>144</v>
      </c>
      <c r="E1093" s="1497">
        <v>1000</v>
      </c>
      <c r="F1093" s="1497"/>
      <c r="G1093" s="267" t="s">
        <v>27</v>
      </c>
      <c r="H1093" s="3"/>
      <c r="I1093" s="3"/>
    </row>
    <row r="1094" spans="1:9">
      <c r="A1094" s="270">
        <v>44750</v>
      </c>
      <c r="B1094" s="267"/>
      <c r="C1094" s="267" t="s">
        <v>88</v>
      </c>
      <c r="D1094" s="3" t="s">
        <v>801</v>
      </c>
      <c r="E1094" s="1497">
        <v>65650</v>
      </c>
      <c r="F1094" s="1497"/>
      <c r="G1094" s="267" t="s">
        <v>56</v>
      </c>
      <c r="H1094" s="3"/>
      <c r="I1094" s="3"/>
    </row>
    <row r="1095" spans="1:9">
      <c r="A1095" s="270">
        <v>44750</v>
      </c>
      <c r="B1095" s="267"/>
      <c r="C1095" s="267" t="s">
        <v>55</v>
      </c>
      <c r="D1095" s="15" t="s">
        <v>802</v>
      </c>
      <c r="E1095" s="1497">
        <v>10000</v>
      </c>
      <c r="F1095" s="1497"/>
      <c r="G1095" s="267" t="s">
        <v>56</v>
      </c>
      <c r="H1095" s="3"/>
      <c r="I1095" s="3"/>
    </row>
    <row r="1096" spans="1:9">
      <c r="A1096" s="270">
        <v>44750</v>
      </c>
      <c r="B1096" s="267"/>
      <c r="C1096" s="267" t="s">
        <v>55</v>
      </c>
      <c r="D1096" s="15" t="s">
        <v>803</v>
      </c>
      <c r="E1096" s="1497">
        <v>5000</v>
      </c>
      <c r="F1096" s="1497"/>
      <c r="G1096" s="267" t="s">
        <v>56</v>
      </c>
      <c r="H1096" s="3"/>
      <c r="I1096" s="3"/>
    </row>
    <row r="1097" spans="1:9">
      <c r="A1097" s="270">
        <v>44750</v>
      </c>
      <c r="B1097" s="267"/>
      <c r="C1097" s="267" t="s">
        <v>55</v>
      </c>
      <c r="D1097" s="15" t="s">
        <v>803</v>
      </c>
      <c r="E1097" s="1497">
        <v>6200</v>
      </c>
      <c r="F1097" s="1497"/>
      <c r="G1097" s="267" t="s">
        <v>72</v>
      </c>
      <c r="H1097" s="3" t="s">
        <v>804</v>
      </c>
      <c r="I1097" s="3"/>
    </row>
    <row r="1098" spans="1:9">
      <c r="A1098" s="267"/>
      <c r="B1098" s="267"/>
      <c r="C1098" s="267"/>
      <c r="D1098" s="3"/>
      <c r="E1098" s="1497"/>
      <c r="F1098" s="1497"/>
      <c r="G1098" s="267"/>
      <c r="H1098" s="122" t="s">
        <v>805</v>
      </c>
      <c r="I1098" s="3"/>
    </row>
    <row r="1099" spans="1:9">
      <c r="A1099" s="267"/>
      <c r="B1099" s="267"/>
      <c r="C1099" s="267"/>
      <c r="D1099" s="3"/>
      <c r="E1099" s="1497"/>
      <c r="F1099" s="1497"/>
      <c r="G1099" s="267"/>
      <c r="H1099" s="117" t="s">
        <v>807</v>
      </c>
      <c r="I1099" s="3"/>
    </row>
    <row r="1100" spans="1:9">
      <c r="H1100" s="117" t="s">
        <v>806</v>
      </c>
    </row>
    <row r="1101" spans="1:9">
      <c r="H1101" s="117" t="s">
        <v>808</v>
      </c>
    </row>
    <row r="1102" spans="1:9">
      <c r="H1102" s="117" t="s">
        <v>770</v>
      </c>
    </row>
    <row r="1103" spans="1:9">
      <c r="H1103" s="117" t="s">
        <v>778</v>
      </c>
    </row>
    <row r="1104" spans="1:9">
      <c r="H1104" s="118" t="s">
        <v>809</v>
      </c>
    </row>
    <row r="1105" spans="1:9">
      <c r="A1105" s="270">
        <v>44753</v>
      </c>
      <c r="B1105" s="267"/>
      <c r="C1105" s="267" t="s">
        <v>79</v>
      </c>
      <c r="D1105" s="3" t="s">
        <v>810</v>
      </c>
      <c r="E1105" s="1497">
        <v>15000</v>
      </c>
      <c r="F1105" s="1497"/>
      <c r="G1105" s="267" t="s">
        <v>27</v>
      </c>
      <c r="H1105" s="3"/>
      <c r="I1105" s="3"/>
    </row>
    <row r="1106" spans="1:9">
      <c r="A1106" s="270">
        <v>44753</v>
      </c>
      <c r="B1106" s="267"/>
      <c r="C1106" s="267" t="s">
        <v>86</v>
      </c>
      <c r="D1106" s="3" t="s">
        <v>107</v>
      </c>
      <c r="E1106" s="1497">
        <v>4085.1</v>
      </c>
      <c r="F1106" s="1497"/>
      <c r="G1106" s="267" t="s">
        <v>27</v>
      </c>
      <c r="H1106" s="45" t="s">
        <v>811</v>
      </c>
      <c r="I1106" s="3"/>
    </row>
    <row r="1107" spans="1:9">
      <c r="A1107" s="270">
        <v>44753</v>
      </c>
      <c r="B1107" s="267"/>
      <c r="C1107" s="267" t="s">
        <v>160</v>
      </c>
      <c r="D1107" s="3" t="s">
        <v>303</v>
      </c>
      <c r="E1107" s="1497"/>
      <c r="F1107" s="1497">
        <v>30000</v>
      </c>
      <c r="G1107" s="267" t="s">
        <v>72</v>
      </c>
      <c r="H1107" s="45" t="s">
        <v>813</v>
      </c>
      <c r="I1107" s="3"/>
    </row>
    <row r="1108" spans="1:9">
      <c r="A1108" s="270">
        <v>44753</v>
      </c>
      <c r="B1108" s="267"/>
      <c r="C1108" s="267" t="s">
        <v>156</v>
      </c>
      <c r="D1108" s="3" t="s">
        <v>812</v>
      </c>
      <c r="E1108" s="1497">
        <v>4558.13</v>
      </c>
      <c r="F1108" s="1497"/>
      <c r="G1108" s="267" t="s">
        <v>27</v>
      </c>
      <c r="H1108" s="3"/>
      <c r="I1108" s="3"/>
    </row>
    <row r="1109" spans="1:9">
      <c r="A1109" s="270">
        <v>44754</v>
      </c>
      <c r="B1109" s="267"/>
      <c r="C1109" s="267" t="s">
        <v>29</v>
      </c>
      <c r="D1109" s="3" t="s">
        <v>48</v>
      </c>
      <c r="E1109" s="1497">
        <v>66640</v>
      </c>
      <c r="F1109" s="1497"/>
      <c r="G1109" s="267" t="s">
        <v>72</v>
      </c>
      <c r="H1109" s="3" t="s">
        <v>814</v>
      </c>
      <c r="I1109" s="3"/>
    </row>
    <row r="1110" spans="1:9">
      <c r="A1110" s="270">
        <v>44754</v>
      </c>
      <c r="B1110" s="267"/>
      <c r="C1110" s="267" t="s">
        <v>77</v>
      </c>
      <c r="D1110" s="3" t="s">
        <v>815</v>
      </c>
      <c r="E1110" s="1497"/>
      <c r="F1110" s="1497">
        <v>19500</v>
      </c>
      <c r="G1110" s="267" t="s">
        <v>27</v>
      </c>
      <c r="H1110" s="3"/>
      <c r="I1110" s="3"/>
    </row>
    <row r="1111" spans="1:9">
      <c r="A1111" s="270">
        <v>44754</v>
      </c>
      <c r="B1111" s="267"/>
      <c r="C1111" s="267" t="s">
        <v>77</v>
      </c>
      <c r="D1111" s="3" t="s">
        <v>816</v>
      </c>
      <c r="E1111" s="1497"/>
      <c r="F1111" s="1497">
        <v>13000</v>
      </c>
      <c r="G1111" s="267" t="s">
        <v>56</v>
      </c>
      <c r="H1111" s="3"/>
      <c r="I1111" s="3"/>
    </row>
    <row r="1112" spans="1:9">
      <c r="A1112" s="270">
        <v>44754</v>
      </c>
      <c r="B1112" s="267"/>
      <c r="C1112" s="267" t="s">
        <v>55</v>
      </c>
      <c r="D1112" s="3" t="s">
        <v>446</v>
      </c>
      <c r="E1112" s="1497">
        <v>1050</v>
      </c>
      <c r="F1112" s="1497"/>
      <c r="G1112" s="267" t="s">
        <v>56</v>
      </c>
      <c r="H1112" s="3"/>
      <c r="I1112" s="3"/>
    </row>
    <row r="1113" spans="1:9">
      <c r="A1113" s="270">
        <v>44754</v>
      </c>
      <c r="B1113" s="267"/>
      <c r="C1113" s="267" t="s">
        <v>205</v>
      </c>
      <c r="D1113" s="3" t="s">
        <v>80</v>
      </c>
      <c r="E1113" s="1497">
        <v>1500</v>
      </c>
      <c r="F1113" s="1497"/>
      <c r="G1113" s="267" t="s">
        <v>56</v>
      </c>
      <c r="H1113" s="3"/>
      <c r="I1113" s="3"/>
    </row>
    <row r="1114" spans="1:9">
      <c r="A1114" s="270">
        <v>44754</v>
      </c>
      <c r="B1114" s="267"/>
      <c r="C1114" s="267" t="s">
        <v>77</v>
      </c>
      <c r="D1114" s="3" t="s">
        <v>16</v>
      </c>
      <c r="E1114" s="1497">
        <v>2430</v>
      </c>
      <c r="F1114" s="1497"/>
      <c r="G1114" s="267" t="s">
        <v>27</v>
      </c>
      <c r="H1114" s="3"/>
      <c r="I1114" s="3"/>
    </row>
    <row r="1115" spans="1:9">
      <c r="A1115" s="270">
        <v>44754</v>
      </c>
      <c r="B1115" s="267"/>
      <c r="C1115" s="267" t="s">
        <v>97</v>
      </c>
      <c r="D1115" s="3" t="s">
        <v>818</v>
      </c>
      <c r="E1115" s="1497">
        <v>6000</v>
      </c>
      <c r="F1115" s="1497"/>
      <c r="G1115" s="267" t="s">
        <v>27</v>
      </c>
      <c r="H1115" s="3"/>
      <c r="I1115" s="3"/>
    </row>
    <row r="1116" spans="1:9">
      <c r="A1116" s="270">
        <v>44754</v>
      </c>
      <c r="B1116" s="267"/>
      <c r="C1116" s="267" t="s">
        <v>97</v>
      </c>
      <c r="D1116" s="3" t="s">
        <v>819</v>
      </c>
      <c r="E1116" s="1497">
        <v>2500</v>
      </c>
      <c r="F1116" s="1497"/>
      <c r="G1116" s="267" t="s">
        <v>27</v>
      </c>
      <c r="H1116" s="3"/>
      <c r="I1116" s="3"/>
    </row>
    <row r="1117" spans="1:9">
      <c r="A1117" s="270">
        <v>44754</v>
      </c>
      <c r="B1117" s="267"/>
      <c r="C1117" s="267" t="s">
        <v>97</v>
      </c>
      <c r="D1117" s="3" t="s">
        <v>817</v>
      </c>
      <c r="E1117" s="1497" t="s">
        <v>820</v>
      </c>
      <c r="F1117" s="1497"/>
      <c r="G1117" s="267" t="s">
        <v>27</v>
      </c>
      <c r="H1117" s="3"/>
      <c r="I1117" s="3"/>
    </row>
    <row r="1118" spans="1:9">
      <c r="A1118" s="270">
        <v>44755</v>
      </c>
      <c r="B1118" s="267"/>
      <c r="C1118" s="267" t="s">
        <v>77</v>
      </c>
      <c r="D1118" s="3" t="s">
        <v>428</v>
      </c>
      <c r="E1118" s="1497"/>
      <c r="F1118" s="1497">
        <v>38400</v>
      </c>
      <c r="G1118" s="267" t="s">
        <v>56</v>
      </c>
      <c r="H1118" s="3"/>
      <c r="I1118" s="3"/>
    </row>
    <row r="1119" spans="1:9">
      <c r="A1119" s="270">
        <v>44755</v>
      </c>
      <c r="B1119" s="267"/>
      <c r="C1119" s="267" t="s">
        <v>68</v>
      </c>
      <c r="D1119" s="3" t="s">
        <v>453</v>
      </c>
      <c r="E1119" s="1497">
        <v>1500</v>
      </c>
      <c r="F1119" s="1497"/>
      <c r="G1119" s="267" t="s">
        <v>56</v>
      </c>
      <c r="H1119" s="3"/>
      <c r="I1119" s="3"/>
    </row>
    <row r="1120" spans="1:9">
      <c r="A1120" s="270">
        <v>44755</v>
      </c>
      <c r="B1120" s="267"/>
      <c r="C1120" s="267" t="s">
        <v>29</v>
      </c>
      <c r="D1120" s="3" t="s">
        <v>113</v>
      </c>
      <c r="E1120" s="1497">
        <v>5096.33</v>
      </c>
      <c r="F1120" s="1497"/>
      <c r="G1120" s="267" t="s">
        <v>27</v>
      </c>
      <c r="H1120" s="3"/>
      <c r="I1120" s="3"/>
    </row>
    <row r="1121" spans="1:9">
      <c r="A1121" s="270">
        <v>44755</v>
      </c>
      <c r="B1121" s="267"/>
      <c r="C1121" s="267" t="s">
        <v>29</v>
      </c>
      <c r="D1121" s="3" t="s">
        <v>238</v>
      </c>
      <c r="E1121" s="1497">
        <v>1470</v>
      </c>
      <c r="F1121" s="1497"/>
      <c r="G1121" s="267" t="s">
        <v>56</v>
      </c>
      <c r="H1121" s="3"/>
      <c r="I1121" s="3"/>
    </row>
    <row r="1122" spans="1:9">
      <c r="A1122" s="270">
        <v>44755</v>
      </c>
      <c r="B1122" s="267"/>
      <c r="C1122" s="267" t="s">
        <v>86</v>
      </c>
      <c r="D1122" s="3" t="s">
        <v>104</v>
      </c>
      <c r="E1122" s="1497">
        <v>2550</v>
      </c>
      <c r="F1122" s="1497"/>
      <c r="G1122" s="267" t="s">
        <v>56</v>
      </c>
      <c r="H1122" s="3"/>
      <c r="I1122" s="3"/>
    </row>
    <row r="1123" spans="1:9">
      <c r="A1123" s="270">
        <v>44756</v>
      </c>
      <c r="B1123" s="267"/>
      <c r="C1123" s="267"/>
      <c r="D1123" s="3" t="s">
        <v>821</v>
      </c>
      <c r="E1123" s="1497">
        <v>580</v>
      </c>
      <c r="F1123" s="1497"/>
      <c r="G1123" s="267" t="s">
        <v>56</v>
      </c>
      <c r="H1123" s="3"/>
      <c r="I1123" s="3"/>
    </row>
    <row r="1124" spans="1:9">
      <c r="A1124" s="270">
        <v>44756</v>
      </c>
      <c r="B1124" s="267"/>
      <c r="C1124" s="267" t="s">
        <v>79</v>
      </c>
      <c r="D1124" s="15" t="s">
        <v>151</v>
      </c>
      <c r="E1124" s="1497">
        <v>3218.18</v>
      </c>
      <c r="F1124" s="1497"/>
      <c r="G1124" s="267" t="s">
        <v>27</v>
      </c>
      <c r="H1124" s="3"/>
      <c r="I1124" s="3"/>
    </row>
    <row r="1125" spans="1:9">
      <c r="A1125" s="270">
        <v>44756</v>
      </c>
      <c r="B1125" s="267"/>
      <c r="C1125" s="267" t="s">
        <v>79</v>
      </c>
      <c r="D1125" s="15" t="s">
        <v>151</v>
      </c>
      <c r="E1125" s="1497">
        <v>2400</v>
      </c>
      <c r="F1125" s="1497"/>
      <c r="G1125" s="267" t="s">
        <v>56</v>
      </c>
      <c r="H1125" s="3"/>
      <c r="I1125" s="3"/>
    </row>
    <row r="1126" spans="1:9">
      <c r="A1126" s="270">
        <v>44756</v>
      </c>
      <c r="B1126" s="267"/>
      <c r="C1126" s="267" t="s">
        <v>79</v>
      </c>
      <c r="D1126" s="15" t="s">
        <v>822</v>
      </c>
      <c r="E1126" s="1497">
        <v>400</v>
      </c>
      <c r="F1126" s="1497"/>
      <c r="G1126" s="267" t="s">
        <v>56</v>
      </c>
      <c r="H1126" s="3"/>
      <c r="I1126" s="3"/>
    </row>
    <row r="1127" spans="1:9">
      <c r="A1127" s="270">
        <v>44757</v>
      </c>
      <c r="B1127" s="267"/>
      <c r="C1127" s="267" t="s">
        <v>55</v>
      </c>
      <c r="D1127" s="15" t="s">
        <v>823</v>
      </c>
      <c r="E1127" s="1497">
        <v>1250</v>
      </c>
      <c r="F1127" s="1497"/>
      <c r="G1127" s="267" t="s">
        <v>56</v>
      </c>
      <c r="H1127" s="3"/>
      <c r="I1127" s="3"/>
    </row>
    <row r="1128" spans="1:9">
      <c r="A1128" s="270">
        <v>44757</v>
      </c>
      <c r="B1128" s="267"/>
      <c r="C1128" s="267" t="s">
        <v>176</v>
      </c>
      <c r="D1128" s="15" t="s">
        <v>232</v>
      </c>
      <c r="E1128" s="1497">
        <v>25000</v>
      </c>
      <c r="F1128" s="1497"/>
      <c r="G1128" s="267" t="s">
        <v>27</v>
      </c>
      <c r="H1128" s="3"/>
      <c r="I1128" s="3"/>
    </row>
    <row r="1129" spans="1:9">
      <c r="A1129" s="270">
        <v>44757</v>
      </c>
      <c r="B1129" s="267"/>
      <c r="C1129" s="267" t="s">
        <v>29</v>
      </c>
      <c r="D1129" s="15" t="s">
        <v>45</v>
      </c>
      <c r="E1129" s="1497">
        <v>14116</v>
      </c>
      <c r="F1129" s="1497"/>
      <c r="G1129" s="267" t="s">
        <v>27</v>
      </c>
      <c r="H1129" s="3"/>
      <c r="I1129" s="3"/>
    </row>
    <row r="1130" spans="1:9">
      <c r="A1130" s="270">
        <v>44757</v>
      </c>
      <c r="B1130" s="267"/>
      <c r="C1130" s="267" t="s">
        <v>88</v>
      </c>
      <c r="D1130" s="15" t="s">
        <v>750</v>
      </c>
      <c r="E1130" s="1497">
        <v>41500</v>
      </c>
      <c r="F1130" s="1497"/>
      <c r="G1130" s="267" t="s">
        <v>56</v>
      </c>
      <c r="H1130" s="3"/>
      <c r="I1130" s="3"/>
    </row>
    <row r="1131" spans="1:9">
      <c r="A1131" s="270">
        <v>44757</v>
      </c>
      <c r="B1131" s="267"/>
      <c r="C1131" s="267" t="s">
        <v>88</v>
      </c>
      <c r="D1131" s="15" t="s">
        <v>824</v>
      </c>
      <c r="E1131" s="1497">
        <v>14000</v>
      </c>
      <c r="F1131" s="1497"/>
      <c r="G1131" s="267" t="s">
        <v>56</v>
      </c>
      <c r="H1131" s="3"/>
      <c r="I1131" s="3"/>
    </row>
    <row r="1132" spans="1:9">
      <c r="A1132" s="270">
        <v>44757</v>
      </c>
      <c r="B1132" s="267"/>
      <c r="C1132" s="267" t="s">
        <v>88</v>
      </c>
      <c r="D1132" s="15" t="s">
        <v>144</v>
      </c>
      <c r="E1132" s="1497">
        <v>12500</v>
      </c>
      <c r="F1132" s="1497"/>
      <c r="G1132" s="267" t="s">
        <v>27</v>
      </c>
      <c r="H1132" s="3"/>
      <c r="I1132" s="3"/>
    </row>
    <row r="1133" spans="1:9">
      <c r="A1133" s="270">
        <v>44757</v>
      </c>
      <c r="B1133" s="267"/>
      <c r="C1133" s="267" t="s">
        <v>55</v>
      </c>
      <c r="D1133" s="15" t="s">
        <v>825</v>
      </c>
      <c r="E1133" s="1497">
        <v>500</v>
      </c>
      <c r="F1133" s="1497"/>
      <c r="G1133" s="267" t="s">
        <v>56</v>
      </c>
      <c r="H1133" s="3"/>
      <c r="I1133" s="3"/>
    </row>
    <row r="1134" spans="1:9">
      <c r="A1134" s="270">
        <v>44757</v>
      </c>
      <c r="B1134" s="267"/>
      <c r="C1134" s="267" t="s">
        <v>79</v>
      </c>
      <c r="D1134" s="15" t="s">
        <v>195</v>
      </c>
      <c r="E1134" s="1497">
        <v>3063</v>
      </c>
      <c r="F1134" s="1497"/>
      <c r="G1134" s="267" t="s">
        <v>27</v>
      </c>
      <c r="H1134" s="3"/>
      <c r="I1134" s="3"/>
    </row>
    <row r="1135" spans="1:9">
      <c r="A1135" s="270">
        <v>44757</v>
      </c>
      <c r="B1135" s="267"/>
      <c r="C1135" s="267" t="s">
        <v>79</v>
      </c>
      <c r="D1135" s="15" t="s">
        <v>151</v>
      </c>
      <c r="E1135" s="1497">
        <v>7373.97</v>
      </c>
      <c r="F1135" s="1497"/>
      <c r="G1135" s="267" t="s">
        <v>27</v>
      </c>
      <c r="H1135" s="3"/>
      <c r="I1135" s="3"/>
    </row>
    <row r="1136" spans="1:9">
      <c r="A1136" s="270">
        <v>44757</v>
      </c>
      <c r="B1136" s="267"/>
      <c r="C1136" s="267" t="s">
        <v>79</v>
      </c>
      <c r="D1136" s="15" t="s">
        <v>79</v>
      </c>
      <c r="E1136" s="1497">
        <v>1000</v>
      </c>
      <c r="F1136" s="1497"/>
      <c r="G1136" s="267" t="s">
        <v>56</v>
      </c>
      <c r="H1136" s="3"/>
      <c r="I1136" s="3"/>
    </row>
    <row r="1137" spans="1:9">
      <c r="A1137" s="270">
        <v>44757</v>
      </c>
      <c r="B1137" s="267"/>
      <c r="C1137" s="267" t="s">
        <v>79</v>
      </c>
      <c r="D1137" s="15" t="s">
        <v>718</v>
      </c>
      <c r="E1137" s="1497">
        <v>6820</v>
      </c>
      <c r="F1137" s="1497"/>
      <c r="G1137" s="267" t="s">
        <v>108</v>
      </c>
      <c r="H1137" s="3"/>
      <c r="I1137" s="3"/>
    </row>
    <row r="1138" spans="1:9">
      <c r="A1138" s="269"/>
      <c r="B1138" s="268"/>
      <c r="C1138" s="268"/>
      <c r="D1138" s="83"/>
      <c r="E1138" s="1501"/>
      <c r="F1138" s="1501"/>
      <c r="G1138" s="268"/>
      <c r="H1138" s="83"/>
      <c r="I1138" s="83"/>
    </row>
    <row r="1139" spans="1:9">
      <c r="A1139" s="270">
        <v>44760</v>
      </c>
      <c r="B1139" s="267"/>
      <c r="C1139" s="267" t="s">
        <v>29</v>
      </c>
      <c r="D1139" s="15" t="s">
        <v>826</v>
      </c>
      <c r="E1139" s="1497">
        <v>36000</v>
      </c>
      <c r="F1139" s="1497"/>
      <c r="G1139" s="267" t="s">
        <v>287</v>
      </c>
      <c r="H1139" s="3"/>
      <c r="I1139" s="3"/>
    </row>
    <row r="1140" spans="1:9">
      <c r="A1140" s="270">
        <v>44760</v>
      </c>
      <c r="B1140" s="267"/>
      <c r="C1140" s="267" t="s">
        <v>77</v>
      </c>
      <c r="D1140" s="3" t="s">
        <v>829</v>
      </c>
      <c r="E1140" s="1497"/>
      <c r="F1140" s="1497">
        <v>16500</v>
      </c>
      <c r="G1140" s="267" t="s">
        <v>27</v>
      </c>
      <c r="H1140" s="3"/>
      <c r="I1140" s="3"/>
    </row>
    <row r="1141" spans="1:9">
      <c r="A1141" s="270">
        <v>44760</v>
      </c>
      <c r="B1141" s="267" t="s">
        <v>660</v>
      </c>
      <c r="C1141" s="267" t="s">
        <v>94</v>
      </c>
      <c r="D1141" s="3" t="s">
        <v>245</v>
      </c>
      <c r="E1141" s="1497">
        <v>6205.3</v>
      </c>
      <c r="F1141" s="1497"/>
      <c r="G1141" s="267" t="s">
        <v>27</v>
      </c>
      <c r="H1141" s="3"/>
      <c r="I1141" s="3"/>
    </row>
    <row r="1142" spans="1:9">
      <c r="A1142" s="270">
        <v>44760</v>
      </c>
      <c r="B1142" s="267"/>
      <c r="C1142" s="267" t="s">
        <v>831</v>
      </c>
      <c r="D1142" s="3" t="s">
        <v>830</v>
      </c>
      <c r="E1142" s="1497">
        <v>3000</v>
      </c>
      <c r="F1142" s="1497"/>
      <c r="G1142" s="267" t="s">
        <v>56</v>
      </c>
      <c r="H1142" s="3"/>
      <c r="I1142" s="3"/>
    </row>
    <row r="1143" spans="1:9">
      <c r="A1143" s="270">
        <v>44761</v>
      </c>
      <c r="B1143" s="267"/>
      <c r="C1143" s="267" t="s">
        <v>831</v>
      </c>
      <c r="D1143" s="3" t="s">
        <v>104</v>
      </c>
      <c r="E1143" s="1497">
        <v>3063.82</v>
      </c>
      <c r="F1143" s="1497"/>
      <c r="G1143" s="267" t="s">
        <v>56</v>
      </c>
      <c r="H1143" s="3"/>
      <c r="I1143" s="3"/>
    </row>
    <row r="1144" spans="1:9">
      <c r="A1144" s="270">
        <v>44761</v>
      </c>
      <c r="B1144" s="267"/>
      <c r="C1144" s="267" t="s">
        <v>77</v>
      </c>
      <c r="D1144" s="15" t="s">
        <v>179</v>
      </c>
      <c r="E1144" s="1497"/>
      <c r="F1144" s="1497">
        <v>99600</v>
      </c>
      <c r="G1144" s="267" t="s">
        <v>27</v>
      </c>
      <c r="H1144" s="3"/>
      <c r="I1144" s="3"/>
    </row>
    <row r="1145" spans="1:9">
      <c r="A1145" s="270">
        <v>44761</v>
      </c>
      <c r="B1145" s="267"/>
      <c r="C1145" s="267" t="s">
        <v>77</v>
      </c>
      <c r="D1145" s="15" t="s">
        <v>179</v>
      </c>
      <c r="E1145" s="1497">
        <v>4345.08</v>
      </c>
      <c r="F1145" s="1497"/>
      <c r="G1145" s="267" t="s">
        <v>27</v>
      </c>
      <c r="H1145" s="3"/>
      <c r="I1145" s="3"/>
    </row>
    <row r="1146" spans="1:9">
      <c r="A1146" s="270">
        <v>44761</v>
      </c>
      <c r="B1146" s="267"/>
      <c r="C1146" s="267" t="s">
        <v>92</v>
      </c>
      <c r="D1146" s="3" t="s">
        <v>832</v>
      </c>
      <c r="E1146" s="1497"/>
      <c r="F1146" s="1497">
        <v>65000</v>
      </c>
      <c r="G1146" s="267" t="s">
        <v>56</v>
      </c>
      <c r="H1146" s="3"/>
      <c r="I1146" s="3"/>
    </row>
    <row r="1147" spans="1:9">
      <c r="A1147" s="270">
        <v>44761</v>
      </c>
      <c r="B1147" s="267"/>
      <c r="C1147" s="267" t="s">
        <v>537</v>
      </c>
      <c r="D1147" s="3" t="s">
        <v>144</v>
      </c>
      <c r="E1147" s="1501">
        <v>21500</v>
      </c>
      <c r="F1147" s="1497"/>
      <c r="G1147" s="267" t="s">
        <v>56</v>
      </c>
      <c r="H1147" s="3"/>
      <c r="I1147" s="3"/>
    </row>
    <row r="1148" spans="1:9">
      <c r="A1148" s="270">
        <v>44762</v>
      </c>
      <c r="B1148" s="267"/>
      <c r="C1148" s="267" t="s">
        <v>205</v>
      </c>
      <c r="D1148" s="3" t="s">
        <v>71</v>
      </c>
      <c r="E1148" s="1497">
        <v>14500</v>
      </c>
      <c r="F1148" s="1497"/>
      <c r="G1148" s="267" t="s">
        <v>27</v>
      </c>
      <c r="H1148" s="3"/>
      <c r="I1148" s="3"/>
    </row>
    <row r="1149" spans="1:9">
      <c r="A1149" s="270">
        <v>44762</v>
      </c>
      <c r="B1149" s="267"/>
      <c r="C1149" s="267" t="s">
        <v>205</v>
      </c>
      <c r="D1149" s="3" t="s">
        <v>207</v>
      </c>
      <c r="E1149" s="1497">
        <v>18300</v>
      </c>
      <c r="F1149" s="1497"/>
      <c r="G1149" s="267" t="s">
        <v>27</v>
      </c>
      <c r="H1149" s="3"/>
      <c r="I1149" s="3"/>
    </row>
    <row r="1150" spans="1:9">
      <c r="A1150" s="270">
        <v>44762</v>
      </c>
      <c r="B1150" s="267"/>
      <c r="C1150" s="267" t="s">
        <v>730</v>
      </c>
      <c r="D1150" s="3" t="s">
        <v>504</v>
      </c>
      <c r="E1150" s="1501">
        <v>10000</v>
      </c>
      <c r="F1150" s="1497"/>
      <c r="G1150" s="267" t="s">
        <v>56</v>
      </c>
      <c r="H1150" s="3"/>
      <c r="I1150" s="3"/>
    </row>
    <row r="1151" spans="1:9">
      <c r="A1151" s="270">
        <v>44762</v>
      </c>
      <c r="B1151" s="267"/>
      <c r="C1151" s="267" t="s">
        <v>730</v>
      </c>
      <c r="D1151" s="3" t="s">
        <v>504</v>
      </c>
      <c r="E1151" s="1497">
        <v>6000</v>
      </c>
      <c r="F1151" s="1497"/>
      <c r="G1151" s="267" t="s">
        <v>206</v>
      </c>
      <c r="H1151" s="3"/>
      <c r="I1151" s="3"/>
    </row>
    <row r="1152" spans="1:9">
      <c r="A1152" s="270">
        <v>44762</v>
      </c>
      <c r="B1152" s="267"/>
      <c r="C1152" s="267" t="s">
        <v>55</v>
      </c>
      <c r="D1152" s="3" t="s">
        <v>514</v>
      </c>
      <c r="E1152" s="1497">
        <v>500</v>
      </c>
      <c r="F1152" s="1497"/>
      <c r="G1152" s="267" t="s">
        <v>56</v>
      </c>
      <c r="H1152" s="3"/>
      <c r="I1152" s="3"/>
    </row>
    <row r="1153" spans="1:9">
      <c r="A1153" s="270">
        <v>44762</v>
      </c>
      <c r="B1153" s="267"/>
      <c r="C1153" s="267" t="s">
        <v>92</v>
      </c>
      <c r="D1153" s="3" t="s">
        <v>833</v>
      </c>
      <c r="E1153" s="1497"/>
      <c r="F1153" s="1497">
        <v>779000</v>
      </c>
      <c r="G1153" s="267" t="s">
        <v>27</v>
      </c>
      <c r="H1153" s="3"/>
      <c r="I1153" s="3"/>
    </row>
    <row r="1154" spans="1:9">
      <c r="A1154" s="270">
        <v>44762</v>
      </c>
      <c r="B1154" s="267"/>
      <c r="C1154" s="267" t="s">
        <v>92</v>
      </c>
      <c r="D1154" s="3" t="s">
        <v>834</v>
      </c>
      <c r="E1154" s="1497"/>
      <c r="F1154" s="1497">
        <v>30700</v>
      </c>
      <c r="G1154" s="267" t="s">
        <v>56</v>
      </c>
      <c r="H1154" s="3"/>
      <c r="I1154" s="3"/>
    </row>
    <row r="1155" spans="1:9">
      <c r="A1155" s="270">
        <v>44762</v>
      </c>
      <c r="B1155" s="267"/>
      <c r="C1155" s="267" t="s">
        <v>88</v>
      </c>
      <c r="D1155" s="15" t="s">
        <v>598</v>
      </c>
      <c r="E1155" s="1497">
        <v>1000</v>
      </c>
      <c r="F1155" s="1497"/>
      <c r="G1155" s="267" t="s">
        <v>56</v>
      </c>
      <c r="H1155" s="3"/>
      <c r="I1155" s="3"/>
    </row>
    <row r="1156" spans="1:9">
      <c r="A1156" s="270">
        <v>44762</v>
      </c>
      <c r="B1156" s="267"/>
      <c r="C1156" s="267" t="s">
        <v>88</v>
      </c>
      <c r="D1156" s="15" t="s">
        <v>835</v>
      </c>
      <c r="E1156" s="1497">
        <v>2000</v>
      </c>
      <c r="F1156" s="1497"/>
      <c r="G1156" s="267" t="s">
        <v>27</v>
      </c>
      <c r="H1156" s="3"/>
      <c r="I1156" s="3"/>
    </row>
    <row r="1157" spans="1:9">
      <c r="A1157" s="270">
        <v>44762</v>
      </c>
      <c r="B1157" s="267"/>
      <c r="C1157" s="267" t="s">
        <v>92</v>
      </c>
      <c r="D1157" s="3" t="s">
        <v>836</v>
      </c>
      <c r="E1157" s="1497"/>
      <c r="F1157" s="1497">
        <v>14500</v>
      </c>
      <c r="G1157" s="267" t="s">
        <v>27</v>
      </c>
      <c r="H1157" s="3"/>
      <c r="I1157" s="3"/>
    </row>
    <row r="1158" spans="1:9">
      <c r="A1158" s="270">
        <v>44763</v>
      </c>
      <c r="B1158" s="267"/>
      <c r="C1158" s="267" t="s">
        <v>62</v>
      </c>
      <c r="D1158" s="15" t="s">
        <v>407</v>
      </c>
      <c r="E1158" s="1497">
        <v>1200</v>
      </c>
      <c r="F1158" s="1497"/>
      <c r="G1158" s="267" t="s">
        <v>56</v>
      </c>
      <c r="H1158" s="3"/>
      <c r="I1158" s="3"/>
    </row>
    <row r="1159" spans="1:9">
      <c r="A1159" s="270">
        <v>44763</v>
      </c>
      <c r="B1159" s="267"/>
      <c r="C1159" s="267" t="s">
        <v>62</v>
      </c>
      <c r="D1159" s="15" t="s">
        <v>38</v>
      </c>
      <c r="E1159" s="1497">
        <v>484.87</v>
      </c>
      <c r="F1159" s="1497"/>
      <c r="G1159" s="267" t="s">
        <v>56</v>
      </c>
      <c r="H1159" s="3"/>
      <c r="I1159" s="3"/>
    </row>
    <row r="1160" spans="1:9">
      <c r="A1160" s="270">
        <v>44763</v>
      </c>
      <c r="B1160" s="267"/>
      <c r="C1160" s="267" t="s">
        <v>79</v>
      </c>
      <c r="D1160" s="3" t="s">
        <v>166</v>
      </c>
      <c r="E1160" s="1497">
        <v>32000</v>
      </c>
      <c r="F1160" s="1497"/>
      <c r="G1160" s="267" t="s">
        <v>27</v>
      </c>
      <c r="H1160" s="3"/>
      <c r="I1160" s="3"/>
    </row>
    <row r="1161" spans="1:9">
      <c r="A1161" s="270">
        <v>44763</v>
      </c>
      <c r="B1161" s="267"/>
      <c r="C1161" s="267" t="s">
        <v>205</v>
      </c>
      <c r="D1161" s="3" t="s">
        <v>499</v>
      </c>
      <c r="E1161" s="1497">
        <v>15000</v>
      </c>
      <c r="F1161" s="1497"/>
      <c r="G1161" s="267" t="s">
        <v>27</v>
      </c>
      <c r="H1161" s="3"/>
      <c r="I1161" s="3"/>
    </row>
    <row r="1162" spans="1:9">
      <c r="A1162" s="270">
        <v>44763</v>
      </c>
      <c r="B1162" s="267"/>
      <c r="C1162" s="267" t="s">
        <v>205</v>
      </c>
      <c r="D1162" s="3" t="s">
        <v>48</v>
      </c>
      <c r="E1162" s="1497"/>
      <c r="F1162" s="1497">
        <v>66640</v>
      </c>
      <c r="G1162" s="267" t="s">
        <v>72</v>
      </c>
      <c r="H1162" s="3" t="s">
        <v>837</v>
      </c>
      <c r="I1162" s="3"/>
    </row>
    <row r="1163" spans="1:9">
      <c r="A1163" s="270">
        <v>44764</v>
      </c>
      <c r="B1163" s="267"/>
      <c r="C1163" s="267" t="s">
        <v>79</v>
      </c>
      <c r="D1163" s="3" t="s">
        <v>838</v>
      </c>
      <c r="E1163" s="1497">
        <v>644.29999999999995</v>
      </c>
      <c r="F1163" s="1497"/>
      <c r="G1163" s="267" t="s">
        <v>27</v>
      </c>
      <c r="H1163" s="3"/>
      <c r="I1163" s="3"/>
    </row>
    <row r="1164" spans="1:9">
      <c r="A1164" s="270">
        <v>44764</v>
      </c>
      <c r="B1164" s="267"/>
      <c r="C1164" s="267" t="s">
        <v>79</v>
      </c>
      <c r="D1164" s="3" t="s">
        <v>838</v>
      </c>
      <c r="E1164" s="1497">
        <v>30000</v>
      </c>
      <c r="F1164" s="1497"/>
      <c r="G1164" s="267" t="s">
        <v>72</v>
      </c>
      <c r="H1164" s="3"/>
      <c r="I1164" s="3"/>
    </row>
    <row r="1165" spans="1:9">
      <c r="A1165" s="270">
        <v>44764</v>
      </c>
      <c r="B1165" s="267"/>
      <c r="C1165" s="267" t="s">
        <v>88</v>
      </c>
      <c r="D1165" s="3" t="s">
        <v>144</v>
      </c>
      <c r="E1165" s="1497">
        <v>20000</v>
      </c>
      <c r="F1165" s="1497"/>
      <c r="G1165" s="267" t="s">
        <v>27</v>
      </c>
      <c r="H1165" s="3"/>
      <c r="I1165" s="3"/>
    </row>
    <row r="1166" spans="1:9">
      <c r="A1166" s="270">
        <v>44764</v>
      </c>
      <c r="B1166" s="267"/>
      <c r="C1166" s="267" t="s">
        <v>88</v>
      </c>
      <c r="D1166" s="3" t="s">
        <v>144</v>
      </c>
      <c r="E1166" s="1497">
        <v>10000</v>
      </c>
      <c r="F1166" s="1497"/>
      <c r="G1166" s="267" t="s">
        <v>27</v>
      </c>
      <c r="H1166" s="3"/>
      <c r="I1166" s="3"/>
    </row>
    <row r="1167" spans="1:9">
      <c r="A1167" s="270">
        <v>44764</v>
      </c>
      <c r="B1167" s="267"/>
      <c r="C1167" s="267" t="s">
        <v>88</v>
      </c>
      <c r="D1167" s="3" t="s">
        <v>88</v>
      </c>
      <c r="E1167" s="1497">
        <v>56650</v>
      </c>
      <c r="F1167" s="1497"/>
      <c r="G1167" s="267" t="s">
        <v>56</v>
      </c>
      <c r="H1167" s="3"/>
      <c r="I1167" s="3"/>
    </row>
    <row r="1168" spans="1:9">
      <c r="A1168" s="270">
        <v>44764</v>
      </c>
      <c r="B1168" s="267"/>
      <c r="C1168" s="267" t="s">
        <v>55</v>
      </c>
      <c r="D1168" s="3" t="s">
        <v>458</v>
      </c>
      <c r="E1168" s="1497">
        <v>6000</v>
      </c>
      <c r="F1168" s="1497"/>
      <c r="G1168" s="267" t="s">
        <v>56</v>
      </c>
      <c r="H1168" s="3"/>
      <c r="I1168" s="3"/>
    </row>
    <row r="1169" spans="1:9">
      <c r="A1169" s="270">
        <v>44764</v>
      </c>
      <c r="B1169" s="267"/>
      <c r="C1169" s="267" t="s">
        <v>55</v>
      </c>
      <c r="D1169" s="15" t="s">
        <v>64</v>
      </c>
      <c r="E1169" s="1497">
        <v>540</v>
      </c>
      <c r="F1169" s="1497"/>
      <c r="G1169" s="267" t="s">
        <v>56</v>
      </c>
      <c r="H1169" s="45" t="s">
        <v>839</v>
      </c>
      <c r="I1169" s="3"/>
    </row>
    <row r="1170" spans="1:9">
      <c r="A1170" s="270">
        <v>44764</v>
      </c>
      <c r="B1170" s="267"/>
      <c r="C1170" s="267" t="s">
        <v>77</v>
      </c>
      <c r="D1170" s="15" t="s">
        <v>843</v>
      </c>
      <c r="E1170" s="1497"/>
      <c r="F1170" s="1497">
        <v>14230</v>
      </c>
      <c r="G1170" s="267" t="s">
        <v>56</v>
      </c>
      <c r="H1170" s="125"/>
      <c r="I1170" s="3"/>
    </row>
    <row r="1171" spans="1:9">
      <c r="A1171" s="267"/>
      <c r="B1171" s="267"/>
      <c r="C1171" s="267"/>
      <c r="D1171" s="3"/>
      <c r="E1171" s="1497"/>
      <c r="F1171" s="1497"/>
      <c r="G1171" s="267"/>
      <c r="H1171" s="122" t="s">
        <v>840</v>
      </c>
      <c r="I1171" s="3"/>
    </row>
    <row r="1172" spans="1:9">
      <c r="A1172" s="267"/>
      <c r="B1172" s="267"/>
      <c r="C1172" s="267"/>
      <c r="D1172" s="3"/>
      <c r="E1172" s="1497"/>
      <c r="F1172" s="1497"/>
      <c r="G1172" s="267"/>
      <c r="H1172" s="117" t="s">
        <v>807</v>
      </c>
      <c r="I1172" s="3"/>
    </row>
    <row r="1173" spans="1:9">
      <c r="A1173" s="267"/>
      <c r="B1173" s="267"/>
      <c r="C1173" s="267"/>
      <c r="D1173" s="3"/>
      <c r="E1173" s="1497"/>
      <c r="F1173" s="1497"/>
      <c r="G1173" s="267"/>
      <c r="H1173" s="117" t="s">
        <v>806</v>
      </c>
      <c r="I1173" s="3"/>
    </row>
    <row r="1174" spans="1:9">
      <c r="A1174" s="267"/>
      <c r="B1174" s="267"/>
      <c r="C1174" s="267"/>
      <c r="D1174" s="3"/>
      <c r="E1174" s="1497"/>
      <c r="F1174" s="1497"/>
      <c r="G1174" s="267"/>
      <c r="H1174" s="117" t="s">
        <v>845</v>
      </c>
      <c r="I1174" s="3"/>
    </row>
    <row r="1175" spans="1:9">
      <c r="H1175" s="117" t="s">
        <v>841</v>
      </c>
    </row>
    <row r="1176" spans="1:9">
      <c r="H1176" s="117" t="s">
        <v>778</v>
      </c>
    </row>
    <row r="1177" spans="1:9">
      <c r="H1177" s="118" t="s">
        <v>809</v>
      </c>
    </row>
    <row r="1178" spans="1:9">
      <c r="A1178" s="270">
        <v>44767</v>
      </c>
      <c r="B1178" s="267"/>
      <c r="C1178" s="267" t="s">
        <v>79</v>
      </c>
      <c r="D1178" s="3" t="s">
        <v>79</v>
      </c>
      <c r="E1178" s="1497">
        <v>5500</v>
      </c>
      <c r="F1178" s="1497"/>
      <c r="G1178" s="267" t="s">
        <v>56</v>
      </c>
      <c r="H1178" s="126"/>
      <c r="I1178" s="3"/>
    </row>
    <row r="1179" spans="1:9">
      <c r="A1179" s="270">
        <v>44767</v>
      </c>
      <c r="B1179" s="267"/>
      <c r="C1179" s="267" t="s">
        <v>79</v>
      </c>
      <c r="D1179" s="3" t="s">
        <v>844</v>
      </c>
      <c r="E1179" s="1497" t="s">
        <v>842</v>
      </c>
      <c r="F1179" s="1497"/>
      <c r="G1179" s="267" t="s">
        <v>27</v>
      </c>
      <c r="H1179" s="3"/>
      <c r="I1179" s="3"/>
    </row>
    <row r="1180" spans="1:9">
      <c r="A1180" s="270">
        <v>44676</v>
      </c>
      <c r="B1180" s="267"/>
      <c r="C1180" s="267" t="s">
        <v>97</v>
      </c>
      <c r="D1180" s="3" t="s">
        <v>450</v>
      </c>
      <c r="E1180" s="1497">
        <v>7000</v>
      </c>
      <c r="F1180" s="1497"/>
      <c r="G1180" s="267" t="s">
        <v>27</v>
      </c>
      <c r="H1180" s="3"/>
      <c r="I1180" s="3"/>
    </row>
    <row r="1181" spans="1:9">
      <c r="A1181" s="270">
        <v>44767</v>
      </c>
      <c r="B1181" s="267"/>
      <c r="C1181" s="267" t="s">
        <v>77</v>
      </c>
      <c r="D1181" s="3" t="s">
        <v>843</v>
      </c>
      <c r="E1181" s="1497"/>
      <c r="F1181" s="1497">
        <v>15000</v>
      </c>
      <c r="G1181" s="267" t="s">
        <v>27</v>
      </c>
      <c r="H1181" s="3"/>
      <c r="I1181" s="3"/>
    </row>
    <row r="1182" spans="1:9">
      <c r="A1182" s="270">
        <v>44767</v>
      </c>
      <c r="B1182" s="267"/>
      <c r="C1182" s="267" t="s">
        <v>205</v>
      </c>
      <c r="D1182" s="3" t="s">
        <v>846</v>
      </c>
      <c r="E1182" s="1497">
        <v>31961.3</v>
      </c>
      <c r="F1182" s="1497"/>
      <c r="G1182" s="267" t="s">
        <v>27</v>
      </c>
      <c r="H1182" s="3"/>
      <c r="I1182" s="3"/>
    </row>
    <row r="1183" spans="1:9">
      <c r="A1183" s="270">
        <v>44767</v>
      </c>
      <c r="B1183" s="267"/>
      <c r="C1183" s="267" t="s">
        <v>55</v>
      </c>
      <c r="D1183" s="3" t="s">
        <v>847</v>
      </c>
      <c r="E1183" s="1497">
        <v>820</v>
      </c>
      <c r="F1183" s="1497"/>
      <c r="G1183" s="267" t="s">
        <v>56</v>
      </c>
      <c r="H1183" s="3"/>
      <c r="I1183" s="3"/>
    </row>
    <row r="1184" spans="1:9">
      <c r="A1184" s="270">
        <v>44767</v>
      </c>
      <c r="B1184" s="267"/>
      <c r="C1184" s="267" t="s">
        <v>86</v>
      </c>
      <c r="D1184" s="3" t="s">
        <v>104</v>
      </c>
      <c r="E1184" s="1497">
        <v>2553.19</v>
      </c>
      <c r="F1184" s="1497"/>
      <c r="G1184" s="267" t="s">
        <v>56</v>
      </c>
      <c r="H1184" s="3"/>
      <c r="I1184" s="3"/>
    </row>
    <row r="1185" spans="1:9">
      <c r="A1185" s="270">
        <v>44767</v>
      </c>
      <c r="B1185" s="267"/>
      <c r="C1185" s="267" t="s">
        <v>94</v>
      </c>
      <c r="D1185" s="3" t="s">
        <v>17</v>
      </c>
      <c r="E1185" s="1497">
        <v>1231.73</v>
      </c>
      <c r="F1185" s="1497"/>
      <c r="G1185" s="267" t="s">
        <v>27</v>
      </c>
      <c r="H1185" s="3"/>
      <c r="I1185" s="3"/>
    </row>
    <row r="1186" spans="1:9">
      <c r="A1186" s="270">
        <v>44767</v>
      </c>
      <c r="B1186" s="267"/>
      <c r="C1186" s="267" t="s">
        <v>79</v>
      </c>
      <c r="D1186" s="3" t="s">
        <v>344</v>
      </c>
      <c r="E1186" s="1497">
        <v>4580</v>
      </c>
      <c r="F1186" s="1497"/>
      <c r="G1186" s="267" t="s">
        <v>27</v>
      </c>
      <c r="H1186" s="3"/>
      <c r="I1186" s="3"/>
    </row>
    <row r="1187" spans="1:9">
      <c r="A1187" s="270">
        <v>44767</v>
      </c>
      <c r="B1187" s="267"/>
      <c r="C1187" s="267" t="s">
        <v>849</v>
      </c>
      <c r="D1187" s="3" t="s">
        <v>28</v>
      </c>
      <c r="E1187" s="1497">
        <v>2100.6</v>
      </c>
      <c r="F1187" s="1497"/>
      <c r="G1187" s="267" t="s">
        <v>27</v>
      </c>
      <c r="H1187" s="3"/>
      <c r="I1187" s="3"/>
    </row>
    <row r="1188" spans="1:9">
      <c r="A1188" s="270">
        <v>44767</v>
      </c>
      <c r="B1188" s="267"/>
      <c r="C1188" s="267" t="s">
        <v>79</v>
      </c>
      <c r="D1188" s="15" t="s">
        <v>848</v>
      </c>
      <c r="E1188" s="1497">
        <v>13612.8</v>
      </c>
      <c r="F1188" s="1497"/>
      <c r="G1188" s="267" t="s">
        <v>27</v>
      </c>
      <c r="H1188" s="3"/>
      <c r="I1188" s="3"/>
    </row>
    <row r="1189" spans="1:9">
      <c r="A1189" s="270">
        <v>44767</v>
      </c>
      <c r="B1189" s="267"/>
      <c r="C1189" s="267" t="s">
        <v>55</v>
      </c>
      <c r="D1189" s="3" t="s">
        <v>70</v>
      </c>
      <c r="E1189" s="1497">
        <v>500</v>
      </c>
      <c r="F1189" s="1497"/>
      <c r="G1189" s="267" t="s">
        <v>56</v>
      </c>
      <c r="H1189" s="3"/>
      <c r="I1189" s="3"/>
    </row>
    <row r="1190" spans="1:9">
      <c r="A1190" s="270">
        <v>44767</v>
      </c>
      <c r="B1190" s="267"/>
      <c r="C1190" s="267" t="s">
        <v>86</v>
      </c>
      <c r="D1190" s="3" t="s">
        <v>107</v>
      </c>
      <c r="E1190" s="1497">
        <v>3063.82</v>
      </c>
      <c r="F1190" s="1497"/>
      <c r="G1190" s="267" t="s">
        <v>27</v>
      </c>
      <c r="H1190" s="3"/>
      <c r="I1190" s="3"/>
    </row>
    <row r="1191" spans="1:9">
      <c r="A1191" s="270">
        <v>44767</v>
      </c>
      <c r="B1191" s="267"/>
      <c r="C1191" s="267" t="s">
        <v>92</v>
      </c>
      <c r="D1191" s="3" t="s">
        <v>852</v>
      </c>
      <c r="E1191" s="1497"/>
      <c r="F1191" s="1497">
        <v>134400</v>
      </c>
      <c r="G1191" s="267" t="s">
        <v>27</v>
      </c>
      <c r="H1191" s="3"/>
      <c r="I1191" s="3"/>
    </row>
    <row r="1192" spans="1:9">
      <c r="A1192" s="270">
        <v>44767</v>
      </c>
      <c r="B1192" s="267"/>
      <c r="C1192" s="267" t="s">
        <v>92</v>
      </c>
      <c r="D1192" s="3" t="s">
        <v>852</v>
      </c>
      <c r="E1192" s="1497">
        <v>1443.97</v>
      </c>
      <c r="F1192" s="1497"/>
      <c r="G1192" s="267" t="s">
        <v>27</v>
      </c>
      <c r="H1192" s="3"/>
      <c r="I1192" s="3"/>
    </row>
    <row r="1193" spans="1:9">
      <c r="A1193" s="270">
        <v>44768</v>
      </c>
      <c r="B1193" s="267"/>
      <c r="C1193" s="267" t="s">
        <v>156</v>
      </c>
      <c r="D1193" s="3" t="s">
        <v>156</v>
      </c>
      <c r="E1193" s="1497">
        <v>5198.3999999999996</v>
      </c>
      <c r="F1193" s="1497"/>
      <c r="G1193" s="267" t="s">
        <v>27</v>
      </c>
      <c r="H1193" s="3"/>
      <c r="I1193" s="3"/>
    </row>
    <row r="1194" spans="1:9">
      <c r="A1194" s="270">
        <v>44768</v>
      </c>
      <c r="B1194" s="267"/>
      <c r="C1194" s="267" t="s">
        <v>156</v>
      </c>
      <c r="D1194" s="3" t="s">
        <v>156</v>
      </c>
      <c r="E1194" s="1497">
        <v>7789.55</v>
      </c>
      <c r="F1194" s="1497"/>
      <c r="G1194" s="267" t="s">
        <v>27</v>
      </c>
      <c r="H1194" s="3"/>
      <c r="I1194" s="3"/>
    </row>
    <row r="1195" spans="1:9">
      <c r="A1195" s="270">
        <v>44768</v>
      </c>
      <c r="B1195" s="267"/>
      <c r="C1195" s="267" t="s">
        <v>156</v>
      </c>
      <c r="D1195" s="3" t="s">
        <v>156</v>
      </c>
      <c r="E1195" s="1497">
        <v>2338.12</v>
      </c>
      <c r="F1195" s="1497"/>
      <c r="G1195" s="267" t="s">
        <v>27</v>
      </c>
      <c r="H1195" s="3"/>
      <c r="I1195" s="3"/>
    </row>
    <row r="1196" spans="1:9">
      <c r="A1196" s="270">
        <v>44768</v>
      </c>
      <c r="B1196" s="267"/>
      <c r="C1196" s="267" t="s">
        <v>156</v>
      </c>
      <c r="D1196" s="3" t="s">
        <v>156</v>
      </c>
      <c r="E1196" s="1497">
        <v>7967.29</v>
      </c>
      <c r="F1196" s="1497"/>
      <c r="G1196" s="267" t="s">
        <v>27</v>
      </c>
      <c r="H1196" s="3"/>
      <c r="I1196" s="3"/>
    </row>
    <row r="1197" spans="1:9">
      <c r="A1197" s="270">
        <v>44768</v>
      </c>
      <c r="B1197" s="267"/>
      <c r="C1197" s="267" t="s">
        <v>79</v>
      </c>
      <c r="D1197" s="3" t="s">
        <v>850</v>
      </c>
      <c r="E1197" s="1497">
        <v>1673.78</v>
      </c>
      <c r="F1197" s="1497"/>
      <c r="G1197" s="267" t="s">
        <v>27</v>
      </c>
      <c r="H1197" s="3"/>
      <c r="I1197" s="3"/>
    </row>
    <row r="1198" spans="1:9">
      <c r="A1198" s="270">
        <v>44768</v>
      </c>
      <c r="B1198" s="267"/>
      <c r="C1198" s="267" t="s">
        <v>851</v>
      </c>
      <c r="D1198" s="3" t="s">
        <v>12</v>
      </c>
      <c r="E1198" s="1497">
        <v>8600</v>
      </c>
      <c r="F1198" s="1497"/>
      <c r="G1198" s="267" t="s">
        <v>27</v>
      </c>
      <c r="H1198" s="3"/>
      <c r="I1198" s="3"/>
    </row>
    <row r="1199" spans="1:9">
      <c r="A1199" s="270">
        <v>44768</v>
      </c>
      <c r="B1199" s="267"/>
      <c r="C1199" s="267" t="s">
        <v>308</v>
      </c>
      <c r="D1199" s="3" t="s">
        <v>232</v>
      </c>
      <c r="E1199" s="1497"/>
      <c r="F1199" s="1497">
        <v>50000</v>
      </c>
      <c r="G1199" s="267" t="s">
        <v>27</v>
      </c>
      <c r="H1199" s="3" t="s">
        <v>853</v>
      </c>
      <c r="I1199" s="3"/>
    </row>
    <row r="1200" spans="1:9">
      <c r="A1200" s="270">
        <v>44768</v>
      </c>
      <c r="B1200" s="267"/>
      <c r="C1200" s="267" t="s">
        <v>55</v>
      </c>
      <c r="D1200" s="15" t="s">
        <v>854</v>
      </c>
      <c r="E1200" s="1497">
        <v>4683</v>
      </c>
      <c r="F1200" s="1497"/>
      <c r="G1200" s="267" t="s">
        <v>56</v>
      </c>
      <c r="H1200" s="45" t="s">
        <v>855</v>
      </c>
      <c r="I1200" s="3"/>
    </row>
    <row r="1201" spans="1:9">
      <c r="A1201" s="270">
        <v>44769</v>
      </c>
      <c r="B1201" s="267"/>
      <c r="C1201" s="267" t="s">
        <v>77</v>
      </c>
      <c r="D1201" s="3" t="s">
        <v>856</v>
      </c>
      <c r="E1201" s="1497"/>
      <c r="F1201" s="1497">
        <v>210977.14</v>
      </c>
      <c r="G1201" s="267" t="s">
        <v>27</v>
      </c>
      <c r="H1201" s="3"/>
      <c r="I1201" s="3"/>
    </row>
    <row r="1202" spans="1:9">
      <c r="A1202" s="270">
        <v>44769</v>
      </c>
      <c r="B1202" s="267"/>
      <c r="C1202" s="267" t="s">
        <v>77</v>
      </c>
      <c r="D1202" s="3" t="s">
        <v>856</v>
      </c>
      <c r="E1202" s="1497">
        <v>4022.86</v>
      </c>
      <c r="F1202" s="1497"/>
      <c r="G1202" s="267" t="s">
        <v>27</v>
      </c>
      <c r="H1202" s="3"/>
      <c r="I1202" s="3"/>
    </row>
    <row r="1203" spans="1:9">
      <c r="A1203" s="270">
        <v>44769</v>
      </c>
      <c r="B1203" s="267"/>
      <c r="C1203" s="267" t="s">
        <v>309</v>
      </c>
      <c r="D1203" s="3" t="s">
        <v>28</v>
      </c>
      <c r="E1203" s="1497">
        <v>18604.5</v>
      </c>
      <c r="F1203" s="1497"/>
      <c r="G1203" s="267" t="s">
        <v>27</v>
      </c>
      <c r="H1203" s="3"/>
      <c r="I1203" s="3"/>
    </row>
    <row r="1204" spans="1:9">
      <c r="A1204" s="270">
        <v>44769</v>
      </c>
      <c r="B1204" s="267"/>
      <c r="C1204" s="267" t="s">
        <v>92</v>
      </c>
      <c r="D1204" s="3" t="s">
        <v>828</v>
      </c>
      <c r="E1204" s="1497"/>
      <c r="F1204" s="1497">
        <v>10100</v>
      </c>
      <c r="G1204" s="267" t="s">
        <v>27</v>
      </c>
      <c r="H1204" s="3"/>
      <c r="I1204" s="3"/>
    </row>
    <row r="1205" spans="1:9">
      <c r="A1205" s="270">
        <v>44769</v>
      </c>
      <c r="B1205" s="267"/>
      <c r="C1205" s="267" t="s">
        <v>92</v>
      </c>
      <c r="D1205" s="3" t="s">
        <v>857</v>
      </c>
      <c r="E1205" s="1497"/>
      <c r="F1205" s="1497">
        <v>105000</v>
      </c>
      <c r="G1205" s="267" t="s">
        <v>56</v>
      </c>
      <c r="H1205" s="3"/>
      <c r="I1205" s="3"/>
    </row>
    <row r="1206" spans="1:9">
      <c r="A1206" s="270">
        <v>44769</v>
      </c>
      <c r="B1206" s="267"/>
      <c r="C1206" s="267" t="s">
        <v>55</v>
      </c>
      <c r="D1206" s="3" t="s">
        <v>858</v>
      </c>
      <c r="E1206" s="1497">
        <v>1000</v>
      </c>
      <c r="F1206" s="1497"/>
      <c r="G1206" s="267" t="s">
        <v>56</v>
      </c>
      <c r="H1206" s="3"/>
      <c r="I1206" s="3"/>
    </row>
    <row r="1207" spans="1:9">
      <c r="A1207" s="270">
        <v>44769</v>
      </c>
      <c r="B1207" s="267"/>
      <c r="C1207" s="268" t="s">
        <v>205</v>
      </c>
      <c r="D1207" s="83" t="s">
        <v>190</v>
      </c>
      <c r="E1207" s="1501">
        <v>50000</v>
      </c>
      <c r="F1207" s="1501"/>
      <c r="G1207" s="268" t="s">
        <v>27</v>
      </c>
      <c r="H1207" s="3"/>
      <c r="I1207" s="3"/>
    </row>
    <row r="1208" spans="1:9">
      <c r="A1208" s="270">
        <v>44769</v>
      </c>
      <c r="B1208" s="267"/>
      <c r="C1208" s="267" t="s">
        <v>205</v>
      </c>
      <c r="D1208" s="15" t="s">
        <v>859</v>
      </c>
      <c r="E1208" s="1497">
        <v>30000</v>
      </c>
      <c r="F1208" s="1497"/>
      <c r="G1208" s="267" t="s">
        <v>27</v>
      </c>
      <c r="H1208" s="3"/>
      <c r="I1208" s="3"/>
    </row>
    <row r="1209" spans="1:9">
      <c r="A1209" s="270">
        <v>44769</v>
      </c>
      <c r="B1209" s="267"/>
      <c r="C1209" s="267" t="s">
        <v>205</v>
      </c>
      <c r="D1209" s="15" t="s">
        <v>35</v>
      </c>
      <c r="E1209" s="1497">
        <v>18552</v>
      </c>
      <c r="F1209" s="1497"/>
      <c r="G1209" s="267" t="s">
        <v>27</v>
      </c>
      <c r="H1209" s="3"/>
      <c r="I1209" s="3"/>
    </row>
    <row r="1210" spans="1:9">
      <c r="A1210" s="270">
        <v>44769</v>
      </c>
      <c r="B1210" s="267"/>
      <c r="C1210" s="267" t="s">
        <v>205</v>
      </c>
      <c r="D1210" s="15" t="s">
        <v>44</v>
      </c>
      <c r="E1210" s="1497">
        <v>16792</v>
      </c>
      <c r="F1210" s="1497"/>
      <c r="G1210" s="267" t="s">
        <v>27</v>
      </c>
      <c r="H1210" s="3"/>
      <c r="I1210" s="3"/>
    </row>
    <row r="1211" spans="1:9">
      <c r="A1211" s="270">
        <v>44770</v>
      </c>
      <c r="B1211" s="267"/>
      <c r="C1211" s="267" t="s">
        <v>97</v>
      </c>
      <c r="D1211" s="15" t="s">
        <v>860</v>
      </c>
      <c r="E1211" s="1497">
        <v>2700</v>
      </c>
      <c r="F1211" s="1497"/>
      <c r="G1211" s="267" t="s">
        <v>27</v>
      </c>
      <c r="H1211" s="3"/>
      <c r="I1211" s="3"/>
    </row>
    <row r="1212" spans="1:9">
      <c r="A1212" s="270">
        <v>44770</v>
      </c>
      <c r="B1212" s="267"/>
      <c r="C1212" s="267" t="s">
        <v>92</v>
      </c>
      <c r="D1212" s="3" t="s">
        <v>861</v>
      </c>
      <c r="E1212" s="1497"/>
      <c r="F1212" s="1497">
        <v>45900</v>
      </c>
      <c r="G1212" s="267" t="s">
        <v>56</v>
      </c>
      <c r="H1212" s="3"/>
      <c r="I1212" s="3"/>
    </row>
    <row r="1213" spans="1:9">
      <c r="A1213" s="270">
        <v>44770</v>
      </c>
      <c r="B1213" s="267"/>
      <c r="C1213" s="267" t="s">
        <v>55</v>
      </c>
      <c r="D1213" s="15" t="s">
        <v>862</v>
      </c>
      <c r="E1213" s="1497">
        <v>880</v>
      </c>
      <c r="F1213" s="1497"/>
      <c r="G1213" s="267" t="s">
        <v>56</v>
      </c>
      <c r="H1213" s="3"/>
      <c r="I1213" s="3"/>
    </row>
    <row r="1214" spans="1:9">
      <c r="A1214" s="270">
        <v>44770</v>
      </c>
      <c r="B1214" s="267"/>
      <c r="C1214" s="267" t="s">
        <v>55</v>
      </c>
      <c r="D1214" s="3" t="s">
        <v>863</v>
      </c>
      <c r="E1214" s="1497">
        <v>3500</v>
      </c>
      <c r="F1214" s="1497"/>
      <c r="G1214" s="267" t="s">
        <v>27</v>
      </c>
      <c r="H1214" s="3"/>
      <c r="I1214" s="3"/>
    </row>
    <row r="1215" spans="1:9">
      <c r="A1215" s="270">
        <v>44770</v>
      </c>
      <c r="B1215" s="267"/>
      <c r="C1215" s="267" t="s">
        <v>68</v>
      </c>
      <c r="D1215" s="3" t="s">
        <v>453</v>
      </c>
      <c r="E1215" s="1497">
        <v>1500</v>
      </c>
      <c r="F1215" s="1497"/>
      <c r="G1215" s="267" t="s">
        <v>56</v>
      </c>
      <c r="H1215" s="3"/>
      <c r="I1215" s="3"/>
    </row>
    <row r="1216" spans="1:9">
      <c r="A1216" s="270">
        <v>44770</v>
      </c>
      <c r="B1216" s="267"/>
      <c r="C1216" s="267" t="s">
        <v>205</v>
      </c>
      <c r="D1216" s="3" t="s">
        <v>53</v>
      </c>
      <c r="E1216" s="1497">
        <v>6590</v>
      </c>
      <c r="F1216" s="1497"/>
      <c r="G1216" s="267" t="s">
        <v>27</v>
      </c>
      <c r="H1216" s="3"/>
      <c r="I1216" s="3"/>
    </row>
    <row r="1217" spans="1:9">
      <c r="A1217" s="270">
        <v>44770</v>
      </c>
      <c r="B1217" s="267"/>
      <c r="C1217" s="267" t="s">
        <v>88</v>
      </c>
      <c r="D1217" s="15" t="s">
        <v>144</v>
      </c>
      <c r="E1217" s="1497">
        <v>24000</v>
      </c>
      <c r="F1217" s="1497"/>
      <c r="G1217" s="267" t="s">
        <v>27</v>
      </c>
      <c r="H1217" s="3"/>
      <c r="I1217" s="3"/>
    </row>
    <row r="1218" spans="1:9">
      <c r="A1218" s="270">
        <v>44770</v>
      </c>
      <c r="B1218" s="267"/>
      <c r="C1218" s="267" t="s">
        <v>866</v>
      </c>
      <c r="D1218" s="15" t="s">
        <v>865</v>
      </c>
      <c r="E1218" s="1497">
        <v>10300</v>
      </c>
      <c r="F1218" s="1497"/>
      <c r="G1218" s="267" t="s">
        <v>27</v>
      </c>
      <c r="H1218" s="3"/>
      <c r="I1218" s="3"/>
    </row>
    <row r="1219" spans="1:9">
      <c r="A1219" s="270">
        <v>44770</v>
      </c>
      <c r="B1219" s="267"/>
      <c r="C1219" s="267" t="s">
        <v>79</v>
      </c>
      <c r="D1219" s="15" t="s">
        <v>865</v>
      </c>
      <c r="E1219" s="1497">
        <v>28600</v>
      </c>
      <c r="F1219" s="1497"/>
      <c r="G1219" s="267" t="s">
        <v>27</v>
      </c>
      <c r="H1219" s="3"/>
      <c r="I1219" s="3"/>
    </row>
    <row r="1220" spans="1:9">
      <c r="A1220" s="270">
        <v>44770</v>
      </c>
      <c r="B1220" s="267"/>
      <c r="C1220" s="267" t="s">
        <v>88</v>
      </c>
      <c r="D1220" s="15" t="s">
        <v>208</v>
      </c>
      <c r="E1220" s="1497">
        <v>5000</v>
      </c>
      <c r="F1220" s="1497"/>
      <c r="G1220" s="267" t="s">
        <v>56</v>
      </c>
      <c r="H1220" s="3"/>
      <c r="I1220" s="3"/>
    </row>
    <row r="1221" spans="1:9">
      <c r="A1221" s="270">
        <v>44771</v>
      </c>
      <c r="B1221" s="267"/>
      <c r="C1221" s="267" t="s">
        <v>160</v>
      </c>
      <c r="D1221" s="3" t="s">
        <v>867</v>
      </c>
      <c r="E1221" s="1497"/>
      <c r="F1221" s="1497">
        <v>6400</v>
      </c>
      <c r="G1221" s="267" t="s">
        <v>56</v>
      </c>
      <c r="H1221" s="3"/>
      <c r="I1221" s="3"/>
    </row>
    <row r="1222" spans="1:9">
      <c r="A1222" s="270">
        <v>44771</v>
      </c>
      <c r="B1222" s="267"/>
      <c r="C1222" s="267" t="s">
        <v>77</v>
      </c>
      <c r="D1222" s="3" t="s">
        <v>868</v>
      </c>
      <c r="E1222" s="1497"/>
      <c r="F1222" s="1497">
        <v>44900</v>
      </c>
      <c r="G1222" s="267" t="s">
        <v>56</v>
      </c>
      <c r="H1222" s="3"/>
      <c r="I1222" s="3"/>
    </row>
    <row r="1223" spans="1:9">
      <c r="A1223" s="270">
        <v>44771</v>
      </c>
      <c r="B1223" s="267"/>
      <c r="C1223" s="267" t="s">
        <v>77</v>
      </c>
      <c r="D1223" s="3" t="s">
        <v>868</v>
      </c>
      <c r="E1223" s="1497"/>
      <c r="F1223" s="1497">
        <v>3300</v>
      </c>
      <c r="G1223" s="267" t="s">
        <v>781</v>
      </c>
      <c r="H1223" s="3"/>
      <c r="I1223" s="3"/>
    </row>
    <row r="1224" spans="1:9">
      <c r="A1224" s="270">
        <v>44771</v>
      </c>
      <c r="B1224" s="267"/>
      <c r="C1224" s="267" t="s">
        <v>205</v>
      </c>
      <c r="D1224" s="3" t="s">
        <v>48</v>
      </c>
      <c r="E1224" s="1497">
        <v>31000</v>
      </c>
      <c r="F1224" s="1497"/>
      <c r="G1224" s="267" t="s">
        <v>27</v>
      </c>
      <c r="H1224" s="3"/>
      <c r="I1224" s="3"/>
    </row>
    <row r="1225" spans="1:9">
      <c r="A1225" s="270">
        <v>44771</v>
      </c>
      <c r="B1225" s="267"/>
      <c r="C1225" s="267" t="s">
        <v>77</v>
      </c>
      <c r="D1225" s="3" t="s">
        <v>869</v>
      </c>
      <c r="E1225" s="1497"/>
      <c r="F1225" s="1497">
        <v>6400</v>
      </c>
      <c r="G1225" s="267" t="s">
        <v>27</v>
      </c>
      <c r="H1225" s="3"/>
      <c r="I1225" s="3"/>
    </row>
    <row r="1226" spans="1:9">
      <c r="A1226" s="270">
        <v>44771</v>
      </c>
      <c r="B1226" s="267"/>
      <c r="C1226" s="267" t="s">
        <v>871</v>
      </c>
      <c r="D1226" s="3" t="s">
        <v>870</v>
      </c>
      <c r="E1226" s="1497">
        <v>60000</v>
      </c>
      <c r="F1226" s="1497"/>
      <c r="G1226" s="267" t="s">
        <v>56</v>
      </c>
      <c r="H1226" s="3"/>
      <c r="I1226" s="3"/>
    </row>
    <row r="1227" spans="1:9">
      <c r="A1227" s="270">
        <v>44771</v>
      </c>
      <c r="B1227" s="267"/>
      <c r="C1227" s="267" t="s">
        <v>79</v>
      </c>
      <c r="D1227" s="3" t="s">
        <v>875</v>
      </c>
      <c r="E1227" s="1497">
        <v>11661.14</v>
      </c>
      <c r="F1227" s="1497"/>
      <c r="G1227" s="267" t="s">
        <v>56</v>
      </c>
      <c r="H1227" s="3"/>
      <c r="I1227" s="3"/>
    </row>
    <row r="1228" spans="1:9">
      <c r="A1228" s="270">
        <v>44771</v>
      </c>
      <c r="B1228" s="267"/>
      <c r="C1228" s="267" t="s">
        <v>88</v>
      </c>
      <c r="D1228" s="3" t="s">
        <v>167</v>
      </c>
      <c r="E1228" s="1497">
        <v>60650</v>
      </c>
      <c r="F1228" s="1497"/>
      <c r="G1228" s="267" t="s">
        <v>56</v>
      </c>
      <c r="H1228" s="3"/>
      <c r="I1228" s="3"/>
    </row>
    <row r="1229" spans="1:9">
      <c r="A1229" s="270">
        <v>44771</v>
      </c>
      <c r="B1229" s="267"/>
      <c r="C1229" s="267" t="s">
        <v>308</v>
      </c>
      <c r="D1229" s="3" t="s">
        <v>307</v>
      </c>
      <c r="E1229" s="1497">
        <v>6130</v>
      </c>
      <c r="F1229" s="1497"/>
      <c r="G1229" s="267" t="s">
        <v>27</v>
      </c>
      <c r="H1229" s="3"/>
      <c r="I1229" s="3"/>
    </row>
    <row r="1230" spans="1:9">
      <c r="A1230" s="270">
        <v>44771</v>
      </c>
      <c r="B1230" s="267"/>
      <c r="C1230" s="267" t="s">
        <v>176</v>
      </c>
      <c r="D1230" s="3" t="s">
        <v>175</v>
      </c>
      <c r="E1230" s="1497">
        <v>2000</v>
      </c>
      <c r="F1230" s="1497"/>
      <c r="G1230" s="267" t="s">
        <v>27</v>
      </c>
      <c r="H1230" s="3"/>
      <c r="I1230" s="3"/>
    </row>
    <row r="1231" spans="1:9">
      <c r="A1231" s="270"/>
      <c r="B1231" s="267"/>
      <c r="C1231" s="267"/>
      <c r="D1231" s="3"/>
      <c r="E1231" s="1497"/>
      <c r="F1231" s="1497"/>
      <c r="G1231" s="267"/>
      <c r="H1231" s="5"/>
      <c r="I1231" s="3"/>
    </row>
    <row r="1232" spans="1:9">
      <c r="A1232" s="267"/>
      <c r="B1232" s="267"/>
      <c r="C1232" s="267"/>
      <c r="D1232" s="3"/>
      <c r="E1232" s="1497"/>
      <c r="F1232" s="1497"/>
      <c r="G1232" s="267"/>
      <c r="H1232" s="122" t="s">
        <v>877</v>
      </c>
      <c r="I1232" s="3"/>
    </row>
    <row r="1233" spans="1:9">
      <c r="H1233" s="117" t="s">
        <v>876</v>
      </c>
    </row>
    <row r="1234" spans="1:9">
      <c r="H1234" s="117" t="s">
        <v>881</v>
      </c>
    </row>
    <row r="1235" spans="1:9">
      <c r="H1235" s="117" t="s">
        <v>873</v>
      </c>
    </row>
    <row r="1236" spans="1:9">
      <c r="H1236" s="117" t="s">
        <v>841</v>
      </c>
    </row>
    <row r="1237" spans="1:9">
      <c r="H1237" s="117" t="s">
        <v>872</v>
      </c>
    </row>
    <row r="1238" spans="1:9" ht="15.75" thickBot="1">
      <c r="H1238" s="118" t="s">
        <v>874</v>
      </c>
    </row>
    <row r="1239" spans="1:9" ht="15.75" thickBot="1">
      <c r="A1239" s="234" t="s">
        <v>878</v>
      </c>
      <c r="B1239" s="230"/>
      <c r="C1239" s="230"/>
      <c r="D1239" s="230"/>
      <c r="E1239" s="1494"/>
      <c r="F1239" s="1494"/>
      <c r="G1239" s="230"/>
      <c r="H1239" s="230"/>
      <c r="I1239" s="235"/>
    </row>
    <row r="1240" spans="1:9">
      <c r="A1240" s="77">
        <v>44774</v>
      </c>
      <c r="B1240" s="62"/>
      <c r="C1240" s="62" t="s">
        <v>79</v>
      </c>
      <c r="D1240" s="5" t="s">
        <v>151</v>
      </c>
      <c r="E1240" s="62">
        <v>3500</v>
      </c>
      <c r="F1240" s="62"/>
      <c r="G1240" s="62" t="s">
        <v>56</v>
      </c>
      <c r="H1240" s="5"/>
      <c r="I1240" s="5"/>
    </row>
    <row r="1241" spans="1:9">
      <c r="A1241" s="270">
        <v>44774</v>
      </c>
      <c r="B1241" s="267"/>
      <c r="C1241" s="267" t="s">
        <v>79</v>
      </c>
      <c r="D1241" s="3" t="s">
        <v>151</v>
      </c>
      <c r="E1241" s="1497">
        <v>1500</v>
      </c>
      <c r="F1241" s="1497"/>
      <c r="G1241" s="267" t="s">
        <v>56</v>
      </c>
      <c r="H1241" s="3"/>
      <c r="I1241" s="3"/>
    </row>
    <row r="1242" spans="1:9">
      <c r="A1242" s="270">
        <v>44774</v>
      </c>
      <c r="B1242" s="267"/>
      <c r="C1242" s="267" t="s">
        <v>205</v>
      </c>
      <c r="D1242" s="3" t="s">
        <v>80</v>
      </c>
      <c r="E1242" s="1497">
        <v>1500</v>
      </c>
      <c r="F1242" s="1497"/>
      <c r="G1242" s="267" t="s">
        <v>56</v>
      </c>
      <c r="H1242" s="3"/>
      <c r="I1242" s="3"/>
    </row>
    <row r="1243" spans="1:9">
      <c r="A1243" s="270">
        <v>44774</v>
      </c>
      <c r="B1243" s="267"/>
      <c r="C1243" s="267" t="s">
        <v>79</v>
      </c>
      <c r="D1243" s="3" t="s">
        <v>879</v>
      </c>
      <c r="E1243" s="1497" t="s">
        <v>880</v>
      </c>
      <c r="F1243" s="1497"/>
      <c r="G1243" s="267" t="s">
        <v>27</v>
      </c>
      <c r="H1243" s="3"/>
      <c r="I1243" s="3"/>
    </row>
    <row r="1244" spans="1:9">
      <c r="A1244" s="270">
        <v>44774</v>
      </c>
      <c r="B1244" s="267"/>
      <c r="C1244" s="267" t="s">
        <v>79</v>
      </c>
      <c r="D1244" s="3" t="s">
        <v>879</v>
      </c>
      <c r="E1244" s="1497">
        <v>4490</v>
      </c>
      <c r="F1244" s="1497"/>
      <c r="G1244" s="267" t="s">
        <v>27</v>
      </c>
      <c r="H1244" s="3"/>
      <c r="I1244" s="3"/>
    </row>
    <row r="1245" spans="1:9">
      <c r="A1245" s="270">
        <v>44774</v>
      </c>
      <c r="B1245" s="267"/>
      <c r="C1245" s="267" t="s">
        <v>176</v>
      </c>
      <c r="D1245" s="3" t="s">
        <v>175</v>
      </c>
      <c r="E1245" s="1497">
        <v>3000</v>
      </c>
      <c r="F1245" s="1497"/>
      <c r="G1245" s="267" t="s">
        <v>56</v>
      </c>
      <c r="H1245" s="3"/>
      <c r="I1245" s="3"/>
    </row>
    <row r="1246" spans="1:9">
      <c r="A1246" s="270">
        <v>44774</v>
      </c>
      <c r="B1246" s="267"/>
      <c r="C1246" s="267" t="s">
        <v>79</v>
      </c>
      <c r="D1246" s="3" t="s">
        <v>883</v>
      </c>
      <c r="E1246" s="1497">
        <v>10390</v>
      </c>
      <c r="F1246" s="1497"/>
      <c r="G1246" s="267" t="s">
        <v>27</v>
      </c>
      <c r="H1246" s="3"/>
      <c r="I1246" s="3"/>
    </row>
    <row r="1247" spans="1:9">
      <c r="A1247" s="270">
        <v>44774</v>
      </c>
      <c r="B1247" s="267"/>
      <c r="C1247" s="267" t="s">
        <v>97</v>
      </c>
      <c r="D1247" s="3" t="s">
        <v>884</v>
      </c>
      <c r="E1247" s="1497">
        <v>9000</v>
      </c>
      <c r="F1247" s="1497"/>
      <c r="G1247" s="267" t="s">
        <v>27</v>
      </c>
      <c r="H1247" s="3"/>
      <c r="I1247" s="3"/>
    </row>
    <row r="1248" spans="1:9">
      <c r="A1248" s="270">
        <v>44774</v>
      </c>
      <c r="B1248" s="267"/>
      <c r="C1248" s="267" t="s">
        <v>79</v>
      </c>
      <c r="D1248" s="3" t="s">
        <v>19</v>
      </c>
      <c r="E1248" s="1497">
        <v>5400</v>
      </c>
      <c r="F1248" s="1497"/>
      <c r="G1248" s="267" t="s">
        <v>27</v>
      </c>
      <c r="H1248" s="3"/>
      <c r="I1248" s="3"/>
    </row>
    <row r="1249" spans="1:9">
      <c r="A1249" s="270">
        <v>44774</v>
      </c>
      <c r="B1249" s="267"/>
      <c r="C1249" s="267" t="s">
        <v>65</v>
      </c>
      <c r="D1249" s="3" t="s">
        <v>19</v>
      </c>
      <c r="E1249" s="1497">
        <v>3061.56</v>
      </c>
      <c r="F1249" s="1497"/>
      <c r="G1249" s="267" t="s">
        <v>27</v>
      </c>
      <c r="H1249" s="3"/>
      <c r="I1249" s="3"/>
    </row>
    <row r="1250" spans="1:9">
      <c r="A1250" s="270">
        <v>44774</v>
      </c>
      <c r="B1250" s="267"/>
      <c r="C1250" s="267" t="s">
        <v>92</v>
      </c>
      <c r="D1250" s="3" t="s">
        <v>754</v>
      </c>
      <c r="E1250" s="1497"/>
      <c r="F1250" s="1497">
        <v>85900</v>
      </c>
      <c r="G1250" s="267" t="s">
        <v>27</v>
      </c>
      <c r="H1250" s="3"/>
      <c r="I1250" s="3"/>
    </row>
    <row r="1251" spans="1:9">
      <c r="A1251" s="270">
        <v>44774</v>
      </c>
      <c r="B1251" s="267"/>
      <c r="C1251" s="267" t="s">
        <v>79</v>
      </c>
      <c r="D1251" s="3" t="s">
        <v>885</v>
      </c>
      <c r="E1251" s="1497">
        <v>2500</v>
      </c>
      <c r="F1251" s="1497"/>
      <c r="G1251" s="267" t="s">
        <v>56</v>
      </c>
      <c r="H1251" s="3"/>
      <c r="I1251" s="3"/>
    </row>
    <row r="1252" spans="1:9">
      <c r="A1252" s="270">
        <v>44776</v>
      </c>
      <c r="B1252" s="267"/>
      <c r="C1252" s="267" t="s">
        <v>92</v>
      </c>
      <c r="D1252" s="15" t="s">
        <v>886</v>
      </c>
      <c r="E1252" s="1497"/>
      <c r="F1252" s="1497">
        <v>2800</v>
      </c>
      <c r="G1252" s="267" t="s">
        <v>27</v>
      </c>
      <c r="H1252" s="3"/>
      <c r="I1252" s="3"/>
    </row>
    <row r="1253" spans="1:9">
      <c r="A1253" s="270">
        <v>44776</v>
      </c>
      <c r="B1253" s="267"/>
      <c r="C1253" s="267" t="s">
        <v>92</v>
      </c>
      <c r="D1253" s="15" t="s">
        <v>886</v>
      </c>
      <c r="E1253" s="1497">
        <v>121.99</v>
      </c>
      <c r="F1253" s="1497"/>
      <c r="G1253" s="267" t="s">
        <v>27</v>
      </c>
      <c r="H1253" s="3"/>
      <c r="I1253" s="3"/>
    </row>
    <row r="1254" spans="1:9">
      <c r="A1254" s="270">
        <v>44776</v>
      </c>
      <c r="B1254" s="267"/>
      <c r="C1254" s="267" t="s">
        <v>55</v>
      </c>
      <c r="D1254" s="3" t="s">
        <v>70</v>
      </c>
      <c r="E1254" s="1497">
        <v>740</v>
      </c>
      <c r="F1254" s="1497"/>
      <c r="G1254" s="267" t="s">
        <v>56</v>
      </c>
      <c r="H1254" s="3"/>
      <c r="I1254" s="3"/>
    </row>
    <row r="1255" spans="1:9">
      <c r="A1255" s="270">
        <v>44776</v>
      </c>
      <c r="B1255" s="267"/>
      <c r="C1255" s="267" t="s">
        <v>90</v>
      </c>
      <c r="D1255" s="3" t="s">
        <v>453</v>
      </c>
      <c r="E1255" s="1497">
        <v>1500</v>
      </c>
      <c r="F1255" s="1497"/>
      <c r="G1255" s="267" t="s">
        <v>56</v>
      </c>
      <c r="H1255" s="3"/>
      <c r="I1255" s="3"/>
    </row>
    <row r="1256" spans="1:9">
      <c r="A1256" s="270">
        <v>44776</v>
      </c>
      <c r="B1256" s="267"/>
      <c r="C1256" s="267" t="s">
        <v>92</v>
      </c>
      <c r="D1256" s="3" t="s">
        <v>887</v>
      </c>
      <c r="E1256" s="1497"/>
      <c r="F1256" s="1497">
        <v>4700</v>
      </c>
      <c r="G1256" s="267" t="s">
        <v>56</v>
      </c>
      <c r="H1256" s="3"/>
      <c r="I1256" s="3"/>
    </row>
    <row r="1257" spans="1:9">
      <c r="A1257" s="270">
        <v>44776</v>
      </c>
      <c r="B1257" s="267"/>
      <c r="C1257" s="267" t="s">
        <v>433</v>
      </c>
      <c r="D1257" s="3" t="s">
        <v>888</v>
      </c>
      <c r="E1257" s="1497">
        <v>2678.01</v>
      </c>
      <c r="F1257" s="1497"/>
      <c r="G1257" s="267" t="s">
        <v>27</v>
      </c>
      <c r="H1257" s="3"/>
      <c r="I1257" s="3"/>
    </row>
    <row r="1258" spans="1:9">
      <c r="A1258" s="270">
        <v>44777</v>
      </c>
      <c r="B1258" s="267"/>
      <c r="C1258" s="267" t="s">
        <v>77</v>
      </c>
      <c r="D1258" s="3" t="s">
        <v>889</v>
      </c>
      <c r="E1258" s="1497"/>
      <c r="F1258" s="1497">
        <v>40000</v>
      </c>
      <c r="G1258" s="267" t="s">
        <v>56</v>
      </c>
      <c r="H1258" s="3" t="s">
        <v>890</v>
      </c>
      <c r="I1258" s="3"/>
    </row>
    <row r="1259" spans="1:9">
      <c r="A1259" s="270">
        <v>44777</v>
      </c>
      <c r="B1259" s="267"/>
      <c r="C1259" s="267" t="s">
        <v>92</v>
      </c>
      <c r="D1259" s="3" t="s">
        <v>891</v>
      </c>
      <c r="E1259" s="1497"/>
      <c r="F1259" s="1497">
        <v>54400</v>
      </c>
      <c r="G1259" s="267" t="s">
        <v>287</v>
      </c>
      <c r="H1259" s="3"/>
      <c r="I1259" s="3"/>
    </row>
    <row r="1260" spans="1:9">
      <c r="A1260" s="270">
        <v>44777</v>
      </c>
      <c r="B1260" s="267"/>
      <c r="C1260" s="267" t="s">
        <v>77</v>
      </c>
      <c r="D1260" s="3" t="s">
        <v>892</v>
      </c>
      <c r="E1260" s="1497"/>
      <c r="F1260" s="1497">
        <v>150000</v>
      </c>
      <c r="G1260" s="267" t="s">
        <v>56</v>
      </c>
      <c r="H1260" s="3"/>
      <c r="I1260" s="3"/>
    </row>
    <row r="1261" spans="1:9">
      <c r="A1261" s="270">
        <v>44777</v>
      </c>
      <c r="B1261" s="267"/>
      <c r="C1261" s="267" t="s">
        <v>55</v>
      </c>
      <c r="D1261" s="3" t="s">
        <v>897</v>
      </c>
      <c r="E1261" s="1497">
        <v>1600</v>
      </c>
      <c r="F1261" s="1497"/>
      <c r="G1261" s="267" t="s">
        <v>56</v>
      </c>
      <c r="H1261" s="3"/>
      <c r="I1261" s="3"/>
    </row>
    <row r="1262" spans="1:9">
      <c r="A1262" s="270">
        <v>44778</v>
      </c>
      <c r="B1262" s="267"/>
      <c r="C1262" s="267" t="s">
        <v>97</v>
      </c>
      <c r="D1262" s="3" t="s">
        <v>893</v>
      </c>
      <c r="E1262" s="1497">
        <v>6200</v>
      </c>
      <c r="F1262" s="1497"/>
      <c r="G1262" s="267" t="s">
        <v>27</v>
      </c>
      <c r="H1262" s="3"/>
      <c r="I1262" s="3"/>
    </row>
    <row r="1263" spans="1:9">
      <c r="A1263" s="270">
        <v>44778</v>
      </c>
      <c r="B1263" s="267"/>
      <c r="C1263" s="267" t="s">
        <v>79</v>
      </c>
      <c r="D1263" s="3" t="s">
        <v>895</v>
      </c>
      <c r="E1263" s="1497">
        <v>7052.78</v>
      </c>
      <c r="F1263" s="1497"/>
      <c r="G1263" s="267" t="s">
        <v>27</v>
      </c>
      <c r="H1263" s="3"/>
      <c r="I1263" s="3"/>
    </row>
    <row r="1264" spans="1:9">
      <c r="A1264" s="270">
        <v>44778</v>
      </c>
      <c r="B1264" s="267"/>
      <c r="C1264" s="267" t="s">
        <v>79</v>
      </c>
      <c r="D1264" s="3" t="s">
        <v>16</v>
      </c>
      <c r="E1264" s="1497">
        <v>12480</v>
      </c>
      <c r="F1264" s="1497"/>
      <c r="G1264" s="267" t="s">
        <v>27</v>
      </c>
      <c r="H1264" s="3"/>
      <c r="I1264" s="3"/>
    </row>
    <row r="1265" spans="1:9">
      <c r="A1265" s="270">
        <v>44778</v>
      </c>
      <c r="B1265" s="267"/>
      <c r="C1265" s="267" t="s">
        <v>94</v>
      </c>
      <c r="D1265" s="3" t="s">
        <v>894</v>
      </c>
      <c r="E1265" s="1497">
        <v>12520</v>
      </c>
      <c r="F1265" s="1497"/>
      <c r="G1265" s="267" t="s">
        <v>56</v>
      </c>
      <c r="H1265" s="3"/>
      <c r="I1265" s="3"/>
    </row>
    <row r="1266" spans="1:9">
      <c r="A1266" s="112">
        <v>44778</v>
      </c>
      <c r="B1266" s="70"/>
      <c r="C1266" s="70" t="s">
        <v>79</v>
      </c>
      <c r="D1266" s="113" t="s">
        <v>79</v>
      </c>
      <c r="E1266" s="70">
        <v>50000</v>
      </c>
      <c r="F1266" s="70"/>
      <c r="G1266" s="70" t="s">
        <v>56</v>
      </c>
      <c r="H1266" s="3"/>
      <c r="I1266" s="3"/>
    </row>
    <row r="1267" spans="1:9">
      <c r="A1267" s="270">
        <v>44778</v>
      </c>
      <c r="B1267" s="267"/>
      <c r="C1267" s="267" t="s">
        <v>79</v>
      </c>
      <c r="D1267" s="3" t="s">
        <v>895</v>
      </c>
      <c r="E1267" s="1497">
        <v>7000</v>
      </c>
      <c r="F1267" s="1497"/>
      <c r="G1267" s="267" t="s">
        <v>27</v>
      </c>
      <c r="H1267" s="3"/>
      <c r="I1267" s="3"/>
    </row>
    <row r="1268" spans="1:9">
      <c r="A1268" s="270">
        <v>44778</v>
      </c>
      <c r="B1268" s="267"/>
      <c r="C1268" s="267" t="s">
        <v>308</v>
      </c>
      <c r="D1268" s="3" t="s">
        <v>232</v>
      </c>
      <c r="E1268" s="1497">
        <v>22000</v>
      </c>
      <c r="F1268" s="1497"/>
      <c r="G1268" s="267" t="s">
        <v>27</v>
      </c>
      <c r="H1268" s="3"/>
      <c r="I1268" s="3"/>
    </row>
    <row r="1269" spans="1:9">
      <c r="A1269" s="270">
        <v>44778</v>
      </c>
      <c r="B1269" s="267"/>
      <c r="C1269" s="267" t="s">
        <v>55</v>
      </c>
      <c r="D1269" s="3" t="s">
        <v>896</v>
      </c>
      <c r="E1269" s="1497">
        <v>300</v>
      </c>
      <c r="F1269" s="1497"/>
      <c r="G1269" s="267" t="s">
        <v>56</v>
      </c>
      <c r="H1269" s="3"/>
      <c r="I1269" s="3"/>
    </row>
    <row r="1270" spans="1:9">
      <c r="A1270" s="270">
        <v>44778</v>
      </c>
      <c r="B1270" s="267"/>
      <c r="C1270" s="267" t="s">
        <v>55</v>
      </c>
      <c r="D1270" s="3" t="s">
        <v>898</v>
      </c>
      <c r="E1270" s="1497">
        <v>200</v>
      </c>
      <c r="F1270" s="1497"/>
      <c r="G1270" s="267" t="s">
        <v>56</v>
      </c>
      <c r="H1270" s="3"/>
      <c r="I1270" s="3"/>
    </row>
    <row r="1271" spans="1:9">
      <c r="A1271" s="270">
        <v>44778</v>
      </c>
      <c r="B1271" s="267"/>
      <c r="C1271" s="267" t="s">
        <v>537</v>
      </c>
      <c r="D1271" s="15" t="s">
        <v>219</v>
      </c>
      <c r="E1271" s="1497">
        <v>23800</v>
      </c>
      <c r="F1271" s="1497"/>
      <c r="G1271" s="267" t="s">
        <v>56</v>
      </c>
      <c r="H1271" s="3"/>
      <c r="I1271" s="3"/>
    </row>
    <row r="1272" spans="1:9">
      <c r="A1272" s="270">
        <v>44778</v>
      </c>
      <c r="B1272" s="267"/>
      <c r="C1272" s="267" t="s">
        <v>537</v>
      </c>
      <c r="D1272" s="15" t="s">
        <v>208</v>
      </c>
      <c r="E1272" s="1497">
        <v>16500</v>
      </c>
      <c r="F1272" s="1497"/>
      <c r="G1272" s="267" t="s">
        <v>56</v>
      </c>
      <c r="H1272" s="3"/>
      <c r="I1272" s="3"/>
    </row>
    <row r="1273" spans="1:9">
      <c r="A1273" s="270">
        <v>44778</v>
      </c>
      <c r="B1273" s="267"/>
      <c r="C1273" s="267" t="s">
        <v>537</v>
      </c>
      <c r="D1273" s="3" t="s">
        <v>144</v>
      </c>
      <c r="E1273" s="1497">
        <v>10000</v>
      </c>
      <c r="F1273" s="1497"/>
      <c r="G1273" s="267" t="s">
        <v>27</v>
      </c>
      <c r="H1273" s="3" t="s">
        <v>899</v>
      </c>
      <c r="I1273" s="3"/>
    </row>
    <row r="1274" spans="1:9">
      <c r="A1274" s="270">
        <v>44778</v>
      </c>
      <c r="B1274" s="267"/>
      <c r="C1274" s="267" t="s">
        <v>537</v>
      </c>
      <c r="D1274" s="15" t="s">
        <v>144</v>
      </c>
      <c r="E1274" s="1497">
        <v>6000</v>
      </c>
      <c r="F1274" s="1497"/>
      <c r="G1274" s="267" t="s">
        <v>27</v>
      </c>
      <c r="H1274" s="3" t="s">
        <v>900</v>
      </c>
      <c r="I1274" s="3"/>
    </row>
    <row r="1275" spans="1:9">
      <c r="A1275" s="270">
        <v>44778</v>
      </c>
      <c r="B1275" s="267"/>
      <c r="C1275" s="267" t="s">
        <v>537</v>
      </c>
      <c r="D1275" s="3" t="s">
        <v>144</v>
      </c>
      <c r="E1275" s="1497">
        <v>16500</v>
      </c>
      <c r="F1275" s="1497"/>
      <c r="G1275" s="267" t="s">
        <v>56</v>
      </c>
      <c r="H1275" s="3"/>
      <c r="I1275" s="3"/>
    </row>
    <row r="1276" spans="1:9">
      <c r="A1276" s="270">
        <v>44778</v>
      </c>
      <c r="B1276" s="267"/>
      <c r="C1276" s="267" t="s">
        <v>92</v>
      </c>
      <c r="D1276" s="15" t="s">
        <v>904</v>
      </c>
      <c r="E1276" s="1497"/>
      <c r="F1276" s="1497">
        <v>2800</v>
      </c>
      <c r="G1276" s="267" t="s">
        <v>56</v>
      </c>
      <c r="H1276" s="3"/>
      <c r="I1276" s="3"/>
    </row>
    <row r="1277" spans="1:9">
      <c r="H1277" s="122" t="s">
        <v>902</v>
      </c>
    </row>
    <row r="1278" spans="1:9">
      <c r="H1278" s="117" t="s">
        <v>876</v>
      </c>
    </row>
    <row r="1279" spans="1:9">
      <c r="H1279" s="117" t="s">
        <v>905</v>
      </c>
    </row>
    <row r="1280" spans="1:9">
      <c r="H1280" s="117" t="s">
        <v>903</v>
      </c>
    </row>
    <row r="1281" spans="1:9">
      <c r="H1281" s="117" t="s">
        <v>901</v>
      </c>
    </row>
    <row r="1282" spans="1:9">
      <c r="H1282" s="117" t="s">
        <v>872</v>
      </c>
    </row>
    <row r="1283" spans="1:9">
      <c r="A1283" s="127"/>
      <c r="H1283" s="118" t="s">
        <v>874</v>
      </c>
    </row>
    <row r="1284" spans="1:9">
      <c r="A1284" s="270">
        <v>44781</v>
      </c>
      <c r="B1284" s="267"/>
      <c r="C1284" s="267" t="s">
        <v>92</v>
      </c>
      <c r="D1284" s="3" t="s">
        <v>864</v>
      </c>
      <c r="E1284" s="1497"/>
      <c r="F1284" s="1497">
        <v>36900</v>
      </c>
      <c r="G1284" s="267" t="s">
        <v>56</v>
      </c>
      <c r="H1284" s="3"/>
      <c r="I1284" s="3"/>
    </row>
    <row r="1285" spans="1:9">
      <c r="A1285" s="270">
        <v>44781</v>
      </c>
      <c r="B1285" s="267"/>
      <c r="C1285" s="267" t="s">
        <v>79</v>
      </c>
      <c r="D1285" s="3" t="s">
        <v>906</v>
      </c>
      <c r="E1285" s="1497">
        <v>1970</v>
      </c>
      <c r="F1285" s="1497"/>
      <c r="G1285" s="267" t="s">
        <v>56</v>
      </c>
      <c r="H1285" s="3"/>
      <c r="I1285" s="3"/>
    </row>
    <row r="1286" spans="1:9">
      <c r="A1286" s="270">
        <v>44781</v>
      </c>
      <c r="B1286" s="267"/>
      <c r="C1286" s="267" t="s">
        <v>185</v>
      </c>
      <c r="D1286" s="3" t="s">
        <v>909</v>
      </c>
      <c r="E1286" s="1497">
        <v>39627.51</v>
      </c>
      <c r="F1286" s="1497"/>
      <c r="G1286" s="267" t="s">
        <v>27</v>
      </c>
      <c r="H1286" s="3"/>
      <c r="I1286" s="3"/>
    </row>
    <row r="1287" spans="1:9">
      <c r="A1287" s="270">
        <v>44781</v>
      </c>
      <c r="B1287" s="267"/>
      <c r="C1287" s="267" t="s">
        <v>79</v>
      </c>
      <c r="D1287" s="3" t="s">
        <v>151</v>
      </c>
      <c r="E1287" s="1497">
        <v>7000</v>
      </c>
      <c r="F1287" s="1497"/>
      <c r="G1287" s="267" t="s">
        <v>27</v>
      </c>
      <c r="H1287" s="3"/>
      <c r="I1287" s="3"/>
    </row>
    <row r="1288" spans="1:9">
      <c r="A1288" s="270">
        <v>44782</v>
      </c>
      <c r="B1288" s="267"/>
      <c r="C1288" s="267" t="s">
        <v>433</v>
      </c>
      <c r="D1288" s="3" t="s">
        <v>908</v>
      </c>
      <c r="E1288" s="1497" t="s">
        <v>907</v>
      </c>
      <c r="F1288" s="1497"/>
      <c r="G1288" s="267" t="s">
        <v>27</v>
      </c>
      <c r="H1288" s="3"/>
      <c r="I1288" s="3"/>
    </row>
    <row r="1289" spans="1:9">
      <c r="A1289" s="270">
        <v>44782</v>
      </c>
      <c r="B1289" s="267"/>
      <c r="C1289" s="267" t="s">
        <v>433</v>
      </c>
      <c r="D1289" s="3" t="s">
        <v>910</v>
      </c>
      <c r="E1289" s="1497">
        <v>2182.59</v>
      </c>
      <c r="F1289" s="1497"/>
      <c r="G1289" s="267" t="s">
        <v>27</v>
      </c>
      <c r="H1289" s="3"/>
      <c r="I1289" s="3"/>
    </row>
    <row r="1290" spans="1:9">
      <c r="A1290" s="270">
        <v>44782</v>
      </c>
      <c r="B1290" s="267"/>
      <c r="C1290" s="267" t="s">
        <v>433</v>
      </c>
      <c r="D1290" s="3" t="s">
        <v>910</v>
      </c>
      <c r="E1290" s="1497">
        <v>458.34</v>
      </c>
      <c r="F1290" s="1497"/>
      <c r="G1290" s="267" t="s">
        <v>27</v>
      </c>
      <c r="H1290" s="3"/>
      <c r="I1290" s="3"/>
    </row>
    <row r="1291" spans="1:9">
      <c r="A1291" s="270">
        <v>44782</v>
      </c>
      <c r="B1291" s="267"/>
      <c r="C1291" s="267" t="s">
        <v>79</v>
      </c>
      <c r="D1291" s="3" t="s">
        <v>277</v>
      </c>
      <c r="E1291" s="1497">
        <v>20000</v>
      </c>
      <c r="F1291" s="1497"/>
      <c r="G1291" s="267" t="s">
        <v>56</v>
      </c>
      <c r="H1291" s="3"/>
      <c r="I1291" s="3"/>
    </row>
    <row r="1292" spans="1:9">
      <c r="A1292" s="270">
        <v>44782</v>
      </c>
      <c r="B1292" s="267"/>
      <c r="C1292" s="267" t="s">
        <v>77</v>
      </c>
      <c r="D1292" s="3" t="s">
        <v>911</v>
      </c>
      <c r="E1292" s="1497"/>
      <c r="F1292" s="1497">
        <v>97200</v>
      </c>
      <c r="G1292" s="267" t="s">
        <v>27</v>
      </c>
      <c r="H1292" s="3"/>
      <c r="I1292" s="3"/>
    </row>
    <row r="1293" spans="1:9">
      <c r="A1293" s="270">
        <v>44782</v>
      </c>
      <c r="B1293" s="267"/>
      <c r="C1293" s="267" t="s">
        <v>88</v>
      </c>
      <c r="D1293" s="3" t="s">
        <v>364</v>
      </c>
      <c r="E1293" s="1497">
        <v>15000</v>
      </c>
      <c r="F1293" s="1497"/>
      <c r="G1293" s="267" t="s">
        <v>56</v>
      </c>
      <c r="H1293" s="3"/>
      <c r="I1293" s="3"/>
    </row>
    <row r="1294" spans="1:9" ht="30">
      <c r="A1294" s="270">
        <v>44782</v>
      </c>
      <c r="B1294" s="267"/>
      <c r="C1294" s="267" t="s">
        <v>77</v>
      </c>
      <c r="D1294" s="3" t="s">
        <v>889</v>
      </c>
      <c r="E1294" s="1497"/>
      <c r="F1294" s="1497">
        <v>70000</v>
      </c>
      <c r="G1294" s="267" t="s">
        <v>72</v>
      </c>
      <c r="H1294" s="69" t="s">
        <v>912</v>
      </c>
      <c r="I1294" s="3"/>
    </row>
    <row r="1295" spans="1:9">
      <c r="A1295" s="270">
        <v>44782</v>
      </c>
      <c r="B1295" s="267"/>
      <c r="C1295" s="267" t="s">
        <v>205</v>
      </c>
      <c r="D1295" s="3" t="s">
        <v>913</v>
      </c>
      <c r="E1295" s="1497">
        <v>60000</v>
      </c>
      <c r="F1295" s="1497"/>
      <c r="G1295" s="267" t="s">
        <v>27</v>
      </c>
      <c r="H1295" s="3"/>
      <c r="I1295" s="3"/>
    </row>
    <row r="1296" spans="1:9">
      <c r="A1296" s="270">
        <v>44782</v>
      </c>
      <c r="B1296" s="267" t="s">
        <v>914</v>
      </c>
      <c r="C1296" s="267" t="s">
        <v>55</v>
      </c>
      <c r="D1296" s="3" t="s">
        <v>225</v>
      </c>
      <c r="E1296" s="1497">
        <v>900</v>
      </c>
      <c r="F1296" s="1497"/>
      <c r="G1296" s="267" t="s">
        <v>56</v>
      </c>
      <c r="H1296" s="3"/>
      <c r="I1296" s="3"/>
    </row>
    <row r="1297" spans="1:9">
      <c r="A1297" s="270">
        <v>44782</v>
      </c>
      <c r="B1297" s="267"/>
      <c r="C1297" s="267" t="s">
        <v>55</v>
      </c>
      <c r="D1297" s="3" t="s">
        <v>38</v>
      </c>
      <c r="E1297" s="1497">
        <v>400</v>
      </c>
      <c r="F1297" s="1497"/>
      <c r="G1297" s="267" t="s">
        <v>56</v>
      </c>
      <c r="H1297" s="3" t="s">
        <v>915</v>
      </c>
      <c r="I1297" s="3"/>
    </row>
    <row r="1298" spans="1:9">
      <c r="A1298" s="270">
        <v>44783</v>
      </c>
      <c r="B1298" s="267"/>
      <c r="C1298" s="267" t="s">
        <v>55</v>
      </c>
      <c r="D1298" s="3" t="s">
        <v>916</v>
      </c>
      <c r="E1298" s="1497">
        <v>860</v>
      </c>
      <c r="F1298" s="1497"/>
      <c r="G1298" s="267" t="s">
        <v>56</v>
      </c>
      <c r="H1298" s="3"/>
      <c r="I1298" s="3"/>
    </row>
    <row r="1299" spans="1:9">
      <c r="A1299" s="270">
        <v>44783</v>
      </c>
      <c r="B1299" s="267"/>
      <c r="C1299" s="267" t="s">
        <v>55</v>
      </c>
      <c r="D1299" s="15" t="s">
        <v>917</v>
      </c>
      <c r="E1299" s="1497">
        <v>630</v>
      </c>
      <c r="F1299" s="1497"/>
      <c r="G1299" s="267" t="s">
        <v>56</v>
      </c>
      <c r="H1299" s="3"/>
      <c r="I1299" s="3"/>
    </row>
    <row r="1300" spans="1:9">
      <c r="A1300" s="270">
        <v>44783</v>
      </c>
      <c r="B1300" s="267"/>
      <c r="C1300" s="267" t="s">
        <v>55</v>
      </c>
      <c r="D1300" s="3" t="s">
        <v>238</v>
      </c>
      <c r="E1300" s="1497">
        <v>862.5</v>
      </c>
      <c r="F1300" s="1497"/>
      <c r="G1300" s="267" t="s">
        <v>56</v>
      </c>
      <c r="H1300" s="3"/>
      <c r="I1300" s="3"/>
    </row>
    <row r="1301" spans="1:9">
      <c r="A1301" s="270">
        <v>44783</v>
      </c>
      <c r="B1301" s="267"/>
      <c r="C1301" s="267" t="s">
        <v>90</v>
      </c>
      <c r="D1301" s="3" t="s">
        <v>453</v>
      </c>
      <c r="E1301" s="1497">
        <v>1950</v>
      </c>
      <c r="F1301" s="1497"/>
      <c r="G1301" s="267" t="s">
        <v>56</v>
      </c>
      <c r="H1301" s="3"/>
      <c r="I1301" s="3"/>
    </row>
    <row r="1302" spans="1:9">
      <c r="A1302" s="270">
        <v>44783</v>
      </c>
      <c r="B1302" s="267"/>
      <c r="C1302" s="267" t="s">
        <v>86</v>
      </c>
      <c r="D1302" s="3" t="s">
        <v>918</v>
      </c>
      <c r="E1302" s="1497">
        <v>2500</v>
      </c>
      <c r="F1302" s="1497"/>
      <c r="G1302" s="267" t="s">
        <v>56</v>
      </c>
      <c r="H1302" s="3"/>
      <c r="I1302" s="3"/>
    </row>
    <row r="1303" spans="1:9">
      <c r="A1303" s="270">
        <v>44784</v>
      </c>
      <c r="B1303" s="267"/>
      <c r="C1303" s="267" t="s">
        <v>79</v>
      </c>
      <c r="D1303" s="3" t="s">
        <v>151</v>
      </c>
      <c r="E1303" s="1497">
        <v>7000</v>
      </c>
      <c r="F1303" s="1497"/>
      <c r="G1303" s="267" t="s">
        <v>56</v>
      </c>
      <c r="H1303" s="3"/>
      <c r="I1303" s="3"/>
    </row>
    <row r="1304" spans="1:9">
      <c r="A1304" s="270">
        <v>44784</v>
      </c>
      <c r="B1304" s="267"/>
      <c r="C1304" s="267" t="s">
        <v>86</v>
      </c>
      <c r="D1304" s="3" t="s">
        <v>107</v>
      </c>
      <c r="E1304" s="1497">
        <v>3063</v>
      </c>
      <c r="F1304" s="1497"/>
      <c r="G1304" s="267" t="s">
        <v>27</v>
      </c>
      <c r="H1304" s="3"/>
      <c r="I1304" s="3"/>
    </row>
    <row r="1305" spans="1:9">
      <c r="A1305" s="270">
        <v>44784</v>
      </c>
      <c r="B1305" s="267"/>
      <c r="C1305" s="267" t="s">
        <v>77</v>
      </c>
      <c r="D1305" s="15" t="s">
        <v>919</v>
      </c>
      <c r="E1305" s="1497"/>
      <c r="F1305" s="1497">
        <v>107350</v>
      </c>
      <c r="G1305" s="267" t="s">
        <v>27</v>
      </c>
      <c r="H1305" s="3"/>
      <c r="I1305" s="3"/>
    </row>
    <row r="1306" spans="1:9">
      <c r="A1306" s="270">
        <v>44784</v>
      </c>
      <c r="B1306" s="267"/>
      <c r="C1306" s="267" t="s">
        <v>97</v>
      </c>
      <c r="D1306" s="3" t="s">
        <v>884</v>
      </c>
      <c r="E1306" s="1497">
        <v>7000</v>
      </c>
      <c r="F1306" s="1497"/>
      <c r="G1306" s="267" t="s">
        <v>27</v>
      </c>
      <c r="H1306" s="3"/>
      <c r="I1306" s="3"/>
    </row>
    <row r="1307" spans="1:9">
      <c r="A1307" s="270">
        <v>44784</v>
      </c>
      <c r="B1307" s="267"/>
      <c r="C1307" s="267" t="s">
        <v>97</v>
      </c>
      <c r="D1307" s="3" t="s">
        <v>920</v>
      </c>
      <c r="E1307" s="1497">
        <v>2500</v>
      </c>
      <c r="F1307" s="1497"/>
      <c r="G1307" s="267" t="s">
        <v>27</v>
      </c>
      <c r="H1307" s="3"/>
      <c r="I1307" s="3"/>
    </row>
    <row r="1308" spans="1:9">
      <c r="A1308" s="270">
        <v>44785</v>
      </c>
      <c r="B1308" s="267"/>
      <c r="C1308" s="267" t="s">
        <v>205</v>
      </c>
      <c r="D1308" s="3" t="s">
        <v>71</v>
      </c>
      <c r="E1308" s="1497">
        <v>9000</v>
      </c>
      <c r="F1308" s="1497"/>
      <c r="G1308" s="267" t="s">
        <v>27</v>
      </c>
      <c r="H1308" s="3"/>
      <c r="I1308" s="3"/>
    </row>
    <row r="1309" spans="1:9">
      <c r="A1309" s="270">
        <v>44785</v>
      </c>
      <c r="B1309" s="267"/>
      <c r="C1309" s="267" t="s">
        <v>205</v>
      </c>
      <c r="D1309" s="15" t="s">
        <v>921</v>
      </c>
      <c r="E1309" s="1497">
        <v>15296.24</v>
      </c>
      <c r="F1309" s="1497"/>
      <c r="G1309" s="267" t="s">
        <v>27</v>
      </c>
      <c r="H1309" s="3"/>
      <c r="I1309" s="3"/>
    </row>
    <row r="1310" spans="1:9">
      <c r="A1310" s="270">
        <v>44785</v>
      </c>
      <c r="B1310" s="267"/>
      <c r="C1310" s="267" t="s">
        <v>205</v>
      </c>
      <c r="D1310" s="3" t="s">
        <v>246</v>
      </c>
      <c r="E1310" s="1497">
        <v>22854</v>
      </c>
      <c r="F1310" s="1497"/>
      <c r="G1310" s="267" t="s">
        <v>27</v>
      </c>
      <c r="H1310" s="3"/>
      <c r="I1310" s="3"/>
    </row>
    <row r="1311" spans="1:9">
      <c r="A1311" s="270">
        <v>44785</v>
      </c>
      <c r="B1311" s="267"/>
      <c r="C1311" s="267" t="s">
        <v>79</v>
      </c>
      <c r="D1311" s="3" t="s">
        <v>79</v>
      </c>
      <c r="E1311" s="1497">
        <v>1000</v>
      </c>
      <c r="F1311" s="1497"/>
      <c r="G1311" s="267" t="s">
        <v>56</v>
      </c>
      <c r="H1311" s="3"/>
      <c r="I1311" s="3"/>
    </row>
    <row r="1312" spans="1:9">
      <c r="A1312" s="270">
        <v>44785</v>
      </c>
      <c r="B1312" s="267"/>
      <c r="C1312" s="267" t="s">
        <v>88</v>
      </c>
      <c r="D1312" s="3" t="s">
        <v>144</v>
      </c>
      <c r="E1312" s="1497">
        <v>10000</v>
      </c>
      <c r="F1312" s="1497"/>
      <c r="G1312" s="267" t="s">
        <v>27</v>
      </c>
      <c r="H1312" s="3"/>
      <c r="I1312" s="3"/>
    </row>
    <row r="1313" spans="1:9">
      <c r="A1313" s="270">
        <v>44785</v>
      </c>
      <c r="B1313" s="267"/>
      <c r="C1313" s="267" t="s">
        <v>205</v>
      </c>
      <c r="D1313" s="3" t="s">
        <v>38</v>
      </c>
      <c r="E1313" s="1497">
        <v>600</v>
      </c>
      <c r="F1313" s="1497"/>
      <c r="G1313" s="267" t="s">
        <v>56</v>
      </c>
      <c r="H1313" s="3"/>
      <c r="I1313" s="3"/>
    </row>
    <row r="1314" spans="1:9">
      <c r="A1314" s="270">
        <v>44785</v>
      </c>
      <c r="B1314" s="267"/>
      <c r="C1314" s="267" t="s">
        <v>88</v>
      </c>
      <c r="D1314" s="15" t="s">
        <v>144</v>
      </c>
      <c r="E1314" s="1497">
        <v>10000</v>
      </c>
      <c r="F1314" s="1497"/>
      <c r="G1314" s="267" t="s">
        <v>27</v>
      </c>
      <c r="H1314" s="3"/>
      <c r="I1314" s="3"/>
    </row>
    <row r="1315" spans="1:9">
      <c r="A1315" s="270">
        <v>44785</v>
      </c>
      <c r="B1315" s="267"/>
      <c r="C1315" s="267" t="s">
        <v>88</v>
      </c>
      <c r="D1315" s="15" t="s">
        <v>144</v>
      </c>
      <c r="E1315" s="1497">
        <v>2000</v>
      </c>
      <c r="F1315" s="1497"/>
      <c r="G1315" s="267" t="s">
        <v>56</v>
      </c>
      <c r="H1315" s="3"/>
      <c r="I1315" s="3"/>
    </row>
    <row r="1316" spans="1:9">
      <c r="A1316" s="270">
        <v>44785</v>
      </c>
      <c r="B1316" s="267"/>
      <c r="C1316" s="267" t="s">
        <v>88</v>
      </c>
      <c r="D1316" s="15" t="s">
        <v>259</v>
      </c>
      <c r="E1316" s="1497">
        <v>10500</v>
      </c>
      <c r="F1316" s="1497"/>
      <c r="G1316" s="267" t="s">
        <v>56</v>
      </c>
      <c r="H1316" s="3"/>
      <c r="I1316" s="3"/>
    </row>
    <row r="1317" spans="1:9">
      <c r="A1317" s="270">
        <v>44785</v>
      </c>
      <c r="B1317" s="267"/>
      <c r="C1317" s="267" t="s">
        <v>88</v>
      </c>
      <c r="D1317" s="15" t="s">
        <v>193</v>
      </c>
      <c r="E1317" s="1497">
        <v>1500</v>
      </c>
      <c r="F1317" s="1497"/>
      <c r="G1317" s="267" t="s">
        <v>56</v>
      </c>
      <c r="H1317" s="3"/>
      <c r="I1317" s="3"/>
    </row>
    <row r="1318" spans="1:9">
      <c r="A1318" s="270">
        <v>44785</v>
      </c>
      <c r="B1318" s="267"/>
      <c r="C1318" s="267" t="s">
        <v>88</v>
      </c>
      <c r="D1318" s="15" t="s">
        <v>208</v>
      </c>
      <c r="E1318" s="1497">
        <v>16500</v>
      </c>
      <c r="F1318" s="1497"/>
      <c r="G1318" s="267" t="s">
        <v>56</v>
      </c>
      <c r="H1318" s="3"/>
      <c r="I1318" s="3"/>
    </row>
    <row r="1319" spans="1:9">
      <c r="A1319" s="270">
        <v>44785</v>
      </c>
      <c r="B1319" s="267"/>
      <c r="C1319" s="267" t="s">
        <v>88</v>
      </c>
      <c r="D1319" s="15" t="s">
        <v>922</v>
      </c>
      <c r="E1319" s="1497">
        <v>23800</v>
      </c>
      <c r="F1319" s="1497"/>
      <c r="G1319" s="267" t="s">
        <v>56</v>
      </c>
      <c r="H1319" s="3"/>
      <c r="I1319" s="3"/>
    </row>
    <row r="1320" spans="1:9">
      <c r="H1320" s="128" t="s">
        <v>924</v>
      </c>
    </row>
    <row r="1321" spans="1:9">
      <c r="H1321" s="117" t="s">
        <v>876</v>
      </c>
    </row>
    <row r="1322" spans="1:9">
      <c r="H1322" s="117" t="s">
        <v>905</v>
      </c>
    </row>
    <row r="1323" spans="1:9">
      <c r="H1323" s="117" t="s">
        <v>923</v>
      </c>
    </row>
    <row r="1324" spans="1:9">
      <c r="H1324" s="117" t="s">
        <v>901</v>
      </c>
    </row>
    <row r="1325" spans="1:9">
      <c r="H1325" s="117" t="s">
        <v>872</v>
      </c>
    </row>
    <row r="1326" spans="1:9">
      <c r="H1326" s="118" t="s">
        <v>925</v>
      </c>
    </row>
    <row r="1327" spans="1:9">
      <c r="A1327" s="270">
        <v>44789</v>
      </c>
      <c r="B1327" s="267"/>
      <c r="C1327" s="267" t="s">
        <v>79</v>
      </c>
      <c r="D1327" s="3" t="s">
        <v>151</v>
      </c>
      <c r="E1327" s="1497">
        <v>3000</v>
      </c>
      <c r="F1327" s="1497"/>
      <c r="G1327" s="267" t="s">
        <v>56</v>
      </c>
      <c r="H1327" s="3"/>
      <c r="I1327" s="3"/>
    </row>
    <row r="1328" spans="1:9">
      <c r="A1328" s="270">
        <v>44789</v>
      </c>
      <c r="B1328" s="267"/>
      <c r="C1328" s="267" t="s">
        <v>79</v>
      </c>
      <c r="D1328" s="3" t="s">
        <v>151</v>
      </c>
      <c r="E1328" s="1497">
        <v>2146.4899999999998</v>
      </c>
      <c r="F1328" s="1497"/>
      <c r="G1328" s="267" t="s">
        <v>27</v>
      </c>
      <c r="H1328" s="3"/>
      <c r="I1328" s="3"/>
    </row>
    <row r="1329" spans="1:9">
      <c r="A1329" s="270">
        <v>44789</v>
      </c>
      <c r="B1329" s="267"/>
      <c r="C1329" s="267" t="s">
        <v>79</v>
      </c>
      <c r="D1329" s="3" t="s">
        <v>534</v>
      </c>
      <c r="E1329" s="1497">
        <v>3063.82</v>
      </c>
      <c r="F1329" s="1497"/>
      <c r="G1329" s="267" t="s">
        <v>27</v>
      </c>
      <c r="H1329" s="3"/>
      <c r="I1329" s="3"/>
    </row>
    <row r="1330" spans="1:9">
      <c r="A1330" s="270">
        <v>44789</v>
      </c>
      <c r="B1330" s="267"/>
      <c r="C1330" s="267" t="s">
        <v>176</v>
      </c>
      <c r="D1330" s="3" t="s">
        <v>175</v>
      </c>
      <c r="E1330" s="1497">
        <v>120000</v>
      </c>
      <c r="F1330" s="1497"/>
      <c r="G1330" s="267" t="s">
        <v>614</v>
      </c>
      <c r="H1330" s="3"/>
      <c r="I1330" s="3"/>
    </row>
    <row r="1331" spans="1:9">
      <c r="A1331" s="270">
        <v>44789</v>
      </c>
      <c r="B1331" s="267"/>
      <c r="C1331" s="267" t="s">
        <v>76</v>
      </c>
      <c r="D1331" s="3" t="s">
        <v>170</v>
      </c>
      <c r="E1331" s="1497"/>
      <c r="F1331" s="1497">
        <v>52900</v>
      </c>
      <c r="G1331" s="267" t="s">
        <v>27</v>
      </c>
      <c r="H1331" s="3"/>
      <c r="I1331" s="3"/>
    </row>
    <row r="1332" spans="1:9">
      <c r="A1332" s="270">
        <v>44789</v>
      </c>
      <c r="B1332" s="267"/>
      <c r="C1332" s="267" t="s">
        <v>156</v>
      </c>
      <c r="D1332" s="3" t="s">
        <v>156</v>
      </c>
      <c r="E1332" s="1497">
        <v>19411.98</v>
      </c>
      <c r="F1332" s="1497"/>
      <c r="G1332" s="267" t="s">
        <v>27</v>
      </c>
      <c r="H1332" s="3"/>
      <c r="I1332" s="3"/>
    </row>
    <row r="1333" spans="1:9">
      <c r="A1333" s="270">
        <v>44789</v>
      </c>
      <c r="B1333" s="267"/>
      <c r="C1333" s="267" t="s">
        <v>79</v>
      </c>
      <c r="D1333" s="3" t="s">
        <v>151</v>
      </c>
      <c r="E1333" s="1497">
        <v>2000</v>
      </c>
      <c r="F1333" s="1497"/>
      <c r="G1333" s="267" t="s">
        <v>56</v>
      </c>
      <c r="H1333" s="3"/>
      <c r="I1333" s="3"/>
    </row>
    <row r="1334" spans="1:9">
      <c r="A1334" s="270">
        <v>44789</v>
      </c>
      <c r="B1334" s="267"/>
      <c r="C1334" s="267" t="s">
        <v>205</v>
      </c>
      <c r="D1334" s="3" t="s">
        <v>38</v>
      </c>
      <c r="E1334" s="1497">
        <v>830</v>
      </c>
      <c r="F1334" s="1497"/>
      <c r="G1334" s="267" t="s">
        <v>56</v>
      </c>
      <c r="H1334" s="3"/>
      <c r="I1334" s="3"/>
    </row>
    <row r="1335" spans="1:9">
      <c r="A1335" s="270">
        <v>44790</v>
      </c>
      <c r="B1335" s="267"/>
      <c r="C1335" s="267" t="s">
        <v>205</v>
      </c>
      <c r="D1335" s="3" t="s">
        <v>38</v>
      </c>
      <c r="E1335" s="1497">
        <v>300</v>
      </c>
      <c r="F1335" s="1497"/>
      <c r="G1335" s="267" t="s">
        <v>56</v>
      </c>
      <c r="H1335" s="3"/>
      <c r="I1335" s="3"/>
    </row>
    <row r="1336" spans="1:9">
      <c r="A1336" s="270">
        <v>44790</v>
      </c>
      <c r="B1336" s="267"/>
      <c r="C1336" s="267" t="s">
        <v>205</v>
      </c>
      <c r="D1336" s="3" t="s">
        <v>38</v>
      </c>
      <c r="E1336" s="1497">
        <v>150</v>
      </c>
      <c r="F1336" s="1497"/>
      <c r="G1336" s="267" t="s">
        <v>56</v>
      </c>
      <c r="H1336" s="3"/>
      <c r="I1336" s="3"/>
    </row>
    <row r="1337" spans="1:9">
      <c r="A1337" s="270">
        <v>44790</v>
      </c>
      <c r="B1337" s="267"/>
      <c r="C1337" s="267" t="s">
        <v>79</v>
      </c>
      <c r="D1337" s="3" t="s">
        <v>151</v>
      </c>
      <c r="E1337" s="1497">
        <v>1405.29</v>
      </c>
      <c r="F1337" s="1497"/>
      <c r="G1337" s="267" t="s">
        <v>27</v>
      </c>
      <c r="H1337" s="3"/>
      <c r="I1337" s="3"/>
    </row>
    <row r="1338" spans="1:9">
      <c r="A1338" s="270">
        <v>44790</v>
      </c>
      <c r="B1338" s="267"/>
      <c r="C1338" s="267" t="s">
        <v>97</v>
      </c>
      <c r="D1338" s="3" t="s">
        <v>884</v>
      </c>
      <c r="E1338" s="1497">
        <v>9000</v>
      </c>
      <c r="F1338" s="1497"/>
      <c r="G1338" s="267" t="s">
        <v>27</v>
      </c>
      <c r="H1338" s="3"/>
      <c r="I1338" s="3"/>
    </row>
    <row r="1339" spans="1:9">
      <c r="A1339" s="270">
        <v>44790</v>
      </c>
      <c r="B1339" s="267"/>
      <c r="C1339" s="267" t="s">
        <v>94</v>
      </c>
      <c r="D1339" s="3" t="s">
        <v>926</v>
      </c>
      <c r="E1339" s="1497">
        <v>3400</v>
      </c>
      <c r="F1339" s="1497"/>
      <c r="G1339" s="267" t="s">
        <v>27</v>
      </c>
      <c r="H1339" s="3"/>
      <c r="I1339" s="3"/>
    </row>
    <row r="1340" spans="1:9">
      <c r="A1340" s="270">
        <v>44790</v>
      </c>
      <c r="B1340" s="267"/>
      <c r="C1340" s="267" t="s">
        <v>160</v>
      </c>
      <c r="D1340" s="3" t="s">
        <v>927</v>
      </c>
      <c r="E1340" s="1497"/>
      <c r="F1340" s="1497">
        <v>1420</v>
      </c>
      <c r="G1340" s="267" t="s">
        <v>56</v>
      </c>
      <c r="H1340" s="3"/>
      <c r="I1340" s="3"/>
    </row>
    <row r="1341" spans="1:9">
      <c r="A1341" s="270">
        <v>44790</v>
      </c>
      <c r="B1341" s="267"/>
      <c r="C1341" s="267" t="s">
        <v>327</v>
      </c>
      <c r="D1341" s="3" t="s">
        <v>17</v>
      </c>
      <c r="E1341" s="1497">
        <v>1300</v>
      </c>
      <c r="F1341" s="1497"/>
      <c r="G1341" s="267" t="s">
        <v>56</v>
      </c>
      <c r="H1341" s="3"/>
      <c r="I1341" s="3"/>
    </row>
    <row r="1342" spans="1:9">
      <c r="A1342" s="270">
        <v>44790</v>
      </c>
      <c r="B1342" s="267"/>
      <c r="C1342" s="267" t="s">
        <v>55</v>
      </c>
      <c r="D1342" s="3" t="s">
        <v>917</v>
      </c>
      <c r="E1342" s="1497">
        <v>500</v>
      </c>
      <c r="F1342" s="1497"/>
      <c r="G1342" s="267" t="s">
        <v>56</v>
      </c>
      <c r="H1342" s="3"/>
      <c r="I1342" s="3"/>
    </row>
    <row r="1343" spans="1:9">
      <c r="A1343" s="270">
        <v>44791</v>
      </c>
      <c r="B1343" s="267"/>
      <c r="C1343" s="267" t="s">
        <v>205</v>
      </c>
      <c r="D1343" s="3" t="s">
        <v>928</v>
      </c>
      <c r="E1343" s="1497">
        <v>6700</v>
      </c>
      <c r="F1343" s="1497"/>
      <c r="G1343" s="267" t="s">
        <v>56</v>
      </c>
      <c r="H1343" s="3" t="s">
        <v>929</v>
      </c>
      <c r="I1343" s="3"/>
    </row>
    <row r="1344" spans="1:9">
      <c r="A1344" s="270">
        <v>44791</v>
      </c>
      <c r="B1344" s="267"/>
      <c r="C1344" s="267" t="s">
        <v>88</v>
      </c>
      <c r="D1344" s="3" t="s">
        <v>598</v>
      </c>
      <c r="E1344" s="1497">
        <v>1000</v>
      </c>
      <c r="F1344" s="1497"/>
      <c r="G1344" s="267" t="s">
        <v>56</v>
      </c>
      <c r="H1344" s="3"/>
      <c r="I1344" s="3"/>
    </row>
    <row r="1345" spans="1:9">
      <c r="A1345" s="270">
        <v>44791</v>
      </c>
      <c r="B1345" s="267"/>
      <c r="C1345" s="267" t="s">
        <v>150</v>
      </c>
      <c r="D1345" s="3" t="s">
        <v>257</v>
      </c>
      <c r="E1345" s="1497">
        <v>3608.69</v>
      </c>
      <c r="F1345" s="1497"/>
      <c r="G1345" s="267" t="s">
        <v>27</v>
      </c>
      <c r="H1345" s="3"/>
      <c r="I1345" s="3"/>
    </row>
    <row r="1346" spans="1:9">
      <c r="A1346" s="270">
        <v>44792</v>
      </c>
      <c r="B1346" s="267"/>
      <c r="C1346" s="267" t="s">
        <v>92</v>
      </c>
      <c r="D1346" s="3" t="s">
        <v>930</v>
      </c>
      <c r="E1346" s="1497"/>
      <c r="F1346" s="1497">
        <v>3100</v>
      </c>
      <c r="G1346" s="267" t="s">
        <v>27</v>
      </c>
      <c r="H1346" s="3"/>
      <c r="I1346" s="3"/>
    </row>
    <row r="1347" spans="1:9">
      <c r="A1347" s="270">
        <v>44792</v>
      </c>
      <c r="B1347" s="267"/>
      <c r="C1347" s="267" t="s">
        <v>55</v>
      </c>
      <c r="D1347" s="3" t="s">
        <v>931</v>
      </c>
      <c r="E1347" s="1497">
        <v>600</v>
      </c>
      <c r="F1347" s="1497"/>
      <c r="G1347" s="267" t="s">
        <v>614</v>
      </c>
      <c r="H1347" s="3"/>
      <c r="I1347" s="3"/>
    </row>
    <row r="1348" spans="1:9">
      <c r="A1348" s="270">
        <v>44792</v>
      </c>
      <c r="B1348" s="267"/>
      <c r="C1348" s="267" t="s">
        <v>79</v>
      </c>
      <c r="D1348" s="3" t="s">
        <v>151</v>
      </c>
      <c r="E1348" s="1497">
        <v>6900</v>
      </c>
      <c r="F1348" s="1497"/>
      <c r="G1348" s="267" t="s">
        <v>614</v>
      </c>
      <c r="H1348" s="3"/>
      <c r="I1348" s="3"/>
    </row>
    <row r="1349" spans="1:9">
      <c r="A1349" s="270">
        <v>44792</v>
      </c>
      <c r="B1349" s="267"/>
      <c r="C1349" s="267" t="s">
        <v>205</v>
      </c>
      <c r="D1349" s="3" t="s">
        <v>933</v>
      </c>
      <c r="E1349" s="1497">
        <v>10270</v>
      </c>
      <c r="F1349" s="1497"/>
      <c r="G1349" s="267" t="s">
        <v>27</v>
      </c>
      <c r="H1349" s="3"/>
      <c r="I1349" s="3"/>
    </row>
    <row r="1350" spans="1:9">
      <c r="A1350" s="270">
        <v>44792</v>
      </c>
      <c r="B1350" s="267"/>
      <c r="C1350" s="267" t="s">
        <v>205</v>
      </c>
      <c r="D1350" s="3" t="s">
        <v>933</v>
      </c>
      <c r="E1350" s="1497">
        <v>15000</v>
      </c>
      <c r="F1350" s="1497"/>
      <c r="G1350" s="267" t="s">
        <v>287</v>
      </c>
      <c r="H1350" s="3" t="s">
        <v>932</v>
      </c>
      <c r="I1350" s="3"/>
    </row>
    <row r="1351" spans="1:9">
      <c r="A1351" s="270">
        <v>44792</v>
      </c>
      <c r="B1351" s="267"/>
      <c r="C1351" s="267" t="s">
        <v>79</v>
      </c>
      <c r="D1351" s="3" t="s">
        <v>166</v>
      </c>
      <c r="E1351" s="1497">
        <v>32000</v>
      </c>
      <c r="F1351" s="1497"/>
      <c r="G1351" s="267" t="s">
        <v>27</v>
      </c>
      <c r="H1351" s="3"/>
      <c r="I1351" s="3"/>
    </row>
    <row r="1352" spans="1:9">
      <c r="A1352" s="270">
        <v>44792</v>
      </c>
      <c r="B1352" s="267"/>
      <c r="C1352" s="267" t="s">
        <v>79</v>
      </c>
      <c r="D1352" s="3" t="s">
        <v>278</v>
      </c>
      <c r="E1352" s="1497">
        <v>20000</v>
      </c>
      <c r="F1352" s="1497"/>
      <c r="G1352" s="267" t="s">
        <v>27</v>
      </c>
      <c r="H1352" s="3"/>
      <c r="I1352" s="3"/>
    </row>
    <row r="1353" spans="1:9">
      <c r="A1353" s="270">
        <v>44792</v>
      </c>
      <c r="B1353" s="267"/>
      <c r="C1353" s="267" t="s">
        <v>79</v>
      </c>
      <c r="D1353" s="3" t="s">
        <v>278</v>
      </c>
      <c r="E1353" s="1497"/>
      <c r="F1353" s="1497">
        <v>20000</v>
      </c>
      <c r="G1353" s="267" t="s">
        <v>108</v>
      </c>
      <c r="H1353" s="3"/>
      <c r="I1353" s="3"/>
    </row>
    <row r="1354" spans="1:9">
      <c r="A1354" s="270">
        <v>44792</v>
      </c>
      <c r="B1354" s="267"/>
      <c r="C1354" s="267" t="s">
        <v>209</v>
      </c>
      <c r="D1354" s="3" t="s">
        <v>934</v>
      </c>
      <c r="E1354" s="1497">
        <v>12320</v>
      </c>
      <c r="F1354" s="1497"/>
      <c r="G1354" s="267" t="s">
        <v>27</v>
      </c>
      <c r="H1354" s="3"/>
      <c r="I1354" s="3"/>
    </row>
    <row r="1355" spans="1:9">
      <c r="A1355" s="270">
        <v>44792</v>
      </c>
      <c r="B1355" s="267"/>
      <c r="C1355" s="267" t="s">
        <v>77</v>
      </c>
      <c r="D1355" s="15" t="s">
        <v>935</v>
      </c>
      <c r="E1355" s="1497"/>
      <c r="F1355" s="1497">
        <v>5700</v>
      </c>
      <c r="G1355" s="267" t="s">
        <v>56</v>
      </c>
      <c r="H1355" s="3"/>
      <c r="I1355" s="3"/>
    </row>
    <row r="1356" spans="1:9">
      <c r="A1356" s="270">
        <v>44792</v>
      </c>
      <c r="B1356" s="267"/>
      <c r="C1356" s="267" t="s">
        <v>88</v>
      </c>
      <c r="D1356" s="15" t="s">
        <v>88</v>
      </c>
      <c r="E1356" s="1497">
        <v>86500</v>
      </c>
      <c r="F1356" s="1497"/>
      <c r="G1356" s="267" t="s">
        <v>614</v>
      </c>
      <c r="H1356" s="3"/>
      <c r="I1356" s="3"/>
    </row>
    <row r="1357" spans="1:9">
      <c r="A1357" s="270">
        <v>44792</v>
      </c>
      <c r="B1357" s="267"/>
      <c r="C1357" s="267" t="s">
        <v>88</v>
      </c>
      <c r="D1357" s="15" t="s">
        <v>88</v>
      </c>
      <c r="E1357" s="1497">
        <v>200</v>
      </c>
      <c r="F1357" s="1497"/>
      <c r="G1357" s="267" t="s">
        <v>676</v>
      </c>
      <c r="H1357" s="3"/>
      <c r="I1357" s="3"/>
    </row>
    <row r="1358" spans="1:9">
      <c r="A1358" s="267"/>
      <c r="B1358" s="267"/>
      <c r="C1358" s="267"/>
      <c r="D1358" s="3"/>
      <c r="E1358" s="1497"/>
      <c r="F1358" s="1497"/>
      <c r="G1358" s="267"/>
      <c r="H1358" s="128" t="s">
        <v>936</v>
      </c>
      <c r="I1358" s="3"/>
    </row>
    <row r="1359" spans="1:9">
      <c r="A1359" s="267"/>
      <c r="B1359" s="267"/>
      <c r="C1359" s="267"/>
      <c r="D1359" s="3"/>
      <c r="E1359" s="1497"/>
      <c r="F1359" s="1497"/>
      <c r="G1359" s="267"/>
      <c r="H1359" s="129" t="s">
        <v>939</v>
      </c>
      <c r="I1359" s="3"/>
    </row>
    <row r="1360" spans="1:9">
      <c r="A1360" s="267"/>
      <c r="B1360" s="267"/>
      <c r="C1360" s="267"/>
      <c r="D1360" s="3"/>
      <c r="E1360" s="1497"/>
      <c r="F1360" s="1497"/>
      <c r="G1360" s="267"/>
      <c r="H1360" s="117" t="s">
        <v>940</v>
      </c>
      <c r="I1360" s="3"/>
    </row>
    <row r="1361" spans="1:9">
      <c r="A1361" s="267"/>
      <c r="B1361" s="267"/>
      <c r="C1361" s="267"/>
      <c r="D1361" s="3"/>
      <c r="E1361" s="1497"/>
      <c r="F1361" s="1497"/>
      <c r="G1361" s="267"/>
      <c r="H1361" s="117" t="s">
        <v>938</v>
      </c>
      <c r="I1361" s="3"/>
    </row>
    <row r="1362" spans="1:9">
      <c r="H1362" s="117" t="s">
        <v>937</v>
      </c>
    </row>
    <row r="1363" spans="1:9">
      <c r="H1363" s="117" t="s">
        <v>872</v>
      </c>
    </row>
    <row r="1364" spans="1:9">
      <c r="H1364" s="118" t="s">
        <v>925</v>
      </c>
    </row>
    <row r="1365" spans="1:9">
      <c r="A1365" s="270">
        <v>44795</v>
      </c>
      <c r="B1365" s="267"/>
      <c r="C1365" s="267" t="s">
        <v>79</v>
      </c>
      <c r="D1365" s="3" t="s">
        <v>277</v>
      </c>
      <c r="E1365" s="1497">
        <v>4699.8500000000004</v>
      </c>
      <c r="F1365" s="1497"/>
      <c r="G1365" s="267" t="s">
        <v>27</v>
      </c>
      <c r="H1365" s="3"/>
      <c r="I1365" s="3"/>
    </row>
    <row r="1366" spans="1:9">
      <c r="A1366" s="270">
        <v>44795</v>
      </c>
      <c r="B1366" s="267"/>
      <c r="C1366" s="267" t="s">
        <v>55</v>
      </c>
      <c r="D1366" s="3" t="s">
        <v>70</v>
      </c>
      <c r="E1366" s="1497">
        <v>1439</v>
      </c>
      <c r="F1366" s="1497"/>
      <c r="G1366" s="267" t="s">
        <v>56</v>
      </c>
      <c r="H1366" s="3"/>
      <c r="I1366" s="3"/>
    </row>
    <row r="1367" spans="1:9">
      <c r="A1367" s="270">
        <v>44795</v>
      </c>
      <c r="B1367" s="267"/>
      <c r="C1367" s="267" t="s">
        <v>86</v>
      </c>
      <c r="D1367" s="3" t="s">
        <v>104</v>
      </c>
      <c r="E1367" s="1497">
        <v>2550</v>
      </c>
      <c r="F1367" s="1497"/>
      <c r="G1367" s="267" t="s">
        <v>56</v>
      </c>
      <c r="H1367" s="3"/>
      <c r="I1367" s="3"/>
    </row>
    <row r="1368" spans="1:9">
      <c r="A1368" s="270">
        <v>44795</v>
      </c>
      <c r="B1368" s="267"/>
      <c r="C1368" s="267" t="s">
        <v>611</v>
      </c>
      <c r="D1368" s="3" t="s">
        <v>130</v>
      </c>
      <c r="E1368" s="1497">
        <v>2000</v>
      </c>
      <c r="F1368" s="1497"/>
      <c r="G1368" s="267" t="s">
        <v>27</v>
      </c>
      <c r="H1368" s="3"/>
      <c r="I1368" s="3"/>
    </row>
    <row r="1369" spans="1:9">
      <c r="A1369" s="270">
        <v>44795</v>
      </c>
      <c r="B1369" s="267"/>
      <c r="C1369" s="267" t="s">
        <v>941</v>
      </c>
      <c r="D1369" s="3" t="s">
        <v>130</v>
      </c>
      <c r="E1369" s="1497"/>
      <c r="F1369" s="1497">
        <v>2000</v>
      </c>
      <c r="G1369" s="267" t="s">
        <v>56</v>
      </c>
      <c r="H1369" s="3"/>
      <c r="I1369" s="3"/>
    </row>
    <row r="1370" spans="1:9">
      <c r="A1370" s="270">
        <v>44795</v>
      </c>
      <c r="B1370" s="267"/>
      <c r="C1370" s="267" t="s">
        <v>327</v>
      </c>
      <c r="D1370" s="3" t="s">
        <v>942</v>
      </c>
      <c r="E1370" s="1497"/>
      <c r="F1370" s="1497">
        <v>41800</v>
      </c>
      <c r="G1370" s="267" t="s">
        <v>27</v>
      </c>
      <c r="H1370" s="3"/>
      <c r="I1370" s="3"/>
    </row>
    <row r="1371" spans="1:9">
      <c r="A1371" s="270">
        <v>44795</v>
      </c>
      <c r="B1371" s="267"/>
      <c r="C1371" s="267" t="s">
        <v>88</v>
      </c>
      <c r="D1371" s="3" t="s">
        <v>453</v>
      </c>
      <c r="E1371" s="1497">
        <v>2000</v>
      </c>
      <c r="F1371" s="1497"/>
      <c r="G1371" s="267" t="s">
        <v>56</v>
      </c>
      <c r="H1371" s="3"/>
      <c r="I1371" s="3"/>
    </row>
    <row r="1372" spans="1:9">
      <c r="A1372" s="270">
        <v>44795</v>
      </c>
      <c r="B1372" s="267"/>
      <c r="C1372" s="267" t="s">
        <v>55</v>
      </c>
      <c r="D1372" s="3" t="s">
        <v>83</v>
      </c>
      <c r="E1372" s="1497"/>
      <c r="F1372" s="1497">
        <v>3400</v>
      </c>
      <c r="G1372" s="267" t="s">
        <v>27</v>
      </c>
      <c r="H1372" s="3"/>
      <c r="I1372" s="3"/>
    </row>
    <row r="1373" spans="1:9">
      <c r="A1373" s="270">
        <v>44795</v>
      </c>
      <c r="B1373" s="267"/>
      <c r="C1373" s="267" t="s">
        <v>55</v>
      </c>
      <c r="D1373" s="3" t="s">
        <v>38</v>
      </c>
      <c r="E1373" s="1497">
        <v>500</v>
      </c>
      <c r="F1373" s="1497"/>
      <c r="G1373" s="267" t="s">
        <v>56</v>
      </c>
      <c r="H1373" s="3"/>
      <c r="I1373" s="3"/>
    </row>
    <row r="1374" spans="1:9">
      <c r="A1374" s="270">
        <v>44795</v>
      </c>
      <c r="B1374" s="267"/>
      <c r="C1374" s="267" t="s">
        <v>77</v>
      </c>
      <c r="D1374" s="3" t="s">
        <v>46</v>
      </c>
      <c r="E1374" s="1497"/>
      <c r="F1374" s="1497">
        <v>245830</v>
      </c>
      <c r="G1374" s="267" t="s">
        <v>27</v>
      </c>
      <c r="H1374" s="3"/>
      <c r="I1374" s="3"/>
    </row>
    <row r="1375" spans="1:9">
      <c r="A1375" s="270">
        <v>44796</v>
      </c>
      <c r="B1375" s="267"/>
      <c r="C1375" s="267" t="s">
        <v>92</v>
      </c>
      <c r="D1375" s="3" t="s">
        <v>943</v>
      </c>
      <c r="E1375" s="1497"/>
      <c r="F1375" s="1497">
        <v>7800</v>
      </c>
      <c r="G1375" s="267" t="s">
        <v>27</v>
      </c>
      <c r="H1375" s="3"/>
      <c r="I1375" s="3"/>
    </row>
    <row r="1376" spans="1:9">
      <c r="A1376" s="270">
        <v>44796</v>
      </c>
      <c r="B1376" s="267"/>
      <c r="C1376" s="267" t="s">
        <v>55</v>
      </c>
      <c r="D1376" s="3" t="s">
        <v>635</v>
      </c>
      <c r="E1376" s="1497">
        <v>600</v>
      </c>
      <c r="F1376" s="1497"/>
      <c r="G1376" s="267" t="s">
        <v>56</v>
      </c>
      <c r="H1376" s="3"/>
      <c r="I1376" s="3"/>
    </row>
    <row r="1377" spans="1:9">
      <c r="A1377" s="270">
        <v>44796</v>
      </c>
      <c r="B1377" s="267"/>
      <c r="C1377" s="267" t="s">
        <v>79</v>
      </c>
      <c r="D1377" s="3" t="s">
        <v>278</v>
      </c>
      <c r="E1377" s="1497">
        <v>15000</v>
      </c>
      <c r="F1377" s="1497"/>
      <c r="G1377" s="267" t="s">
        <v>27</v>
      </c>
      <c r="H1377" s="3"/>
      <c r="I1377" s="3"/>
    </row>
    <row r="1378" spans="1:9">
      <c r="A1378" s="270">
        <v>44796</v>
      </c>
      <c r="B1378" s="267"/>
      <c r="C1378" s="267" t="s">
        <v>150</v>
      </c>
      <c r="D1378" s="3" t="s">
        <v>278</v>
      </c>
      <c r="E1378" s="1497"/>
      <c r="F1378" s="1497">
        <v>15000</v>
      </c>
      <c r="G1378" s="267" t="s">
        <v>108</v>
      </c>
      <c r="H1378" s="3"/>
      <c r="I1378" s="3"/>
    </row>
    <row r="1379" spans="1:9">
      <c r="A1379" s="270">
        <v>44796</v>
      </c>
      <c r="B1379" s="267"/>
      <c r="C1379" s="267" t="s">
        <v>205</v>
      </c>
      <c r="D1379" s="3" t="s">
        <v>948</v>
      </c>
      <c r="E1379" s="1497">
        <v>15000</v>
      </c>
      <c r="F1379" s="1497"/>
      <c r="G1379" s="267" t="s">
        <v>27</v>
      </c>
      <c r="H1379" s="3"/>
      <c r="I1379" s="3"/>
    </row>
    <row r="1380" spans="1:9">
      <c r="A1380" s="270">
        <v>44796</v>
      </c>
      <c r="B1380" s="267"/>
      <c r="C1380" s="267" t="s">
        <v>205</v>
      </c>
      <c r="D1380" s="15" t="s">
        <v>947</v>
      </c>
      <c r="E1380" s="1497">
        <v>26400</v>
      </c>
      <c r="F1380" s="1497"/>
      <c r="G1380" s="267" t="s">
        <v>27</v>
      </c>
      <c r="H1380" s="3"/>
      <c r="I1380" s="3"/>
    </row>
    <row r="1381" spans="1:9">
      <c r="A1381" s="270">
        <v>44796</v>
      </c>
      <c r="B1381" s="267"/>
      <c r="C1381" s="267" t="s">
        <v>205</v>
      </c>
      <c r="D1381" s="15" t="s">
        <v>946</v>
      </c>
      <c r="E1381" s="1497">
        <v>9500</v>
      </c>
      <c r="F1381" s="1497"/>
      <c r="G1381" s="267" t="s">
        <v>27</v>
      </c>
      <c r="H1381" s="3"/>
      <c r="I1381" s="3"/>
    </row>
    <row r="1382" spans="1:9">
      <c r="A1382" s="270">
        <v>44796</v>
      </c>
      <c r="B1382" s="267"/>
      <c r="C1382" s="267" t="s">
        <v>205</v>
      </c>
      <c r="D1382" s="15" t="s">
        <v>945</v>
      </c>
      <c r="E1382" s="1497">
        <v>30000</v>
      </c>
      <c r="F1382" s="1497"/>
      <c r="G1382" s="267" t="s">
        <v>27</v>
      </c>
      <c r="H1382" s="3"/>
      <c r="I1382" s="3"/>
    </row>
    <row r="1383" spans="1:9">
      <c r="A1383" s="270">
        <v>44796</v>
      </c>
      <c r="B1383" s="267"/>
      <c r="C1383" s="267" t="s">
        <v>205</v>
      </c>
      <c r="D1383" s="15" t="s">
        <v>944</v>
      </c>
      <c r="E1383" s="1497">
        <v>46300</v>
      </c>
      <c r="F1383" s="1497"/>
      <c r="G1383" s="267" t="s">
        <v>27</v>
      </c>
      <c r="H1383" s="130">
        <v>90271.69</v>
      </c>
      <c r="I1383" s="3"/>
    </row>
    <row r="1384" spans="1:9">
      <c r="A1384" s="270">
        <v>44796</v>
      </c>
      <c r="B1384" s="267"/>
      <c r="C1384" s="267" t="s">
        <v>92</v>
      </c>
      <c r="D1384" s="3" t="s">
        <v>949</v>
      </c>
      <c r="E1384" s="1497"/>
      <c r="F1384" s="1497">
        <v>62500</v>
      </c>
      <c r="G1384" s="267" t="s">
        <v>56</v>
      </c>
      <c r="H1384" s="3"/>
      <c r="I1384" s="3"/>
    </row>
    <row r="1385" spans="1:9">
      <c r="A1385" s="270">
        <v>44796</v>
      </c>
      <c r="B1385" s="267"/>
      <c r="C1385" s="267" t="s">
        <v>55</v>
      </c>
      <c r="D1385" s="3" t="s">
        <v>950</v>
      </c>
      <c r="E1385" s="1497">
        <v>1000</v>
      </c>
      <c r="F1385" s="1497"/>
      <c r="G1385" s="267" t="s">
        <v>27</v>
      </c>
      <c r="H1385" s="3"/>
      <c r="I1385" s="3"/>
    </row>
    <row r="1386" spans="1:9">
      <c r="A1386" s="270">
        <v>44797</v>
      </c>
      <c r="B1386" s="267"/>
      <c r="C1386" s="267" t="s">
        <v>160</v>
      </c>
      <c r="D1386" s="3" t="s">
        <v>951</v>
      </c>
      <c r="E1386" s="1497"/>
      <c r="F1386" s="1497">
        <v>6430.17</v>
      </c>
      <c r="G1386" s="267" t="s">
        <v>27</v>
      </c>
      <c r="H1386" s="3"/>
      <c r="I1386" s="3"/>
    </row>
    <row r="1387" spans="1:9">
      <c r="A1387" s="270">
        <v>44797</v>
      </c>
      <c r="B1387" s="267"/>
      <c r="C1387" s="267" t="s">
        <v>97</v>
      </c>
      <c r="D1387" s="3" t="s">
        <v>450</v>
      </c>
      <c r="E1387" s="1497">
        <v>7000</v>
      </c>
      <c r="F1387" s="1497"/>
      <c r="G1387" s="267" t="s">
        <v>27</v>
      </c>
      <c r="H1387" s="3"/>
      <c r="I1387" s="3"/>
    </row>
    <row r="1388" spans="1:9">
      <c r="A1388" s="270">
        <v>44797</v>
      </c>
      <c r="B1388" s="267"/>
      <c r="C1388" s="267" t="s">
        <v>205</v>
      </c>
      <c r="D1388" s="3" t="s">
        <v>826</v>
      </c>
      <c r="E1388" s="1497">
        <v>11582</v>
      </c>
      <c r="F1388" s="1497"/>
      <c r="G1388" s="267" t="s">
        <v>27</v>
      </c>
      <c r="H1388" s="3"/>
      <c r="I1388" s="3"/>
    </row>
    <row r="1389" spans="1:9">
      <c r="A1389" s="270">
        <v>44797</v>
      </c>
      <c r="B1389" s="267"/>
      <c r="C1389" s="267" t="s">
        <v>205</v>
      </c>
      <c r="D1389" s="3" t="s">
        <v>45</v>
      </c>
      <c r="E1389" s="1497">
        <v>24000</v>
      </c>
      <c r="F1389" s="1497"/>
      <c r="G1389" s="267" t="s">
        <v>287</v>
      </c>
      <c r="H1389" s="80" t="s">
        <v>952</v>
      </c>
      <c r="I1389" s="3"/>
    </row>
    <row r="1390" spans="1:9">
      <c r="A1390" s="270">
        <v>44797</v>
      </c>
      <c r="B1390" s="267"/>
      <c r="C1390" s="267" t="s">
        <v>205</v>
      </c>
      <c r="D1390" s="3" t="s">
        <v>38</v>
      </c>
      <c r="E1390" s="1497">
        <v>250</v>
      </c>
      <c r="F1390" s="1497"/>
      <c r="G1390" s="267" t="s">
        <v>56</v>
      </c>
      <c r="H1390" s="3"/>
      <c r="I1390" s="3"/>
    </row>
    <row r="1391" spans="1:9">
      <c r="A1391" s="270">
        <v>44797</v>
      </c>
      <c r="B1391" s="267"/>
      <c r="C1391" s="267" t="s">
        <v>205</v>
      </c>
      <c r="D1391" s="3" t="s">
        <v>38</v>
      </c>
      <c r="E1391" s="1497">
        <v>600</v>
      </c>
      <c r="F1391" s="1497"/>
      <c r="G1391" s="267" t="s">
        <v>56</v>
      </c>
      <c r="H1391" s="3"/>
      <c r="I1391" s="3"/>
    </row>
    <row r="1392" spans="1:9">
      <c r="A1392" s="270">
        <v>44797</v>
      </c>
      <c r="B1392" s="267"/>
      <c r="C1392" s="267" t="s">
        <v>205</v>
      </c>
      <c r="D1392" s="15" t="s">
        <v>407</v>
      </c>
      <c r="E1392" s="1497">
        <v>466.71</v>
      </c>
      <c r="F1392" s="1497"/>
      <c r="G1392" s="267" t="s">
        <v>56</v>
      </c>
      <c r="H1392" s="3"/>
      <c r="I1392" s="3"/>
    </row>
    <row r="1393" spans="1:9">
      <c r="A1393" s="270">
        <v>44797</v>
      </c>
      <c r="B1393" s="267"/>
      <c r="C1393" s="267" t="s">
        <v>79</v>
      </c>
      <c r="D1393" s="3" t="s">
        <v>151</v>
      </c>
      <c r="E1393" s="1497"/>
      <c r="F1393" s="1497"/>
      <c r="G1393" s="267"/>
      <c r="H1393" s="3"/>
      <c r="I1393" s="3"/>
    </row>
    <row r="1394" spans="1:9">
      <c r="A1394" s="270">
        <v>44797</v>
      </c>
      <c r="B1394" s="267"/>
      <c r="C1394" s="267" t="s">
        <v>92</v>
      </c>
      <c r="D1394" s="3" t="s">
        <v>953</v>
      </c>
      <c r="E1394" s="1497"/>
      <c r="F1394" s="1497">
        <v>7020</v>
      </c>
      <c r="G1394" s="267" t="s">
        <v>27</v>
      </c>
      <c r="H1394" s="3"/>
      <c r="I1394" s="3"/>
    </row>
    <row r="1395" spans="1:9">
      <c r="A1395" s="270">
        <v>44797</v>
      </c>
      <c r="B1395" s="267"/>
      <c r="C1395" s="267" t="s">
        <v>715</v>
      </c>
      <c r="D1395" s="3" t="s">
        <v>850</v>
      </c>
      <c r="E1395" s="1497">
        <v>3517.8</v>
      </c>
      <c r="F1395" s="1497"/>
      <c r="G1395" s="267" t="s">
        <v>27</v>
      </c>
      <c r="H1395" s="3"/>
      <c r="I1395" s="3"/>
    </row>
    <row r="1396" spans="1:9">
      <c r="A1396" s="270">
        <v>44797</v>
      </c>
      <c r="B1396" s="267"/>
      <c r="C1396" s="267" t="s">
        <v>715</v>
      </c>
      <c r="D1396" s="3" t="s">
        <v>715</v>
      </c>
      <c r="E1396" s="1497">
        <v>1673.78</v>
      </c>
      <c r="F1396" s="1497"/>
      <c r="G1396" s="267" t="s">
        <v>27</v>
      </c>
      <c r="H1396" s="3"/>
      <c r="I1396" s="3"/>
    </row>
    <row r="1397" spans="1:9">
      <c r="A1397" s="270">
        <v>44797</v>
      </c>
      <c r="B1397" s="267"/>
      <c r="C1397" s="267" t="s">
        <v>55</v>
      </c>
      <c r="D1397" s="3" t="s">
        <v>954</v>
      </c>
      <c r="E1397" s="1497">
        <v>720</v>
      </c>
      <c r="F1397" s="1497"/>
      <c r="G1397" s="267" t="s">
        <v>56</v>
      </c>
      <c r="H1397" s="80" t="s">
        <v>955</v>
      </c>
      <c r="I1397" s="3"/>
    </row>
    <row r="1398" spans="1:9">
      <c r="A1398" s="270">
        <v>44797</v>
      </c>
      <c r="B1398" s="267"/>
      <c r="C1398" s="267" t="s">
        <v>55</v>
      </c>
      <c r="D1398" s="3" t="s">
        <v>208</v>
      </c>
      <c r="E1398" s="1497">
        <v>1000</v>
      </c>
      <c r="F1398" s="1497"/>
      <c r="G1398" s="267" t="s">
        <v>56</v>
      </c>
      <c r="H1398" s="3"/>
      <c r="I1398" s="3"/>
    </row>
    <row r="1399" spans="1:9">
      <c r="A1399" s="270">
        <v>44798</v>
      </c>
      <c r="B1399" s="267"/>
      <c r="C1399" s="267" t="s">
        <v>92</v>
      </c>
      <c r="D1399" s="3" t="s">
        <v>956</v>
      </c>
      <c r="E1399" s="1497"/>
      <c r="F1399" s="1497">
        <v>21000</v>
      </c>
      <c r="G1399" s="267" t="s">
        <v>56</v>
      </c>
      <c r="H1399" s="3"/>
      <c r="I1399" s="3"/>
    </row>
    <row r="1400" spans="1:9">
      <c r="A1400" s="270">
        <v>44798</v>
      </c>
      <c r="B1400" s="267"/>
      <c r="C1400" s="267" t="s">
        <v>76</v>
      </c>
      <c r="D1400" s="3" t="s">
        <v>889</v>
      </c>
      <c r="E1400" s="1497"/>
      <c r="F1400" s="1497">
        <v>1800</v>
      </c>
      <c r="G1400" s="267" t="s">
        <v>56</v>
      </c>
      <c r="H1400" s="3"/>
      <c r="I1400" s="3"/>
    </row>
    <row r="1401" spans="1:9" ht="30">
      <c r="A1401" s="270">
        <v>44798</v>
      </c>
      <c r="B1401" s="267"/>
      <c r="C1401" s="267" t="s">
        <v>77</v>
      </c>
      <c r="D1401" s="3" t="s">
        <v>957</v>
      </c>
      <c r="E1401" s="1497"/>
      <c r="F1401" s="1497">
        <v>358765</v>
      </c>
      <c r="G1401" s="267" t="s">
        <v>72</v>
      </c>
      <c r="H1401" s="131" t="s">
        <v>958</v>
      </c>
      <c r="I1401" s="3"/>
    </row>
    <row r="1402" spans="1:9">
      <c r="A1402" s="270">
        <v>44799</v>
      </c>
      <c r="B1402" s="267"/>
      <c r="C1402" s="267" t="s">
        <v>156</v>
      </c>
      <c r="D1402" s="3" t="s">
        <v>156</v>
      </c>
      <c r="E1402" s="1497"/>
      <c r="F1402" s="1497">
        <v>19398.23</v>
      </c>
      <c r="G1402" s="267" t="s">
        <v>27</v>
      </c>
      <c r="H1402" s="3"/>
      <c r="I1402" s="3"/>
    </row>
    <row r="1403" spans="1:9">
      <c r="A1403" s="270">
        <v>44799</v>
      </c>
      <c r="B1403" s="267"/>
      <c r="C1403" s="267" t="s">
        <v>537</v>
      </c>
      <c r="D1403" s="3" t="s">
        <v>144</v>
      </c>
      <c r="E1403" s="1497">
        <v>2000</v>
      </c>
      <c r="F1403" s="1497"/>
      <c r="G1403" s="267" t="s">
        <v>27</v>
      </c>
      <c r="H1403" s="3"/>
      <c r="I1403" s="3"/>
    </row>
    <row r="1404" spans="1:9">
      <c r="A1404" s="270">
        <v>44799</v>
      </c>
      <c r="B1404" s="267"/>
      <c r="C1404" s="267" t="s">
        <v>730</v>
      </c>
      <c r="D1404" s="3" t="s">
        <v>959</v>
      </c>
      <c r="E1404" s="1497">
        <v>7000</v>
      </c>
      <c r="F1404" s="1497"/>
      <c r="G1404" s="267" t="s">
        <v>56</v>
      </c>
      <c r="H1404" s="3"/>
      <c r="I1404" s="3"/>
    </row>
    <row r="1405" spans="1:9">
      <c r="A1405" s="270">
        <v>44799</v>
      </c>
      <c r="B1405" s="267"/>
      <c r="C1405" s="267" t="s">
        <v>730</v>
      </c>
      <c r="D1405" s="3" t="s">
        <v>959</v>
      </c>
      <c r="E1405" s="1497"/>
      <c r="F1405" s="1497">
        <v>10000</v>
      </c>
      <c r="G1405" s="267" t="s">
        <v>206</v>
      </c>
      <c r="H1405" s="3" t="s">
        <v>960</v>
      </c>
      <c r="I1405" s="3"/>
    </row>
    <row r="1406" spans="1:9">
      <c r="A1406" s="270">
        <v>44799</v>
      </c>
      <c r="B1406" s="267"/>
      <c r="C1406" s="267" t="s">
        <v>88</v>
      </c>
      <c r="D1406" s="3" t="s">
        <v>144</v>
      </c>
      <c r="E1406" s="1497">
        <v>2000</v>
      </c>
      <c r="F1406" s="1497"/>
      <c r="G1406" s="267" t="s">
        <v>27</v>
      </c>
      <c r="H1406" s="3"/>
      <c r="I1406" s="3"/>
    </row>
    <row r="1407" spans="1:9">
      <c r="A1407" s="270">
        <v>44799</v>
      </c>
      <c r="B1407" s="267"/>
      <c r="C1407" s="267" t="s">
        <v>88</v>
      </c>
      <c r="D1407" s="3" t="s">
        <v>144</v>
      </c>
      <c r="E1407" s="1497">
        <v>20000</v>
      </c>
      <c r="F1407" s="1497"/>
      <c r="G1407" s="267" t="s">
        <v>27</v>
      </c>
      <c r="H1407" s="3"/>
      <c r="I1407" s="3"/>
    </row>
    <row r="1408" spans="1:9">
      <c r="A1408" s="270">
        <v>44799</v>
      </c>
      <c r="B1408" s="267"/>
      <c r="C1408" s="267" t="s">
        <v>88</v>
      </c>
      <c r="D1408" s="3" t="s">
        <v>144</v>
      </c>
      <c r="E1408" s="1497">
        <v>10500</v>
      </c>
      <c r="F1408" s="1497"/>
      <c r="G1408" s="267" t="s">
        <v>56</v>
      </c>
      <c r="H1408" s="3"/>
      <c r="I1408" s="3"/>
    </row>
    <row r="1409" spans="1:9">
      <c r="A1409" s="270">
        <v>44799</v>
      </c>
      <c r="B1409" s="267"/>
      <c r="C1409" s="267" t="s">
        <v>88</v>
      </c>
      <c r="D1409" s="3" t="s">
        <v>208</v>
      </c>
      <c r="E1409" s="1497">
        <v>15500</v>
      </c>
      <c r="F1409" s="1497"/>
      <c r="G1409" s="267" t="s">
        <v>56</v>
      </c>
      <c r="H1409" s="3"/>
      <c r="I1409" s="3"/>
    </row>
    <row r="1410" spans="1:9">
      <c r="A1410" s="270">
        <v>44799</v>
      </c>
      <c r="B1410" s="267"/>
      <c r="C1410" s="267" t="s">
        <v>88</v>
      </c>
      <c r="D1410" s="3" t="s">
        <v>824</v>
      </c>
      <c r="E1410" s="1497">
        <v>15000</v>
      </c>
      <c r="F1410" s="1497"/>
      <c r="G1410" s="267" t="s">
        <v>56</v>
      </c>
      <c r="H1410" s="3"/>
      <c r="I1410" s="3"/>
    </row>
    <row r="1411" spans="1:9">
      <c r="A1411" s="270">
        <v>44799</v>
      </c>
      <c r="B1411" s="267"/>
      <c r="C1411" s="267" t="s">
        <v>88</v>
      </c>
      <c r="D1411" s="3" t="s">
        <v>219</v>
      </c>
      <c r="E1411" s="1497">
        <v>23700</v>
      </c>
      <c r="F1411" s="1497"/>
      <c r="G1411" s="267" t="s">
        <v>56</v>
      </c>
      <c r="H1411" s="3"/>
      <c r="I1411" s="3"/>
    </row>
    <row r="1412" spans="1:9">
      <c r="A1412" s="270">
        <v>44799</v>
      </c>
      <c r="B1412" s="267"/>
      <c r="C1412" s="267" t="s">
        <v>79</v>
      </c>
      <c r="D1412" s="3" t="s">
        <v>966</v>
      </c>
      <c r="E1412" s="1497">
        <v>12000</v>
      </c>
      <c r="F1412" s="1497"/>
      <c r="G1412" s="267" t="s">
        <v>27</v>
      </c>
      <c r="H1412" s="3"/>
      <c r="I1412" s="3"/>
    </row>
    <row r="1413" spans="1:9">
      <c r="A1413" s="270"/>
      <c r="B1413" s="267"/>
      <c r="C1413" s="267"/>
      <c r="D1413" s="3"/>
      <c r="E1413" s="1497"/>
      <c r="F1413" s="1497"/>
      <c r="G1413" s="267"/>
      <c r="H1413" s="128" t="s">
        <v>965</v>
      </c>
      <c r="I1413" s="3"/>
    </row>
    <row r="1414" spans="1:9">
      <c r="A1414" s="270"/>
      <c r="B1414" s="267"/>
      <c r="C1414" s="267"/>
      <c r="D1414" s="3"/>
      <c r="E1414" s="1497"/>
      <c r="F1414" s="1497"/>
      <c r="G1414" s="267"/>
      <c r="H1414" s="133" t="s">
        <v>964</v>
      </c>
      <c r="I1414" s="3"/>
    </row>
    <row r="1415" spans="1:9">
      <c r="H1415" s="132" t="s">
        <v>963</v>
      </c>
    </row>
    <row r="1416" spans="1:9">
      <c r="H1416" s="117" t="s">
        <v>961</v>
      </c>
    </row>
    <row r="1417" spans="1:9">
      <c r="H1417" s="117" t="s">
        <v>937</v>
      </c>
    </row>
    <row r="1418" spans="1:9">
      <c r="H1418" s="117" t="s">
        <v>872</v>
      </c>
    </row>
    <row r="1419" spans="1:9">
      <c r="H1419" s="118" t="s">
        <v>962</v>
      </c>
    </row>
    <row r="1420" spans="1:9">
      <c r="A1420" s="270">
        <v>44802</v>
      </c>
      <c r="B1420" s="267"/>
      <c r="C1420" s="267" t="s">
        <v>79</v>
      </c>
      <c r="D1420" s="3" t="s">
        <v>151</v>
      </c>
      <c r="E1420" s="1497">
        <v>4961.0200000000004</v>
      </c>
      <c r="F1420" s="1497"/>
      <c r="G1420" s="267" t="s">
        <v>27</v>
      </c>
      <c r="H1420" s="3"/>
      <c r="I1420" s="3"/>
    </row>
    <row r="1421" spans="1:9">
      <c r="A1421" s="270">
        <v>44802</v>
      </c>
      <c r="B1421" s="267"/>
      <c r="C1421" s="267" t="s">
        <v>97</v>
      </c>
      <c r="D1421" s="3" t="s">
        <v>967</v>
      </c>
      <c r="E1421" s="1497">
        <v>6000</v>
      </c>
      <c r="F1421" s="1497"/>
      <c r="G1421" s="267" t="s">
        <v>27</v>
      </c>
      <c r="H1421" s="3"/>
      <c r="I1421" s="3"/>
    </row>
    <row r="1422" spans="1:9">
      <c r="A1422" s="270">
        <v>44802</v>
      </c>
      <c r="B1422" s="267"/>
      <c r="C1422" s="267" t="s">
        <v>79</v>
      </c>
      <c r="D1422" s="3" t="s">
        <v>151</v>
      </c>
      <c r="E1422" s="1497">
        <v>5000</v>
      </c>
      <c r="F1422" s="1497"/>
      <c r="G1422" s="267" t="s">
        <v>56</v>
      </c>
      <c r="H1422" s="3"/>
      <c r="I1422" s="3"/>
    </row>
    <row r="1423" spans="1:9">
      <c r="A1423" s="270">
        <v>44802</v>
      </c>
      <c r="B1423" s="267"/>
      <c r="C1423" s="267" t="s">
        <v>79</v>
      </c>
      <c r="D1423" s="3" t="s">
        <v>151</v>
      </c>
      <c r="E1423" s="1497">
        <v>2500</v>
      </c>
      <c r="F1423" s="1497"/>
      <c r="G1423" s="267" t="s">
        <v>56</v>
      </c>
      <c r="H1423" s="3"/>
      <c r="I1423" s="3"/>
    </row>
    <row r="1424" spans="1:9">
      <c r="A1424" s="270">
        <v>44803</v>
      </c>
      <c r="B1424" s="267"/>
      <c r="C1424" s="267" t="s">
        <v>86</v>
      </c>
      <c r="D1424" s="3" t="s">
        <v>86</v>
      </c>
      <c r="E1424" s="1497">
        <v>2500</v>
      </c>
      <c r="F1424" s="1497"/>
      <c r="G1424" s="267" t="s">
        <v>56</v>
      </c>
      <c r="H1424" s="3"/>
      <c r="I1424" s="3"/>
    </row>
    <row r="1425" spans="1:9">
      <c r="A1425" s="270">
        <v>44803</v>
      </c>
      <c r="B1425" s="267"/>
      <c r="C1425" s="267" t="s">
        <v>55</v>
      </c>
      <c r="D1425" s="3" t="s">
        <v>60</v>
      </c>
      <c r="E1425" s="1497">
        <v>470</v>
      </c>
      <c r="F1425" s="1497"/>
      <c r="G1425" s="267" t="s">
        <v>56</v>
      </c>
      <c r="H1425" s="3"/>
      <c r="I1425" s="3"/>
    </row>
    <row r="1426" spans="1:9">
      <c r="A1426" s="270">
        <v>44803</v>
      </c>
      <c r="B1426" s="267"/>
      <c r="C1426" s="267" t="s">
        <v>150</v>
      </c>
      <c r="D1426" s="3" t="s">
        <v>968</v>
      </c>
      <c r="E1426" s="1497">
        <v>3159.75</v>
      </c>
      <c r="F1426" s="1497"/>
      <c r="G1426" s="267" t="s">
        <v>27</v>
      </c>
      <c r="H1426" s="3"/>
      <c r="I1426" s="3"/>
    </row>
    <row r="1427" spans="1:9">
      <c r="A1427" s="270">
        <v>44803</v>
      </c>
      <c r="B1427" s="267"/>
      <c r="C1427" s="267" t="s">
        <v>94</v>
      </c>
      <c r="D1427" s="3" t="s">
        <v>395</v>
      </c>
      <c r="E1427" s="1497">
        <v>11063.68</v>
      </c>
      <c r="F1427" s="1497"/>
      <c r="G1427" s="267" t="s">
        <v>27</v>
      </c>
      <c r="H1427" s="3"/>
      <c r="I1427" s="3"/>
    </row>
    <row r="1428" spans="1:9">
      <c r="A1428" s="270">
        <v>44803</v>
      </c>
      <c r="B1428" s="267"/>
      <c r="C1428" s="267" t="s">
        <v>92</v>
      </c>
      <c r="D1428" s="3" t="s">
        <v>969</v>
      </c>
      <c r="E1428" s="1497"/>
      <c r="F1428" s="1497">
        <v>3200</v>
      </c>
      <c r="G1428" s="267" t="s">
        <v>27</v>
      </c>
      <c r="H1428" s="3"/>
      <c r="I1428" s="3"/>
    </row>
    <row r="1429" spans="1:9">
      <c r="A1429" s="270">
        <v>44803</v>
      </c>
      <c r="B1429" s="267"/>
      <c r="C1429" s="267" t="s">
        <v>205</v>
      </c>
      <c r="D1429" s="3" t="s">
        <v>970</v>
      </c>
      <c r="E1429" s="1497">
        <v>23563.24</v>
      </c>
      <c r="F1429" s="1497"/>
      <c r="G1429" s="267" t="s">
        <v>27</v>
      </c>
      <c r="H1429" s="3"/>
      <c r="I1429" s="3"/>
    </row>
    <row r="1430" spans="1:9">
      <c r="A1430" s="270">
        <v>44803</v>
      </c>
      <c r="B1430" s="267"/>
      <c r="C1430" s="267" t="s">
        <v>160</v>
      </c>
      <c r="D1430" s="3" t="s">
        <v>971</v>
      </c>
      <c r="E1430" s="1497"/>
      <c r="F1430" s="1497">
        <v>3150</v>
      </c>
      <c r="G1430" s="267" t="s">
        <v>56</v>
      </c>
      <c r="H1430" s="3"/>
      <c r="I1430" s="3"/>
    </row>
    <row r="1431" spans="1:9">
      <c r="A1431" s="270">
        <v>44804</v>
      </c>
      <c r="B1431" s="267"/>
      <c r="C1431" s="267" t="s">
        <v>160</v>
      </c>
      <c r="D1431" s="3" t="s">
        <v>972</v>
      </c>
      <c r="E1431" s="1497"/>
      <c r="F1431" s="1497">
        <v>11221.68</v>
      </c>
      <c r="G1431" s="267" t="s">
        <v>27</v>
      </c>
      <c r="H1431" s="3"/>
      <c r="I1431" s="3"/>
    </row>
    <row r="1432" spans="1:9">
      <c r="A1432" s="270">
        <v>44804</v>
      </c>
      <c r="B1432" s="267"/>
      <c r="C1432" s="267" t="s">
        <v>97</v>
      </c>
      <c r="D1432" s="15" t="s">
        <v>450</v>
      </c>
      <c r="E1432" s="1497">
        <v>9000</v>
      </c>
      <c r="F1432" s="1497"/>
      <c r="G1432" s="267" t="s">
        <v>27</v>
      </c>
      <c r="H1432" s="3"/>
      <c r="I1432" s="3"/>
    </row>
    <row r="1433" spans="1:9">
      <c r="A1433" s="270">
        <v>44804</v>
      </c>
      <c r="B1433" s="267"/>
      <c r="C1433" s="267" t="s">
        <v>92</v>
      </c>
      <c r="D1433" s="3" t="s">
        <v>973</v>
      </c>
      <c r="E1433" s="1497"/>
      <c r="F1433" s="1497">
        <v>68800</v>
      </c>
      <c r="G1433" s="267" t="s">
        <v>56</v>
      </c>
      <c r="H1433" s="3"/>
      <c r="I1433" s="3"/>
    </row>
    <row r="1434" spans="1:9">
      <c r="A1434" s="270">
        <v>44804</v>
      </c>
      <c r="B1434" s="267"/>
      <c r="C1434" s="267" t="s">
        <v>68</v>
      </c>
      <c r="D1434" s="3" t="s">
        <v>453</v>
      </c>
      <c r="E1434" s="1497">
        <v>1900</v>
      </c>
      <c r="F1434" s="1497"/>
      <c r="G1434" s="267" t="s">
        <v>56</v>
      </c>
      <c r="H1434" s="3"/>
      <c r="I1434" s="3"/>
    </row>
    <row r="1435" spans="1:9">
      <c r="A1435" s="270">
        <v>44804</v>
      </c>
      <c r="B1435" s="267"/>
      <c r="C1435" s="267" t="s">
        <v>55</v>
      </c>
      <c r="D1435" s="3" t="s">
        <v>974</v>
      </c>
      <c r="E1435" s="1497">
        <v>6000</v>
      </c>
      <c r="F1435" s="1497"/>
      <c r="G1435" s="267" t="s">
        <v>56</v>
      </c>
      <c r="H1435" s="3"/>
      <c r="I1435" s="3"/>
    </row>
    <row r="1436" spans="1:9">
      <c r="A1436" s="270">
        <v>44804</v>
      </c>
      <c r="B1436" s="267"/>
      <c r="C1436" s="267" t="s">
        <v>55</v>
      </c>
      <c r="D1436" s="3" t="s">
        <v>975</v>
      </c>
      <c r="E1436" s="1497">
        <v>851.5</v>
      </c>
      <c r="F1436" s="1497"/>
      <c r="G1436" s="267" t="s">
        <v>56</v>
      </c>
      <c r="H1436" s="3"/>
      <c r="I1436" s="3"/>
    </row>
    <row r="1437" spans="1:9">
      <c r="A1437" s="267"/>
      <c r="B1437" s="267"/>
      <c r="C1437" s="267"/>
      <c r="D1437" s="3"/>
      <c r="E1437" s="1497"/>
      <c r="F1437" s="1497"/>
      <c r="G1437" s="267"/>
      <c r="H1437" s="3"/>
      <c r="I1437" s="3"/>
    </row>
    <row r="1438" spans="1:9">
      <c r="A1438" s="267"/>
      <c r="B1438" s="267"/>
      <c r="C1438" s="267"/>
      <c r="D1438" s="3"/>
      <c r="E1438" s="1497"/>
      <c r="F1438" s="1497"/>
      <c r="G1438" s="267"/>
      <c r="H1438" s="3"/>
      <c r="I1438" s="3"/>
    </row>
    <row r="1439" spans="1:9">
      <c r="A1439" s="270">
        <v>44805</v>
      </c>
      <c r="B1439" s="267"/>
      <c r="C1439" s="267" t="s">
        <v>55</v>
      </c>
      <c r="D1439" s="3" t="s">
        <v>38</v>
      </c>
      <c r="E1439" s="1497">
        <v>2768.13</v>
      </c>
      <c r="F1439" s="1497"/>
      <c r="G1439" s="267" t="s">
        <v>56</v>
      </c>
      <c r="H1439" s="3"/>
      <c r="I1439" s="3"/>
    </row>
    <row r="1440" spans="1:9">
      <c r="A1440" s="270">
        <v>44805</v>
      </c>
      <c r="B1440" s="267"/>
      <c r="C1440" s="267" t="s">
        <v>55</v>
      </c>
      <c r="D1440" s="3" t="s">
        <v>976</v>
      </c>
      <c r="E1440" s="1497">
        <v>600</v>
      </c>
      <c r="F1440" s="1497"/>
      <c r="G1440" s="267" t="s">
        <v>56</v>
      </c>
      <c r="H1440" s="3"/>
      <c r="I1440" s="3"/>
    </row>
    <row r="1441" spans="1:9">
      <c r="A1441" s="270">
        <v>44805</v>
      </c>
      <c r="B1441" s="267"/>
      <c r="C1441" s="267" t="s">
        <v>160</v>
      </c>
      <c r="D1441" s="3" t="s">
        <v>977</v>
      </c>
      <c r="E1441" s="1497">
        <v>39000</v>
      </c>
      <c r="F1441" s="1497"/>
      <c r="G1441" s="267" t="s">
        <v>56</v>
      </c>
      <c r="H1441" s="3"/>
      <c r="I1441" s="3"/>
    </row>
    <row r="1442" spans="1:9" ht="30">
      <c r="A1442" s="270">
        <v>44805</v>
      </c>
      <c r="B1442" s="267"/>
      <c r="C1442" s="267" t="s">
        <v>92</v>
      </c>
      <c r="D1442" s="3" t="s">
        <v>978</v>
      </c>
      <c r="E1442" s="1497"/>
      <c r="F1442" s="1497">
        <v>156500</v>
      </c>
      <c r="G1442" s="267" t="s">
        <v>72</v>
      </c>
      <c r="H1442" s="69" t="s">
        <v>979</v>
      </c>
      <c r="I1442" s="3"/>
    </row>
    <row r="1443" spans="1:9">
      <c r="A1443" s="270">
        <v>44805</v>
      </c>
      <c r="B1443" s="267"/>
      <c r="C1443" s="267" t="s">
        <v>92</v>
      </c>
      <c r="D1443" s="15" t="s">
        <v>980</v>
      </c>
      <c r="E1443" s="1497"/>
      <c r="F1443" s="1497">
        <v>792900</v>
      </c>
      <c r="G1443" s="267" t="s">
        <v>56</v>
      </c>
      <c r="H1443" s="3"/>
      <c r="I1443" s="3"/>
    </row>
    <row r="1444" spans="1:9">
      <c r="A1444" s="270">
        <v>44806</v>
      </c>
      <c r="B1444" s="267"/>
      <c r="C1444" s="267" t="s">
        <v>79</v>
      </c>
      <c r="D1444" s="3" t="s">
        <v>640</v>
      </c>
      <c r="E1444" s="1497">
        <v>11880</v>
      </c>
      <c r="F1444" s="1497"/>
      <c r="G1444" s="267" t="s">
        <v>27</v>
      </c>
      <c r="H1444" s="3"/>
      <c r="I1444" s="3"/>
    </row>
    <row r="1445" spans="1:9">
      <c r="A1445" s="270">
        <v>44806</v>
      </c>
      <c r="B1445" s="267"/>
      <c r="C1445" s="267" t="s">
        <v>88</v>
      </c>
      <c r="D1445" s="3" t="s">
        <v>259</v>
      </c>
      <c r="E1445" s="1497">
        <v>10000</v>
      </c>
      <c r="F1445" s="1497"/>
      <c r="G1445" s="267" t="s">
        <v>27</v>
      </c>
      <c r="H1445" s="3"/>
      <c r="I1445" s="3"/>
    </row>
    <row r="1446" spans="1:9">
      <c r="A1446" s="270">
        <v>44806</v>
      </c>
      <c r="B1446" s="267"/>
      <c r="C1446" s="267" t="s">
        <v>88</v>
      </c>
      <c r="D1446" s="3" t="s">
        <v>259</v>
      </c>
      <c r="E1446" s="1497">
        <v>1000</v>
      </c>
      <c r="F1446" s="1497"/>
      <c r="G1446" s="267" t="s">
        <v>27</v>
      </c>
      <c r="H1446" s="3"/>
      <c r="I1446" s="3"/>
    </row>
    <row r="1447" spans="1:9">
      <c r="A1447" s="270">
        <v>44806</v>
      </c>
      <c r="B1447" s="267"/>
      <c r="C1447" s="267" t="s">
        <v>88</v>
      </c>
      <c r="D1447" s="15" t="s">
        <v>208</v>
      </c>
      <c r="E1447" s="1497">
        <v>13200</v>
      </c>
      <c r="F1447" s="1497"/>
      <c r="G1447" s="267" t="s">
        <v>56</v>
      </c>
      <c r="H1447" s="3"/>
      <c r="I1447" s="3"/>
    </row>
    <row r="1448" spans="1:9">
      <c r="A1448" s="270">
        <v>44806</v>
      </c>
      <c r="B1448" s="267"/>
      <c r="C1448" s="267" t="s">
        <v>88</v>
      </c>
      <c r="D1448" s="15" t="s">
        <v>208</v>
      </c>
      <c r="E1448" s="1497">
        <v>15000</v>
      </c>
      <c r="F1448" s="1497"/>
      <c r="G1448" s="267" t="s">
        <v>56</v>
      </c>
      <c r="H1448" s="3"/>
      <c r="I1448" s="3"/>
    </row>
    <row r="1449" spans="1:9">
      <c r="A1449" s="270">
        <v>44806</v>
      </c>
      <c r="B1449" s="267"/>
      <c r="C1449" s="267" t="s">
        <v>178</v>
      </c>
      <c r="D1449" s="15" t="s">
        <v>514</v>
      </c>
      <c r="E1449" s="1497">
        <v>1000</v>
      </c>
      <c r="F1449" s="1497"/>
      <c r="G1449" s="267" t="s">
        <v>56</v>
      </c>
      <c r="H1449" s="3"/>
      <c r="I1449" s="3"/>
    </row>
    <row r="1450" spans="1:9">
      <c r="A1450" s="270">
        <v>44806</v>
      </c>
      <c r="B1450" s="267"/>
      <c r="C1450" s="267" t="s">
        <v>88</v>
      </c>
      <c r="D1450" s="3" t="s">
        <v>144</v>
      </c>
      <c r="E1450" s="1497">
        <v>15000</v>
      </c>
      <c r="F1450" s="1497"/>
      <c r="G1450" s="267" t="s">
        <v>56</v>
      </c>
      <c r="H1450" s="3"/>
      <c r="I1450" s="3"/>
    </row>
    <row r="1451" spans="1:9">
      <c r="A1451" s="267"/>
      <c r="B1451" s="267"/>
      <c r="C1451" s="267"/>
      <c r="D1451" s="3"/>
      <c r="E1451" s="1497"/>
      <c r="F1451" s="1497"/>
      <c r="G1451" s="267"/>
      <c r="H1451" s="3"/>
      <c r="I1451" s="3"/>
    </row>
    <row r="1452" spans="1:9">
      <c r="A1452" s="267"/>
      <c r="B1452" s="267"/>
      <c r="C1452" s="267"/>
      <c r="D1452" s="3"/>
      <c r="E1452" s="1497"/>
      <c r="F1452" s="1497"/>
      <c r="G1452" s="267"/>
      <c r="H1452" s="128" t="s">
        <v>983</v>
      </c>
      <c r="I1452" s="3"/>
    </row>
    <row r="1453" spans="1:9">
      <c r="H1453" s="133" t="s">
        <v>964</v>
      </c>
    </row>
    <row r="1454" spans="1:9">
      <c r="H1454" s="132" t="s">
        <v>963</v>
      </c>
    </row>
    <row r="1455" spans="1:9">
      <c r="H1455" s="117" t="s">
        <v>984</v>
      </c>
    </row>
    <row r="1456" spans="1:9">
      <c r="H1456" s="117" t="s">
        <v>982</v>
      </c>
    </row>
    <row r="1457" spans="1:9">
      <c r="H1457" s="117" t="s">
        <v>872</v>
      </c>
    </row>
    <row r="1458" spans="1:9">
      <c r="H1458" s="118" t="s">
        <v>981</v>
      </c>
    </row>
    <row r="1459" spans="1:9">
      <c r="A1459" s="270">
        <v>44809</v>
      </c>
      <c r="B1459" s="267"/>
      <c r="C1459" s="267" t="s">
        <v>79</v>
      </c>
      <c r="D1459" s="3" t="s">
        <v>985</v>
      </c>
      <c r="E1459" s="1497">
        <v>4000</v>
      </c>
      <c r="F1459" s="1497"/>
      <c r="G1459" s="267" t="s">
        <v>56</v>
      </c>
      <c r="H1459" s="3"/>
      <c r="I1459" s="3"/>
    </row>
    <row r="1460" spans="1:9">
      <c r="A1460" s="270">
        <v>44809</v>
      </c>
      <c r="B1460" s="267"/>
      <c r="C1460" s="267" t="s">
        <v>79</v>
      </c>
      <c r="D1460" s="3" t="s">
        <v>70</v>
      </c>
      <c r="E1460" s="1497">
        <v>5121.9799999999996</v>
      </c>
      <c r="F1460" s="1497"/>
      <c r="G1460" s="267" t="s">
        <v>27</v>
      </c>
      <c r="H1460" s="3"/>
      <c r="I1460" s="3"/>
    </row>
    <row r="1461" spans="1:9">
      <c r="A1461" s="270">
        <v>44809</v>
      </c>
      <c r="B1461" s="267"/>
      <c r="C1461" s="267" t="s">
        <v>86</v>
      </c>
      <c r="D1461" s="3" t="s">
        <v>107</v>
      </c>
      <c r="E1461" s="1497">
        <v>3000</v>
      </c>
      <c r="F1461" s="1497"/>
      <c r="G1461" s="267" t="s">
        <v>27</v>
      </c>
      <c r="H1461" s="3"/>
      <c r="I1461" s="3"/>
    </row>
    <row r="1462" spans="1:9" ht="60">
      <c r="A1462" s="270">
        <v>44809</v>
      </c>
      <c r="B1462" s="267"/>
      <c r="C1462" s="267" t="s">
        <v>29</v>
      </c>
      <c r="D1462" s="3" t="s">
        <v>190</v>
      </c>
      <c r="E1462" s="1497">
        <v>81250</v>
      </c>
      <c r="F1462" s="1497"/>
      <c r="G1462" s="267" t="s">
        <v>72</v>
      </c>
      <c r="H1462" s="69" t="s">
        <v>986</v>
      </c>
      <c r="I1462" s="3"/>
    </row>
    <row r="1463" spans="1:9">
      <c r="A1463" s="270">
        <v>44809</v>
      </c>
      <c r="B1463" s="267"/>
      <c r="C1463" s="267" t="s">
        <v>29</v>
      </c>
      <c r="D1463" s="3" t="s">
        <v>988</v>
      </c>
      <c r="E1463" s="1497">
        <v>6740</v>
      </c>
      <c r="F1463" s="1497"/>
      <c r="G1463" s="267" t="s">
        <v>56</v>
      </c>
      <c r="H1463" s="3" t="s">
        <v>987</v>
      </c>
      <c r="I1463" s="3"/>
    </row>
    <row r="1464" spans="1:9">
      <c r="A1464" s="270">
        <v>44809</v>
      </c>
      <c r="B1464" s="267"/>
      <c r="C1464" s="267" t="s">
        <v>55</v>
      </c>
      <c r="D1464" s="3" t="s">
        <v>989</v>
      </c>
      <c r="E1464" s="1497">
        <v>800</v>
      </c>
      <c r="F1464" s="1497"/>
      <c r="G1464" s="267" t="s">
        <v>56</v>
      </c>
      <c r="H1464" s="3"/>
      <c r="I1464" s="3"/>
    </row>
    <row r="1465" spans="1:9">
      <c r="A1465" s="270">
        <v>44809</v>
      </c>
      <c r="B1465" s="267"/>
      <c r="C1465" s="267" t="s">
        <v>29</v>
      </c>
      <c r="D1465" s="3" t="s">
        <v>48</v>
      </c>
      <c r="E1465" s="1497">
        <v>76500</v>
      </c>
      <c r="F1465" s="1497"/>
      <c r="G1465" s="267" t="s">
        <v>72</v>
      </c>
      <c r="H1465" s="3"/>
      <c r="I1465" s="3"/>
    </row>
    <row r="1466" spans="1:9">
      <c r="A1466" s="270">
        <v>44809</v>
      </c>
      <c r="B1466" s="267"/>
      <c r="C1466" s="267" t="s">
        <v>29</v>
      </c>
      <c r="D1466" s="3" t="s">
        <v>71</v>
      </c>
      <c r="E1466" s="1497">
        <v>80000</v>
      </c>
      <c r="F1466" s="1497"/>
      <c r="G1466" s="267" t="s">
        <v>72</v>
      </c>
      <c r="H1466" s="134"/>
      <c r="I1466" s="3"/>
    </row>
    <row r="1467" spans="1:9">
      <c r="A1467" s="270">
        <v>44809</v>
      </c>
      <c r="B1467" s="267"/>
      <c r="C1467" s="267" t="s">
        <v>29</v>
      </c>
      <c r="D1467" s="3" t="s">
        <v>53</v>
      </c>
      <c r="E1467" s="1497">
        <v>1730.01</v>
      </c>
      <c r="F1467" s="1497"/>
      <c r="G1467" s="267" t="s">
        <v>27</v>
      </c>
      <c r="H1467" s="3" t="s">
        <v>987</v>
      </c>
      <c r="I1467" s="3"/>
    </row>
    <row r="1468" spans="1:9">
      <c r="A1468" s="270">
        <v>44809</v>
      </c>
      <c r="B1468" s="267"/>
      <c r="C1468" s="267" t="s">
        <v>29</v>
      </c>
      <c r="D1468" s="3" t="s">
        <v>42</v>
      </c>
      <c r="E1468" s="1497">
        <v>2700</v>
      </c>
      <c r="F1468" s="1497"/>
      <c r="G1468" s="267" t="s">
        <v>27</v>
      </c>
      <c r="H1468" s="3"/>
      <c r="I1468" s="3"/>
    </row>
    <row r="1469" spans="1:9">
      <c r="A1469" s="270">
        <v>44809</v>
      </c>
      <c r="B1469" s="267"/>
      <c r="C1469" s="267" t="s">
        <v>29</v>
      </c>
      <c r="D1469" s="3" t="s">
        <v>990</v>
      </c>
      <c r="E1469" s="1497">
        <v>6829.58</v>
      </c>
      <c r="F1469" s="1497"/>
      <c r="G1469" s="267" t="s">
        <v>56</v>
      </c>
      <c r="H1469" s="3"/>
      <c r="I1469" s="3"/>
    </row>
    <row r="1470" spans="1:9">
      <c r="A1470" s="270">
        <v>44809</v>
      </c>
      <c r="B1470" s="267"/>
      <c r="C1470" s="267" t="s">
        <v>209</v>
      </c>
      <c r="D1470" s="3" t="s">
        <v>1002</v>
      </c>
      <c r="E1470" s="1497">
        <v>6670</v>
      </c>
      <c r="F1470" s="1497"/>
      <c r="G1470" s="267" t="s">
        <v>27</v>
      </c>
      <c r="H1470" s="3"/>
      <c r="I1470" s="3"/>
    </row>
    <row r="1471" spans="1:9">
      <c r="A1471" s="270">
        <v>44810</v>
      </c>
      <c r="B1471" s="267"/>
      <c r="C1471" s="267" t="s">
        <v>55</v>
      </c>
      <c r="D1471" s="3" t="s">
        <v>991</v>
      </c>
      <c r="E1471" s="1497">
        <v>3500</v>
      </c>
      <c r="F1471" s="1497"/>
      <c r="G1471" s="267" t="s">
        <v>27</v>
      </c>
      <c r="H1471" s="3"/>
      <c r="I1471" s="3"/>
    </row>
    <row r="1472" spans="1:9">
      <c r="A1472" s="270">
        <v>44810</v>
      </c>
      <c r="B1472" s="267"/>
      <c r="C1472" s="267" t="s">
        <v>77</v>
      </c>
      <c r="D1472" s="3" t="s">
        <v>992</v>
      </c>
      <c r="E1472" s="1497"/>
      <c r="F1472" s="1497">
        <v>166800</v>
      </c>
      <c r="G1472" s="267" t="s">
        <v>287</v>
      </c>
      <c r="H1472" s="3" t="s">
        <v>993</v>
      </c>
      <c r="I1472" s="3"/>
    </row>
    <row r="1473" spans="1:9">
      <c r="A1473" s="270">
        <v>44810</v>
      </c>
      <c r="B1473" s="267"/>
      <c r="C1473" s="267" t="s">
        <v>29</v>
      </c>
      <c r="D1473" s="3" t="s">
        <v>246</v>
      </c>
      <c r="E1473" s="1497">
        <v>6497.85</v>
      </c>
      <c r="F1473" s="1497"/>
      <c r="G1473" s="267" t="s">
        <v>287</v>
      </c>
      <c r="H1473" s="3" t="s">
        <v>994</v>
      </c>
      <c r="I1473" s="3"/>
    </row>
    <row r="1474" spans="1:9">
      <c r="A1474" s="270">
        <v>44810</v>
      </c>
      <c r="B1474" s="267"/>
      <c r="C1474" s="267" t="s">
        <v>29</v>
      </c>
      <c r="D1474" s="3" t="s">
        <v>246</v>
      </c>
      <c r="E1474" s="1497">
        <v>10188.34</v>
      </c>
      <c r="F1474" s="1497"/>
      <c r="G1474" s="267" t="s">
        <v>27</v>
      </c>
      <c r="H1474" s="3"/>
      <c r="I1474" s="3"/>
    </row>
    <row r="1475" spans="1:9">
      <c r="A1475" s="270">
        <v>44810</v>
      </c>
      <c r="B1475" s="267"/>
      <c r="C1475" s="267" t="s">
        <v>29</v>
      </c>
      <c r="D1475" s="15" t="s">
        <v>12</v>
      </c>
      <c r="E1475" s="1497">
        <v>111200</v>
      </c>
      <c r="F1475" s="1497"/>
      <c r="G1475" s="267" t="s">
        <v>996</v>
      </c>
      <c r="H1475" s="3" t="s">
        <v>997</v>
      </c>
      <c r="I1475" s="3"/>
    </row>
    <row r="1476" spans="1:9">
      <c r="A1476" s="270">
        <v>44810</v>
      </c>
      <c r="B1476" s="267"/>
      <c r="C1476" s="267" t="s">
        <v>29</v>
      </c>
      <c r="D1476" s="15" t="s">
        <v>12</v>
      </c>
      <c r="E1476" s="1497">
        <v>8800</v>
      </c>
      <c r="F1476" s="1497"/>
      <c r="G1476" s="267" t="s">
        <v>995</v>
      </c>
      <c r="H1476" s="135">
        <v>44860</v>
      </c>
      <c r="I1476" s="3"/>
    </row>
    <row r="1477" spans="1:9">
      <c r="A1477" s="270">
        <v>44810</v>
      </c>
      <c r="B1477" s="267"/>
      <c r="C1477" s="267" t="s">
        <v>94</v>
      </c>
      <c r="D1477" s="3" t="s">
        <v>999</v>
      </c>
      <c r="E1477" s="1497">
        <v>5724.55</v>
      </c>
      <c r="F1477" s="1497"/>
      <c r="G1477" s="267" t="s">
        <v>27</v>
      </c>
      <c r="H1477" s="3"/>
      <c r="I1477" s="3"/>
    </row>
    <row r="1478" spans="1:9">
      <c r="A1478" s="270">
        <v>44810</v>
      </c>
      <c r="B1478" s="267"/>
      <c r="C1478" s="267" t="s">
        <v>79</v>
      </c>
      <c r="D1478" s="3" t="s">
        <v>998</v>
      </c>
      <c r="E1478" s="1497">
        <v>25000</v>
      </c>
      <c r="F1478" s="1497"/>
      <c r="G1478" s="267" t="s">
        <v>614</v>
      </c>
      <c r="H1478" s="3"/>
      <c r="I1478" s="3"/>
    </row>
    <row r="1479" spans="1:9">
      <c r="A1479" s="270">
        <v>44810</v>
      </c>
      <c r="B1479" s="267"/>
      <c r="C1479" s="267" t="s">
        <v>28</v>
      </c>
      <c r="D1479" s="3" t="s">
        <v>1000</v>
      </c>
      <c r="E1479" s="1497">
        <v>19000</v>
      </c>
      <c r="F1479" s="1497"/>
      <c r="G1479" s="267" t="s">
        <v>56</v>
      </c>
      <c r="H1479" s="3"/>
      <c r="I1479" s="3"/>
    </row>
    <row r="1480" spans="1:9">
      <c r="A1480" s="270">
        <v>44810</v>
      </c>
      <c r="B1480" s="267"/>
      <c r="C1480" s="267" t="s">
        <v>79</v>
      </c>
      <c r="D1480" s="3" t="s">
        <v>1001</v>
      </c>
      <c r="E1480" s="1497">
        <v>2500</v>
      </c>
      <c r="F1480" s="1497"/>
      <c r="G1480" s="267" t="s">
        <v>56</v>
      </c>
      <c r="H1480" s="3"/>
      <c r="I1480" s="3"/>
    </row>
    <row r="1481" spans="1:9">
      <c r="A1481" s="270">
        <v>44811</v>
      </c>
      <c r="B1481" s="267"/>
      <c r="C1481" s="267" t="s">
        <v>29</v>
      </c>
      <c r="D1481" s="3" t="s">
        <v>80</v>
      </c>
      <c r="E1481" s="1497">
        <v>6000</v>
      </c>
      <c r="F1481" s="1497"/>
      <c r="G1481" s="267" t="s">
        <v>56</v>
      </c>
      <c r="H1481" s="3" t="s">
        <v>1003</v>
      </c>
      <c r="I1481" s="3"/>
    </row>
    <row r="1482" spans="1:9">
      <c r="A1482" s="270">
        <v>44811</v>
      </c>
      <c r="B1482" s="267"/>
      <c r="C1482" s="267" t="s">
        <v>90</v>
      </c>
      <c r="D1482" s="3" t="s">
        <v>112</v>
      </c>
      <c r="E1482" s="1497">
        <v>1950</v>
      </c>
      <c r="F1482" s="1497"/>
      <c r="G1482" s="267" t="s">
        <v>56</v>
      </c>
      <c r="H1482" s="3" t="s">
        <v>1004</v>
      </c>
      <c r="I1482" s="3"/>
    </row>
    <row r="1483" spans="1:9" ht="45">
      <c r="A1483" s="116">
        <v>44811</v>
      </c>
      <c r="B1483" s="51"/>
      <c r="C1483" s="51" t="s">
        <v>29</v>
      </c>
      <c r="D1483" s="52" t="s">
        <v>71</v>
      </c>
      <c r="E1483" s="51"/>
      <c r="F1483" s="51">
        <v>334300</v>
      </c>
      <c r="G1483" s="51" t="s">
        <v>72</v>
      </c>
      <c r="H1483" s="48" t="s">
        <v>1005</v>
      </c>
      <c r="I1483" s="52"/>
    </row>
    <row r="1484" spans="1:9">
      <c r="A1484" s="270">
        <v>44811</v>
      </c>
      <c r="B1484" s="267"/>
      <c r="C1484" s="267" t="s">
        <v>185</v>
      </c>
      <c r="D1484" s="3" t="s">
        <v>1006</v>
      </c>
      <c r="E1484" s="51">
        <v>39322.61</v>
      </c>
      <c r="F1484" s="1497"/>
      <c r="G1484" s="267" t="s">
        <v>27</v>
      </c>
      <c r="H1484" s="3"/>
      <c r="I1484" s="3"/>
    </row>
    <row r="1485" spans="1:9">
      <c r="A1485" s="124">
        <v>44812</v>
      </c>
      <c r="B1485" s="266"/>
      <c r="C1485" s="266" t="s">
        <v>86</v>
      </c>
      <c r="D1485" s="79" t="s">
        <v>104</v>
      </c>
      <c r="E1485" s="1496">
        <v>2500</v>
      </c>
      <c r="F1485" s="1496"/>
      <c r="G1485" s="266" t="s">
        <v>56</v>
      </c>
      <c r="H1485" s="3"/>
      <c r="I1485" s="3"/>
    </row>
    <row r="1486" spans="1:9">
      <c r="A1486" s="270">
        <v>44812</v>
      </c>
      <c r="B1486" s="267"/>
      <c r="C1486" s="267" t="s">
        <v>62</v>
      </c>
      <c r="D1486" s="3" t="s">
        <v>63</v>
      </c>
      <c r="E1486" s="1497">
        <v>5000</v>
      </c>
      <c r="F1486" s="1497"/>
      <c r="G1486" s="267" t="s">
        <v>56</v>
      </c>
      <c r="H1486" s="3"/>
      <c r="I1486" s="3"/>
    </row>
    <row r="1487" spans="1:9">
      <c r="A1487" s="270">
        <v>44812</v>
      </c>
      <c r="B1487" s="267"/>
      <c r="C1487" s="267" t="s">
        <v>92</v>
      </c>
      <c r="D1487" s="3" t="s">
        <v>1007</v>
      </c>
      <c r="E1487" s="1497"/>
      <c r="F1487" s="1497">
        <v>23700</v>
      </c>
      <c r="G1487" s="267" t="s">
        <v>27</v>
      </c>
      <c r="H1487" s="3"/>
      <c r="I1487" s="3"/>
    </row>
    <row r="1488" spans="1:9">
      <c r="A1488" s="270">
        <v>44813</v>
      </c>
      <c r="B1488" s="267"/>
      <c r="C1488" s="267" t="s">
        <v>79</v>
      </c>
      <c r="D1488" s="3" t="s">
        <v>1009</v>
      </c>
      <c r="E1488" s="1497">
        <v>11218.5</v>
      </c>
      <c r="F1488" s="1497"/>
      <c r="G1488" s="267" t="s">
        <v>27</v>
      </c>
      <c r="H1488" s="3"/>
      <c r="I1488" s="3"/>
    </row>
    <row r="1489" spans="1:9">
      <c r="A1489" s="270">
        <v>44813</v>
      </c>
      <c r="B1489" s="267"/>
      <c r="C1489" s="267" t="s">
        <v>871</v>
      </c>
      <c r="D1489" s="3" t="s">
        <v>1010</v>
      </c>
      <c r="E1489" s="1497">
        <v>300</v>
      </c>
      <c r="F1489" s="1497"/>
      <c r="G1489" s="267" t="s">
        <v>781</v>
      </c>
      <c r="H1489" s="3"/>
      <c r="I1489" s="3"/>
    </row>
    <row r="1490" spans="1:9">
      <c r="A1490" s="270">
        <v>44813</v>
      </c>
      <c r="B1490" s="267"/>
      <c r="C1490" s="267" t="s">
        <v>871</v>
      </c>
      <c r="D1490" s="3" t="s">
        <v>1010</v>
      </c>
      <c r="E1490" s="1497"/>
      <c r="F1490" s="1497">
        <v>81300</v>
      </c>
      <c r="G1490" s="267" t="s">
        <v>56</v>
      </c>
      <c r="H1490" s="3"/>
      <c r="I1490" s="3"/>
    </row>
    <row r="1491" spans="1:9">
      <c r="A1491" s="270">
        <v>44813</v>
      </c>
      <c r="B1491" s="267"/>
      <c r="C1491" s="267" t="s">
        <v>150</v>
      </c>
      <c r="D1491" s="3" t="s">
        <v>252</v>
      </c>
      <c r="E1491" s="1497">
        <v>11000</v>
      </c>
      <c r="F1491" s="1497"/>
      <c r="G1491" s="267" t="s">
        <v>56</v>
      </c>
      <c r="H1491" s="3"/>
      <c r="I1491" s="3"/>
    </row>
    <row r="1492" spans="1:9">
      <c r="A1492" s="270">
        <v>44813</v>
      </c>
      <c r="B1492" s="267"/>
      <c r="C1492" s="267" t="s">
        <v>150</v>
      </c>
      <c r="D1492" s="15" t="s">
        <v>252</v>
      </c>
      <c r="E1492" s="1497"/>
      <c r="F1492" s="1497">
        <v>11000</v>
      </c>
      <c r="G1492" s="267" t="s">
        <v>27</v>
      </c>
      <c r="H1492" s="3"/>
      <c r="I1492" s="3"/>
    </row>
    <row r="1493" spans="1:9">
      <c r="A1493" s="270">
        <v>44813</v>
      </c>
      <c r="B1493" s="267"/>
      <c r="C1493" s="267" t="s">
        <v>150</v>
      </c>
      <c r="D1493" s="15" t="s">
        <v>319</v>
      </c>
      <c r="E1493" s="1497">
        <v>70300</v>
      </c>
      <c r="F1493" s="1497"/>
      <c r="G1493" s="267" t="s">
        <v>56</v>
      </c>
      <c r="H1493" s="3"/>
      <c r="I1493" s="3"/>
    </row>
    <row r="1494" spans="1:9">
      <c r="A1494" s="270">
        <v>44813</v>
      </c>
      <c r="B1494" s="267"/>
      <c r="C1494" s="267" t="s">
        <v>150</v>
      </c>
      <c r="D1494" s="15" t="s">
        <v>319</v>
      </c>
      <c r="E1494" s="1497"/>
      <c r="F1494" s="1497">
        <v>70300</v>
      </c>
      <c r="G1494" s="267" t="s">
        <v>27</v>
      </c>
      <c r="H1494" s="3"/>
      <c r="I1494" s="3"/>
    </row>
    <row r="1495" spans="1:9">
      <c r="A1495" s="270">
        <v>44813</v>
      </c>
      <c r="B1495" s="267"/>
      <c r="C1495" s="267" t="s">
        <v>79</v>
      </c>
      <c r="D1495" s="3" t="s">
        <v>151</v>
      </c>
      <c r="E1495" s="1497">
        <v>70062.720000000001</v>
      </c>
      <c r="F1495" s="1497"/>
      <c r="G1495" s="267" t="s">
        <v>27</v>
      </c>
      <c r="H1495" s="3"/>
      <c r="I1495" s="3"/>
    </row>
    <row r="1496" spans="1:9">
      <c r="A1496" s="270">
        <v>44813</v>
      </c>
      <c r="B1496" s="267"/>
      <c r="C1496" s="267" t="s">
        <v>29</v>
      </c>
      <c r="D1496" s="3" t="s">
        <v>246</v>
      </c>
      <c r="E1496" s="1497">
        <v>2309.75</v>
      </c>
      <c r="F1496" s="1497"/>
      <c r="G1496" s="267" t="s">
        <v>27</v>
      </c>
      <c r="H1496" s="3"/>
      <c r="I1496" s="3"/>
    </row>
    <row r="1497" spans="1:9">
      <c r="A1497" s="270">
        <v>44813</v>
      </c>
      <c r="B1497" s="267"/>
      <c r="C1497" s="267" t="s">
        <v>150</v>
      </c>
      <c r="D1497" s="3" t="s">
        <v>640</v>
      </c>
      <c r="E1497" s="1497">
        <v>13140</v>
      </c>
      <c r="F1497" s="1497"/>
      <c r="G1497" s="267" t="s">
        <v>27</v>
      </c>
      <c r="H1497" s="3"/>
      <c r="I1497" s="3"/>
    </row>
    <row r="1498" spans="1:9">
      <c r="A1498" s="270">
        <v>44813</v>
      </c>
      <c r="B1498" s="267"/>
      <c r="C1498" s="267" t="s">
        <v>88</v>
      </c>
      <c r="D1498" s="3" t="s">
        <v>144</v>
      </c>
      <c r="E1498" s="1497">
        <v>16000</v>
      </c>
      <c r="F1498" s="1497"/>
      <c r="G1498" s="267" t="s">
        <v>27</v>
      </c>
      <c r="H1498" s="3"/>
      <c r="I1498" s="3"/>
    </row>
    <row r="1499" spans="1:9">
      <c r="A1499" s="270">
        <v>44813</v>
      </c>
      <c r="B1499" s="267"/>
      <c r="C1499" s="267" t="s">
        <v>88</v>
      </c>
      <c r="D1499" s="3" t="s">
        <v>144</v>
      </c>
      <c r="E1499" s="1497">
        <v>10000</v>
      </c>
      <c r="F1499" s="1497"/>
      <c r="G1499" s="267" t="s">
        <v>56</v>
      </c>
      <c r="H1499" s="3"/>
      <c r="I1499" s="3"/>
    </row>
    <row r="1500" spans="1:9">
      <c r="A1500" s="270">
        <v>44813</v>
      </c>
      <c r="B1500" s="267"/>
      <c r="C1500" s="267" t="s">
        <v>88</v>
      </c>
      <c r="D1500" s="15" t="s">
        <v>219</v>
      </c>
      <c r="E1500" s="1497">
        <v>19710</v>
      </c>
      <c r="F1500" s="1497"/>
      <c r="G1500" s="267" t="s">
        <v>56</v>
      </c>
      <c r="H1500" s="3"/>
      <c r="I1500" s="3"/>
    </row>
    <row r="1501" spans="1:9">
      <c r="A1501" s="270">
        <v>44813</v>
      </c>
      <c r="B1501" s="267"/>
      <c r="C1501" s="267" t="s">
        <v>88</v>
      </c>
      <c r="D1501" s="15" t="s">
        <v>824</v>
      </c>
      <c r="E1501" s="1497">
        <v>15000</v>
      </c>
      <c r="F1501" s="1497"/>
      <c r="G1501" s="267" t="s">
        <v>56</v>
      </c>
      <c r="H1501" s="3"/>
      <c r="I1501" s="3"/>
    </row>
    <row r="1502" spans="1:9">
      <c r="A1502" s="270">
        <v>44813</v>
      </c>
      <c r="B1502" s="267"/>
      <c r="C1502" s="267" t="s">
        <v>88</v>
      </c>
      <c r="D1502" s="15" t="s">
        <v>208</v>
      </c>
      <c r="E1502" s="1497">
        <v>13550</v>
      </c>
      <c r="F1502" s="1497"/>
      <c r="G1502" s="267" t="s">
        <v>56</v>
      </c>
      <c r="H1502" s="3"/>
      <c r="I1502" s="3"/>
    </row>
    <row r="1503" spans="1:9">
      <c r="A1503" s="270">
        <v>44813</v>
      </c>
      <c r="B1503" s="267"/>
      <c r="C1503" s="267" t="s">
        <v>1019</v>
      </c>
      <c r="D1503" s="3" t="s">
        <v>1011</v>
      </c>
      <c r="E1503" s="1497">
        <v>22500</v>
      </c>
      <c r="F1503" s="1497"/>
      <c r="G1503" s="267" t="s">
        <v>614</v>
      </c>
      <c r="H1503" s="71">
        <v>40000</v>
      </c>
      <c r="I1503" s="3"/>
    </row>
    <row r="1504" spans="1:9">
      <c r="A1504" s="270">
        <v>44813</v>
      </c>
      <c r="B1504" s="267"/>
      <c r="C1504" s="267" t="s">
        <v>79</v>
      </c>
      <c r="D1504" s="3" t="s">
        <v>151</v>
      </c>
      <c r="E1504" s="1497">
        <v>5300</v>
      </c>
      <c r="F1504" s="1497"/>
      <c r="G1504" s="267" t="s">
        <v>614</v>
      </c>
      <c r="H1504" s="3"/>
      <c r="I1504" s="3"/>
    </row>
    <row r="1505" spans="1:9">
      <c r="A1505" s="270">
        <v>44813</v>
      </c>
      <c r="B1505" s="267"/>
      <c r="C1505" s="267" t="s">
        <v>79</v>
      </c>
      <c r="D1505" s="3" t="s">
        <v>151</v>
      </c>
      <c r="E1505" s="1497">
        <v>2200</v>
      </c>
      <c r="F1505" s="1497"/>
      <c r="G1505" s="267" t="s">
        <v>614</v>
      </c>
      <c r="H1505" s="3"/>
      <c r="I1505" s="3"/>
    </row>
    <row r="1506" spans="1:9">
      <c r="A1506" s="270">
        <v>44813</v>
      </c>
      <c r="B1506" s="267"/>
      <c r="C1506" s="267" t="s">
        <v>79</v>
      </c>
      <c r="D1506" s="3" t="s">
        <v>151</v>
      </c>
      <c r="E1506" s="1497">
        <v>6000</v>
      </c>
      <c r="F1506" s="1497"/>
      <c r="G1506" s="267" t="s">
        <v>614</v>
      </c>
      <c r="H1506" s="3"/>
      <c r="I1506" s="3"/>
    </row>
    <row r="1507" spans="1:9">
      <c r="A1507" s="270">
        <v>44813</v>
      </c>
      <c r="B1507" s="267"/>
      <c r="C1507" s="267" t="s">
        <v>86</v>
      </c>
      <c r="D1507" s="3" t="s">
        <v>195</v>
      </c>
      <c r="E1507" s="1497">
        <v>3000</v>
      </c>
      <c r="F1507" s="1497"/>
      <c r="G1507" s="267" t="s">
        <v>614</v>
      </c>
      <c r="H1507" s="3"/>
      <c r="I1507" s="3"/>
    </row>
    <row r="1508" spans="1:9">
      <c r="A1508" s="270">
        <v>44813</v>
      </c>
      <c r="B1508" s="267"/>
      <c r="C1508" s="267" t="s">
        <v>79</v>
      </c>
      <c r="D1508" s="3" t="s">
        <v>1012</v>
      </c>
      <c r="E1508" s="1497">
        <v>8000</v>
      </c>
      <c r="F1508" s="1497"/>
      <c r="G1508" s="267" t="s">
        <v>27</v>
      </c>
      <c r="H1508" s="3"/>
      <c r="I1508" s="3"/>
    </row>
    <row r="1509" spans="1:9">
      <c r="H1509" s="122" t="s">
        <v>1017</v>
      </c>
    </row>
    <row r="1510" spans="1:9">
      <c r="H1510" s="133" t="s">
        <v>1014</v>
      </c>
    </row>
    <row r="1511" spans="1:9">
      <c r="H1511" s="132" t="s">
        <v>1013</v>
      </c>
    </row>
    <row r="1512" spans="1:9">
      <c r="H1512" s="117" t="s">
        <v>1015</v>
      </c>
    </row>
    <row r="1513" spans="1:9">
      <c r="H1513" s="117" t="s">
        <v>841</v>
      </c>
    </row>
    <row r="1514" spans="1:9">
      <c r="H1514" s="117" t="s">
        <v>1016</v>
      </c>
    </row>
    <row r="1515" spans="1:9">
      <c r="H1515" s="118" t="s">
        <v>1018</v>
      </c>
    </row>
    <row r="1516" spans="1:9">
      <c r="A1516" s="270">
        <v>44816</v>
      </c>
      <c r="B1516" s="267"/>
      <c r="C1516" s="267" t="s">
        <v>55</v>
      </c>
      <c r="D1516" s="3" t="s">
        <v>63</v>
      </c>
      <c r="E1516" s="1497"/>
      <c r="F1516" s="1497">
        <v>1214.3800000000001</v>
      </c>
      <c r="G1516" s="267" t="s">
        <v>56</v>
      </c>
      <c r="H1516" s="3"/>
      <c r="I1516" s="3"/>
    </row>
    <row r="1517" spans="1:9">
      <c r="A1517" s="270">
        <v>44816</v>
      </c>
      <c r="B1517" s="267"/>
      <c r="C1517" s="267" t="s">
        <v>28</v>
      </c>
      <c r="D1517" s="3" t="s">
        <v>1021</v>
      </c>
      <c r="E1517" s="1497">
        <v>804.8</v>
      </c>
      <c r="F1517" s="1497"/>
      <c r="G1517" s="267" t="s">
        <v>27</v>
      </c>
      <c r="H1517" s="3"/>
      <c r="I1517" s="3"/>
    </row>
    <row r="1518" spans="1:9">
      <c r="A1518" s="270">
        <v>44816</v>
      </c>
      <c r="B1518" s="267"/>
      <c r="C1518" s="267" t="s">
        <v>28</v>
      </c>
      <c r="D1518" s="3" t="s">
        <v>1022</v>
      </c>
      <c r="E1518" s="1497">
        <v>847.5</v>
      </c>
      <c r="F1518" s="1497"/>
      <c r="G1518" s="267" t="s">
        <v>27</v>
      </c>
      <c r="H1518" s="3"/>
      <c r="I1518" s="3"/>
    </row>
    <row r="1519" spans="1:9">
      <c r="A1519" s="270">
        <v>44816</v>
      </c>
      <c r="B1519" s="267"/>
      <c r="C1519" s="267" t="s">
        <v>55</v>
      </c>
      <c r="D1519" s="3" t="s">
        <v>1023</v>
      </c>
      <c r="E1519" s="1497">
        <v>1500</v>
      </c>
      <c r="F1519" s="1497"/>
      <c r="G1519" s="267" t="s">
        <v>56</v>
      </c>
      <c r="H1519" s="3"/>
      <c r="I1519" s="3"/>
    </row>
    <row r="1520" spans="1:9">
      <c r="A1520" s="270">
        <v>44817</v>
      </c>
      <c r="B1520" s="267"/>
      <c r="C1520" s="267" t="s">
        <v>79</v>
      </c>
      <c r="D1520" s="3" t="s">
        <v>1024</v>
      </c>
      <c r="E1520" s="1497">
        <v>10740</v>
      </c>
      <c r="F1520" s="1497"/>
      <c r="G1520" s="267" t="s">
        <v>56</v>
      </c>
      <c r="H1520" s="3"/>
      <c r="I1520" s="3"/>
    </row>
    <row r="1521" spans="1:9">
      <c r="A1521" s="270">
        <v>44817</v>
      </c>
      <c r="B1521" s="267"/>
      <c r="C1521" s="267" t="s">
        <v>55</v>
      </c>
      <c r="D1521" s="3" t="s">
        <v>1025</v>
      </c>
      <c r="E1521" s="1497">
        <v>250</v>
      </c>
      <c r="F1521" s="1497"/>
      <c r="G1521" s="267" t="s">
        <v>56</v>
      </c>
      <c r="H1521" s="3"/>
      <c r="I1521" s="3"/>
    </row>
    <row r="1522" spans="1:9">
      <c r="A1522" s="270">
        <v>44817</v>
      </c>
      <c r="B1522" s="267"/>
      <c r="C1522" s="267" t="s">
        <v>55</v>
      </c>
      <c r="D1522" s="3" t="s">
        <v>1026</v>
      </c>
      <c r="E1522" s="1497">
        <v>600</v>
      </c>
      <c r="F1522" s="1497"/>
      <c r="G1522" s="267" t="s">
        <v>56</v>
      </c>
      <c r="H1522" s="3"/>
      <c r="I1522" s="3"/>
    </row>
    <row r="1523" spans="1:9">
      <c r="A1523" s="13">
        <v>44817</v>
      </c>
      <c r="B1523" s="12"/>
      <c r="C1523" s="12" t="s">
        <v>55</v>
      </c>
      <c r="D1523" s="89" t="s">
        <v>1027</v>
      </c>
      <c r="E1523" s="12">
        <v>410</v>
      </c>
      <c r="F1523" s="12"/>
      <c r="G1523" s="12" t="s">
        <v>56</v>
      </c>
      <c r="H1523" s="3"/>
      <c r="I1523" s="3"/>
    </row>
    <row r="1524" spans="1:9">
      <c r="A1524" s="270">
        <v>44817</v>
      </c>
      <c r="B1524" s="267"/>
      <c r="C1524" s="267" t="s">
        <v>79</v>
      </c>
      <c r="D1524" s="15" t="s">
        <v>78</v>
      </c>
      <c r="E1524" s="1497">
        <v>2000</v>
      </c>
      <c r="F1524" s="1497"/>
      <c r="G1524" s="267" t="s">
        <v>56</v>
      </c>
      <c r="H1524" s="3"/>
      <c r="I1524" s="3"/>
    </row>
    <row r="1525" spans="1:9">
      <c r="A1525" s="270">
        <v>44818</v>
      </c>
      <c r="B1525" s="267"/>
      <c r="C1525" s="267" t="s">
        <v>97</v>
      </c>
      <c r="D1525" s="3" t="s">
        <v>967</v>
      </c>
      <c r="E1525" s="1497">
        <v>5000</v>
      </c>
      <c r="F1525" s="1497"/>
      <c r="G1525" s="267" t="s">
        <v>27</v>
      </c>
      <c r="H1525" s="3"/>
      <c r="I1525" s="3"/>
    </row>
    <row r="1526" spans="1:9">
      <c r="A1526" s="270">
        <v>44818</v>
      </c>
      <c r="B1526" s="267"/>
      <c r="C1526" s="267" t="s">
        <v>92</v>
      </c>
      <c r="D1526" s="3" t="s">
        <v>1028</v>
      </c>
      <c r="E1526" s="1497"/>
      <c r="F1526" s="1497">
        <v>94600</v>
      </c>
      <c r="G1526" s="267" t="s">
        <v>72</v>
      </c>
      <c r="H1526" s="3"/>
      <c r="I1526" s="3"/>
    </row>
    <row r="1527" spans="1:9">
      <c r="A1527" s="270">
        <v>44818</v>
      </c>
      <c r="B1527" s="267"/>
      <c r="C1527" s="267" t="s">
        <v>55</v>
      </c>
      <c r="D1527" s="3" t="s">
        <v>112</v>
      </c>
      <c r="E1527" s="1497">
        <v>1900</v>
      </c>
      <c r="F1527" s="1497"/>
      <c r="G1527" s="267" t="s">
        <v>56</v>
      </c>
      <c r="H1527" s="3"/>
      <c r="I1527" s="3"/>
    </row>
    <row r="1528" spans="1:9">
      <c r="A1528" s="270">
        <v>44818</v>
      </c>
      <c r="B1528" s="267"/>
      <c r="C1528" s="267" t="s">
        <v>29</v>
      </c>
      <c r="D1528" s="3" t="s">
        <v>47</v>
      </c>
      <c r="E1528" s="1497">
        <v>20000</v>
      </c>
      <c r="F1528" s="1497"/>
      <c r="G1528" s="267" t="s">
        <v>676</v>
      </c>
      <c r="H1528" s="3"/>
      <c r="I1528" s="3"/>
    </row>
    <row r="1529" spans="1:9">
      <c r="A1529" s="270">
        <v>44818</v>
      </c>
      <c r="B1529" s="267"/>
      <c r="C1529" s="267" t="s">
        <v>29</v>
      </c>
      <c r="D1529" s="3" t="s">
        <v>47</v>
      </c>
      <c r="E1529" s="1497">
        <v>11600</v>
      </c>
      <c r="F1529" s="1497"/>
      <c r="G1529" s="267" t="s">
        <v>614</v>
      </c>
      <c r="H1529" s="3"/>
      <c r="I1529" s="3"/>
    </row>
    <row r="1530" spans="1:9">
      <c r="A1530" s="270">
        <v>44818</v>
      </c>
      <c r="B1530" s="267"/>
      <c r="C1530" s="267" t="s">
        <v>55</v>
      </c>
      <c r="D1530" s="15" t="s">
        <v>1029</v>
      </c>
      <c r="E1530" s="1497">
        <v>3500</v>
      </c>
      <c r="F1530" s="1497"/>
      <c r="G1530" s="267" t="s">
        <v>56</v>
      </c>
      <c r="H1530" s="3"/>
      <c r="I1530" s="3"/>
    </row>
    <row r="1531" spans="1:9">
      <c r="A1531" s="270">
        <v>44818</v>
      </c>
      <c r="B1531" s="267"/>
      <c r="C1531" s="267" t="s">
        <v>88</v>
      </c>
      <c r="D1531" s="3" t="s">
        <v>824</v>
      </c>
      <c r="E1531" s="1497">
        <v>1000</v>
      </c>
      <c r="F1531" s="1497"/>
      <c r="G1531" s="267" t="s">
        <v>676</v>
      </c>
      <c r="H1531" s="3" t="s">
        <v>1038</v>
      </c>
      <c r="I1531" s="3"/>
    </row>
    <row r="1532" spans="1:9">
      <c r="A1532" s="270">
        <v>44818</v>
      </c>
      <c r="B1532" s="267"/>
      <c r="C1532" s="267" t="s">
        <v>88</v>
      </c>
      <c r="D1532" s="3" t="s">
        <v>824</v>
      </c>
      <c r="E1532" s="1497">
        <v>14000</v>
      </c>
      <c r="F1532" s="1497"/>
      <c r="G1532" s="267" t="s">
        <v>614</v>
      </c>
      <c r="H1532" s="3"/>
      <c r="I1532" s="3"/>
    </row>
    <row r="1533" spans="1:9">
      <c r="A1533" s="270">
        <v>44818</v>
      </c>
      <c r="B1533" s="267"/>
      <c r="C1533" s="70" t="s">
        <v>79</v>
      </c>
      <c r="D1533" s="113" t="s">
        <v>79</v>
      </c>
      <c r="E1533" s="70">
        <v>70000</v>
      </c>
      <c r="F1533" s="1497"/>
      <c r="G1533" s="267" t="s">
        <v>614</v>
      </c>
      <c r="H1533" s="3"/>
      <c r="I1533" s="3"/>
    </row>
    <row r="1534" spans="1:9">
      <c r="A1534" s="270">
        <v>44818</v>
      </c>
      <c r="B1534" s="267"/>
      <c r="C1534" s="267" t="s">
        <v>92</v>
      </c>
      <c r="D1534" s="71" t="s">
        <v>1031</v>
      </c>
      <c r="E1534" s="1497"/>
      <c r="F1534" s="1497">
        <v>20310.099999999999</v>
      </c>
      <c r="G1534" s="267" t="s">
        <v>27</v>
      </c>
      <c r="H1534" s="267"/>
      <c r="I1534" s="3"/>
    </row>
    <row r="1535" spans="1:9">
      <c r="A1535" s="270">
        <v>44818</v>
      </c>
      <c r="B1535" s="267"/>
      <c r="C1535" s="267" t="s">
        <v>92</v>
      </c>
      <c r="D1535" s="71" t="s">
        <v>1032</v>
      </c>
      <c r="E1535" s="1497" t="s">
        <v>1030</v>
      </c>
      <c r="F1535" s="1497"/>
      <c r="G1535" s="267" t="s">
        <v>27</v>
      </c>
      <c r="H1535" s="267"/>
      <c r="I1535" s="3"/>
    </row>
    <row r="1536" spans="1:9">
      <c r="A1536" s="270">
        <v>44818</v>
      </c>
      <c r="B1536" s="267"/>
      <c r="C1536" s="267" t="s">
        <v>79</v>
      </c>
      <c r="D1536" s="15" t="s">
        <v>918</v>
      </c>
      <c r="E1536" s="1497">
        <v>6300</v>
      </c>
      <c r="F1536" s="1497"/>
      <c r="G1536" s="267" t="s">
        <v>27</v>
      </c>
      <c r="H1536" s="3"/>
      <c r="I1536" s="3"/>
    </row>
    <row r="1537" spans="1:9">
      <c r="A1537" s="270">
        <v>44819</v>
      </c>
      <c r="B1537" s="267"/>
      <c r="C1537" s="267" t="s">
        <v>92</v>
      </c>
      <c r="D1537" s="3" t="s">
        <v>1033</v>
      </c>
      <c r="E1537" s="1497"/>
      <c r="F1537" s="1497">
        <v>11500</v>
      </c>
      <c r="G1537" s="267" t="s">
        <v>27</v>
      </c>
      <c r="H1537" s="3"/>
      <c r="I1537" s="3"/>
    </row>
    <row r="1538" spans="1:9">
      <c r="A1538" s="270">
        <v>44819</v>
      </c>
      <c r="B1538" s="267"/>
      <c r="C1538" s="267" t="s">
        <v>94</v>
      </c>
      <c r="D1538" s="3" t="s">
        <v>1034</v>
      </c>
      <c r="E1538" s="1497">
        <v>1495.36</v>
      </c>
      <c r="F1538" s="1497"/>
      <c r="G1538" s="267" t="s">
        <v>27</v>
      </c>
      <c r="H1538" s="3"/>
      <c r="I1538" s="3"/>
    </row>
    <row r="1539" spans="1:9">
      <c r="A1539" s="270">
        <v>44727</v>
      </c>
      <c r="B1539" s="267"/>
      <c r="C1539" s="267" t="s">
        <v>55</v>
      </c>
      <c r="D1539" s="3" t="s">
        <v>1035</v>
      </c>
      <c r="E1539" s="1497">
        <v>800</v>
      </c>
      <c r="F1539" s="1497"/>
      <c r="G1539" s="267" t="s">
        <v>56</v>
      </c>
      <c r="H1539" s="3"/>
      <c r="I1539" s="3"/>
    </row>
    <row r="1540" spans="1:9">
      <c r="A1540" s="270">
        <v>44819</v>
      </c>
      <c r="B1540" s="267"/>
      <c r="C1540" s="267" t="s">
        <v>79</v>
      </c>
      <c r="D1540" s="3" t="s">
        <v>195</v>
      </c>
      <c r="E1540" s="1497">
        <v>7400.7</v>
      </c>
      <c r="F1540" s="1497"/>
      <c r="G1540" s="267" t="s">
        <v>27</v>
      </c>
      <c r="H1540" s="3"/>
      <c r="I1540" s="3"/>
    </row>
    <row r="1541" spans="1:9">
      <c r="A1541" s="270">
        <v>44819</v>
      </c>
      <c r="B1541" s="267"/>
      <c r="C1541" s="267" t="s">
        <v>77</v>
      </c>
      <c r="D1541" s="3" t="s">
        <v>1036</v>
      </c>
      <c r="E1541" s="1497"/>
      <c r="F1541" s="1497">
        <v>44850</v>
      </c>
      <c r="G1541" s="267" t="s">
        <v>27</v>
      </c>
      <c r="H1541" s="3"/>
      <c r="I1541" s="3"/>
    </row>
    <row r="1542" spans="1:9">
      <c r="A1542" s="270">
        <v>44819</v>
      </c>
      <c r="B1542" s="267"/>
      <c r="C1542" s="267" t="s">
        <v>79</v>
      </c>
      <c r="D1542" s="15" t="s">
        <v>918</v>
      </c>
      <c r="E1542" s="1497">
        <v>3390.27</v>
      </c>
      <c r="F1542" s="1497"/>
      <c r="G1542" s="267" t="s">
        <v>27</v>
      </c>
      <c r="H1542" s="3"/>
      <c r="I1542" s="3"/>
    </row>
    <row r="1543" spans="1:9">
      <c r="A1543" s="270">
        <v>44820</v>
      </c>
      <c r="B1543" s="267"/>
      <c r="C1543" s="267" t="s">
        <v>55</v>
      </c>
      <c r="D1543" s="3" t="s">
        <v>1037</v>
      </c>
      <c r="E1543" s="1497">
        <v>590</v>
      </c>
      <c r="F1543" s="1497"/>
      <c r="G1543" s="267" t="s">
        <v>56</v>
      </c>
      <c r="H1543" s="3" t="s">
        <v>1039</v>
      </c>
      <c r="I1543" s="3"/>
    </row>
    <row r="1544" spans="1:9">
      <c r="A1544" s="270">
        <v>44820</v>
      </c>
      <c r="B1544" s="267"/>
      <c r="C1544" s="267" t="s">
        <v>55</v>
      </c>
      <c r="D1544" s="3" t="s">
        <v>104</v>
      </c>
      <c r="E1544" s="1497">
        <v>2500</v>
      </c>
      <c r="F1544" s="1497"/>
      <c r="G1544" s="267" t="s">
        <v>614</v>
      </c>
      <c r="H1544" s="3"/>
      <c r="I1544" s="3"/>
    </row>
    <row r="1545" spans="1:9">
      <c r="A1545" s="270">
        <v>44820</v>
      </c>
      <c r="B1545" s="267"/>
      <c r="C1545" s="267" t="s">
        <v>79</v>
      </c>
      <c r="D1545" s="3" t="s">
        <v>1040</v>
      </c>
      <c r="E1545" s="1497">
        <v>400</v>
      </c>
      <c r="F1545" s="1497"/>
      <c r="G1545" s="267" t="s">
        <v>56</v>
      </c>
      <c r="H1545" s="3"/>
      <c r="I1545" s="3"/>
    </row>
    <row r="1546" spans="1:9">
      <c r="A1546" s="270">
        <v>44820</v>
      </c>
      <c r="B1546" s="267"/>
      <c r="C1546" s="267" t="s">
        <v>92</v>
      </c>
      <c r="D1546" s="3" t="s">
        <v>1041</v>
      </c>
      <c r="E1546" s="1497"/>
      <c r="F1546" s="1497">
        <v>61247.6</v>
      </c>
      <c r="G1546" s="267" t="s">
        <v>27</v>
      </c>
      <c r="H1546" s="3"/>
      <c r="I1546" s="3"/>
    </row>
    <row r="1547" spans="1:9">
      <c r="A1547" s="270">
        <v>44820</v>
      </c>
      <c r="B1547" s="267"/>
      <c r="C1547" s="267" t="s">
        <v>92</v>
      </c>
      <c r="D1547" s="3" t="s">
        <v>1041</v>
      </c>
      <c r="E1547" s="1497">
        <v>6432.4</v>
      </c>
      <c r="F1547" s="1497"/>
      <c r="G1547" s="267" t="s">
        <v>27</v>
      </c>
      <c r="H1547" s="3"/>
      <c r="I1547" s="3"/>
    </row>
    <row r="1548" spans="1:9">
      <c r="A1548" s="270">
        <v>44820</v>
      </c>
      <c r="B1548" s="267"/>
      <c r="C1548" s="267" t="s">
        <v>79</v>
      </c>
      <c r="D1548" s="3" t="s">
        <v>918</v>
      </c>
      <c r="E1548" s="1497">
        <v>5600</v>
      </c>
      <c r="F1548" s="1497"/>
      <c r="G1548" s="267" t="s">
        <v>27</v>
      </c>
      <c r="H1548" s="3"/>
      <c r="I1548" s="3"/>
    </row>
    <row r="1549" spans="1:9">
      <c r="A1549" s="270">
        <v>44820</v>
      </c>
      <c r="B1549" s="267"/>
      <c r="C1549" s="267" t="s">
        <v>308</v>
      </c>
      <c r="D1549" s="3" t="s">
        <v>1042</v>
      </c>
      <c r="E1549" s="1497">
        <v>15080</v>
      </c>
      <c r="F1549" s="1497"/>
      <c r="G1549" s="267" t="s">
        <v>27</v>
      </c>
      <c r="H1549" s="3"/>
      <c r="I1549" s="3"/>
    </row>
    <row r="1550" spans="1:9">
      <c r="A1550" s="270">
        <v>44820</v>
      </c>
      <c r="B1550" s="267"/>
      <c r="C1550" s="267" t="s">
        <v>88</v>
      </c>
      <c r="D1550" s="3" t="s">
        <v>208</v>
      </c>
      <c r="E1550" s="1497">
        <v>13200</v>
      </c>
      <c r="F1550" s="1497"/>
      <c r="G1550" s="267" t="s">
        <v>614</v>
      </c>
      <c r="H1550" s="3"/>
      <c r="I1550" s="3"/>
    </row>
    <row r="1551" spans="1:9">
      <c r="A1551" s="270">
        <v>44820</v>
      </c>
      <c r="B1551" s="267"/>
      <c r="C1551" s="267" t="s">
        <v>88</v>
      </c>
      <c r="D1551" s="3" t="s">
        <v>219</v>
      </c>
      <c r="E1551" s="1497">
        <v>19000</v>
      </c>
      <c r="F1551" s="1497"/>
      <c r="G1551" s="267" t="s">
        <v>614</v>
      </c>
      <c r="H1551" s="3"/>
      <c r="I1551" s="3"/>
    </row>
    <row r="1552" spans="1:9">
      <c r="A1552" s="270">
        <v>44820</v>
      </c>
      <c r="B1552" s="267"/>
      <c r="C1552" s="267" t="s">
        <v>88</v>
      </c>
      <c r="D1552" s="3" t="s">
        <v>259</v>
      </c>
      <c r="E1552" s="1497">
        <v>8000</v>
      </c>
      <c r="F1552" s="1497"/>
      <c r="G1552" s="267" t="s">
        <v>614</v>
      </c>
      <c r="H1552" s="3"/>
      <c r="I1552" s="3"/>
    </row>
    <row r="1553" spans="1:9">
      <c r="A1553" s="270">
        <v>44820</v>
      </c>
      <c r="B1553" s="267"/>
      <c r="C1553" s="267" t="s">
        <v>88</v>
      </c>
      <c r="D1553" s="3" t="s">
        <v>144</v>
      </c>
      <c r="E1553" s="1497">
        <v>8000</v>
      </c>
      <c r="F1553" s="1497"/>
      <c r="G1553" s="267" t="s">
        <v>27</v>
      </c>
      <c r="H1553" s="3"/>
      <c r="I1553" s="3"/>
    </row>
    <row r="1554" spans="1:9">
      <c r="A1554" s="270">
        <v>44820</v>
      </c>
      <c r="B1554" s="267"/>
      <c r="C1554" s="267" t="s">
        <v>88</v>
      </c>
      <c r="D1554" s="15" t="s">
        <v>144</v>
      </c>
      <c r="E1554" s="1497">
        <v>10000</v>
      </c>
      <c r="F1554" s="1497"/>
      <c r="G1554" s="267" t="s">
        <v>27</v>
      </c>
      <c r="H1554" s="3"/>
      <c r="I1554" s="3"/>
    </row>
    <row r="1555" spans="1:9">
      <c r="A1555" s="244"/>
      <c r="B1555" s="244"/>
      <c r="C1555" s="244"/>
      <c r="D1555" s="244"/>
      <c r="E1555" s="1492"/>
      <c r="F1555" s="1492"/>
      <c r="G1555" s="244"/>
      <c r="H1555" s="128" t="s">
        <v>1043</v>
      </c>
      <c r="I1555" s="3"/>
    </row>
    <row r="1556" spans="1:9">
      <c r="A1556" s="244"/>
      <c r="B1556" s="244"/>
      <c r="C1556" s="244"/>
      <c r="D1556" s="244"/>
      <c r="E1556" s="1492"/>
      <c r="F1556" s="1492"/>
      <c r="G1556" s="244"/>
      <c r="H1556" s="133" t="s">
        <v>1053</v>
      </c>
      <c r="I1556" s="3"/>
    </row>
    <row r="1557" spans="1:9">
      <c r="A1557" s="244"/>
      <c r="B1557" s="244"/>
      <c r="C1557" s="244"/>
      <c r="D1557" s="244"/>
      <c r="E1557" s="1492"/>
      <c r="F1557" s="1492"/>
      <c r="G1557" s="244"/>
      <c r="H1557" s="132" t="s">
        <v>1052</v>
      </c>
      <c r="I1557" s="3"/>
    </row>
    <row r="1558" spans="1:9">
      <c r="A1558" s="244"/>
      <c r="B1558" s="244"/>
      <c r="C1558" s="244"/>
      <c r="D1558" s="244"/>
      <c r="E1558" s="1492"/>
      <c r="F1558" s="1492"/>
      <c r="G1558" s="244"/>
      <c r="H1558" s="117" t="s">
        <v>1044</v>
      </c>
      <c r="I1558" s="3"/>
    </row>
    <row r="1559" spans="1:9">
      <c r="A1559" s="244"/>
      <c r="B1559" s="244"/>
      <c r="C1559" s="244"/>
      <c r="D1559" s="115"/>
      <c r="E1559" s="1492"/>
      <c r="F1559" s="1492"/>
      <c r="G1559" s="244"/>
      <c r="H1559" s="117" t="s">
        <v>1045</v>
      </c>
    </row>
    <row r="1560" spans="1:9">
      <c r="A1560" s="244"/>
      <c r="B1560" s="244"/>
      <c r="C1560" s="244"/>
      <c r="D1560" s="115"/>
      <c r="E1560" s="1492"/>
      <c r="F1560" s="1492"/>
      <c r="G1560" s="244"/>
      <c r="H1560" s="117" t="s">
        <v>1016</v>
      </c>
    </row>
    <row r="1561" spans="1:9">
      <c r="A1561" s="244"/>
      <c r="B1561" s="244"/>
      <c r="C1561" s="244"/>
      <c r="D1561" s="115"/>
      <c r="E1561" s="1492"/>
      <c r="F1561" s="1492"/>
      <c r="G1561" s="244"/>
      <c r="H1561" s="117" t="s">
        <v>1060</v>
      </c>
    </row>
    <row r="1562" spans="1:9">
      <c r="A1562" s="270">
        <v>44823</v>
      </c>
      <c r="B1562" s="267"/>
      <c r="C1562" s="267" t="s">
        <v>77</v>
      </c>
      <c r="D1562" s="3" t="s">
        <v>1046</v>
      </c>
      <c r="E1562" s="1497"/>
      <c r="F1562" s="1497">
        <v>38468</v>
      </c>
      <c r="G1562" s="267" t="s">
        <v>27</v>
      </c>
      <c r="H1562" s="3" t="s">
        <v>1047</v>
      </c>
      <c r="I1562" s="3"/>
    </row>
    <row r="1563" spans="1:9">
      <c r="A1563" s="270">
        <v>44823</v>
      </c>
      <c r="B1563" s="267"/>
      <c r="C1563" s="267" t="s">
        <v>79</v>
      </c>
      <c r="D1563" s="3" t="s">
        <v>918</v>
      </c>
      <c r="E1563" s="1497">
        <v>8930</v>
      </c>
      <c r="F1563" s="1497"/>
      <c r="G1563" s="267" t="s">
        <v>27</v>
      </c>
      <c r="H1563" s="3"/>
      <c r="I1563" s="3"/>
    </row>
    <row r="1564" spans="1:9">
      <c r="A1564" s="270">
        <v>44823</v>
      </c>
      <c r="B1564" s="267"/>
      <c r="C1564" s="267" t="s">
        <v>94</v>
      </c>
      <c r="D1564" s="3" t="s">
        <v>1048</v>
      </c>
      <c r="E1564" s="1497">
        <v>3250</v>
      </c>
      <c r="F1564" s="1497"/>
      <c r="G1564" s="267" t="s">
        <v>27</v>
      </c>
      <c r="H1564" s="3"/>
      <c r="I1564" s="3"/>
    </row>
    <row r="1565" spans="1:9">
      <c r="A1565" s="270">
        <v>44823</v>
      </c>
      <c r="B1565" s="267"/>
      <c r="C1565" s="267" t="s">
        <v>29</v>
      </c>
      <c r="D1565" s="3" t="s">
        <v>246</v>
      </c>
      <c r="E1565" s="1497">
        <v>46862.96</v>
      </c>
      <c r="F1565" s="1497"/>
      <c r="G1565" s="267" t="s">
        <v>27</v>
      </c>
      <c r="H1565" s="3" t="s">
        <v>1050</v>
      </c>
      <c r="I1565" s="3"/>
    </row>
    <row r="1566" spans="1:9">
      <c r="A1566" s="270">
        <v>44823</v>
      </c>
      <c r="B1566" s="267"/>
      <c r="C1566" s="267" t="s">
        <v>79</v>
      </c>
      <c r="D1566" s="3" t="s">
        <v>1049</v>
      </c>
      <c r="E1566" s="1497">
        <v>36000</v>
      </c>
      <c r="F1566" s="1497"/>
      <c r="G1566" s="267" t="s">
        <v>27</v>
      </c>
      <c r="H1566" s="3"/>
      <c r="I1566" s="3"/>
    </row>
    <row r="1567" spans="1:9">
      <c r="A1567" s="270">
        <v>44824</v>
      </c>
      <c r="B1567" s="267"/>
      <c r="C1567" s="267" t="s">
        <v>77</v>
      </c>
      <c r="D1567" s="3" t="s">
        <v>634</v>
      </c>
      <c r="E1567" s="1497"/>
      <c r="F1567" s="1497">
        <v>82200</v>
      </c>
      <c r="G1567" s="267" t="s">
        <v>27</v>
      </c>
      <c r="H1567" s="3"/>
      <c r="I1567" s="3"/>
    </row>
    <row r="1568" spans="1:9">
      <c r="A1568" s="270">
        <v>44824</v>
      </c>
      <c r="B1568" s="267"/>
      <c r="C1568" s="267" t="s">
        <v>55</v>
      </c>
      <c r="D1568" s="3" t="s">
        <v>38</v>
      </c>
      <c r="E1568" s="1497">
        <v>1600</v>
      </c>
      <c r="F1568" s="1497"/>
      <c r="G1568" s="267" t="s">
        <v>56</v>
      </c>
      <c r="H1568" s="3" t="s">
        <v>1051</v>
      </c>
      <c r="I1568" s="3"/>
    </row>
    <row r="1569" spans="1:9">
      <c r="A1569" s="270">
        <v>44824</v>
      </c>
      <c r="B1569" s="267"/>
      <c r="C1569" s="267" t="s">
        <v>79</v>
      </c>
      <c r="D1569" s="3" t="s">
        <v>918</v>
      </c>
      <c r="E1569" s="1497">
        <v>5000.01</v>
      </c>
      <c r="F1569" s="1497"/>
      <c r="G1569" s="267" t="s">
        <v>27</v>
      </c>
      <c r="H1569" s="3"/>
      <c r="I1569" s="3"/>
    </row>
    <row r="1570" spans="1:9">
      <c r="A1570" s="270">
        <v>44824</v>
      </c>
      <c r="B1570" s="267"/>
      <c r="C1570" s="267" t="s">
        <v>88</v>
      </c>
      <c r="D1570" s="3" t="s">
        <v>1054</v>
      </c>
      <c r="E1570" s="1497">
        <v>5287.15</v>
      </c>
      <c r="F1570" s="1497"/>
      <c r="G1570" s="267" t="s">
        <v>27</v>
      </c>
      <c r="H1570" s="3"/>
      <c r="I1570" s="3"/>
    </row>
    <row r="1571" spans="1:9">
      <c r="A1571" s="270">
        <v>44824</v>
      </c>
      <c r="B1571" s="267"/>
      <c r="C1571" s="267" t="s">
        <v>55</v>
      </c>
      <c r="D1571" s="3" t="s">
        <v>1055</v>
      </c>
      <c r="E1571" s="1497">
        <v>1000</v>
      </c>
      <c r="F1571" s="1497"/>
      <c r="G1571" s="267" t="s">
        <v>56</v>
      </c>
      <c r="H1571" s="3" t="s">
        <v>1056</v>
      </c>
      <c r="I1571" s="3"/>
    </row>
    <row r="1572" spans="1:9">
      <c r="A1572" s="270">
        <v>44824</v>
      </c>
      <c r="B1572" s="267"/>
      <c r="C1572" s="267" t="s">
        <v>55</v>
      </c>
      <c r="D1572" s="3" t="s">
        <v>70</v>
      </c>
      <c r="E1572" s="1497">
        <v>670</v>
      </c>
      <c r="F1572" s="1497"/>
      <c r="G1572" s="267" t="s">
        <v>56</v>
      </c>
      <c r="H1572" s="3"/>
      <c r="I1572" s="3"/>
    </row>
    <row r="1573" spans="1:9">
      <c r="A1573" s="270">
        <v>44824</v>
      </c>
      <c r="B1573" s="267"/>
      <c r="C1573" s="267" t="s">
        <v>76</v>
      </c>
      <c r="D1573" s="3" t="s">
        <v>462</v>
      </c>
      <c r="E1573" s="1497"/>
      <c r="F1573" s="1497">
        <v>27700</v>
      </c>
      <c r="G1573" s="267" t="s">
        <v>56</v>
      </c>
      <c r="H1573" s="3"/>
      <c r="I1573" s="3"/>
    </row>
    <row r="1574" spans="1:9">
      <c r="A1574" s="270">
        <v>44824</v>
      </c>
      <c r="B1574" s="267"/>
      <c r="C1574" s="267" t="s">
        <v>79</v>
      </c>
      <c r="D1574" s="3" t="s">
        <v>918</v>
      </c>
      <c r="E1574" s="1497">
        <v>5000</v>
      </c>
      <c r="F1574" s="1497"/>
      <c r="G1574" s="267" t="s">
        <v>27</v>
      </c>
      <c r="H1574" s="3"/>
      <c r="I1574" s="3"/>
    </row>
    <row r="1575" spans="1:9">
      <c r="A1575" s="270">
        <v>44825</v>
      </c>
      <c r="B1575" s="267"/>
      <c r="C1575" s="267" t="s">
        <v>77</v>
      </c>
      <c r="D1575" s="3" t="s">
        <v>634</v>
      </c>
      <c r="E1575" s="1497"/>
      <c r="F1575" s="1497">
        <v>67850</v>
      </c>
      <c r="G1575" s="267" t="s">
        <v>27</v>
      </c>
      <c r="H1575" s="3"/>
      <c r="I1575" s="3"/>
    </row>
    <row r="1576" spans="1:9">
      <c r="A1576" s="270">
        <v>44825</v>
      </c>
      <c r="B1576" s="267"/>
      <c r="C1576" s="267" t="s">
        <v>79</v>
      </c>
      <c r="D1576" s="15" t="s">
        <v>718</v>
      </c>
      <c r="E1576" s="1497">
        <v>6000</v>
      </c>
      <c r="F1576" s="1497"/>
      <c r="G1576" s="267" t="s">
        <v>27</v>
      </c>
      <c r="H1576" s="3"/>
      <c r="I1576" s="3"/>
    </row>
    <row r="1577" spans="1:9">
      <c r="A1577" s="270">
        <v>44825</v>
      </c>
      <c r="B1577" s="267"/>
      <c r="C1577" s="267" t="s">
        <v>79</v>
      </c>
      <c r="D1577" s="3" t="s">
        <v>1057</v>
      </c>
      <c r="E1577" s="1497"/>
      <c r="F1577" s="1497">
        <v>50000</v>
      </c>
      <c r="G1577" s="267" t="s">
        <v>614</v>
      </c>
      <c r="H1577" s="3"/>
      <c r="I1577" s="3"/>
    </row>
    <row r="1578" spans="1:9">
      <c r="A1578" s="270">
        <v>44825</v>
      </c>
      <c r="B1578" s="267"/>
      <c r="C1578" s="267" t="s">
        <v>94</v>
      </c>
      <c r="D1578" s="3" t="s">
        <v>1058</v>
      </c>
      <c r="E1578" s="1497">
        <v>7158.55</v>
      </c>
      <c r="F1578" s="1497"/>
      <c r="G1578" s="267" t="s">
        <v>27</v>
      </c>
      <c r="H1578" s="3"/>
      <c r="I1578" s="3"/>
    </row>
    <row r="1579" spans="1:9">
      <c r="A1579" s="270">
        <v>44825</v>
      </c>
      <c r="B1579" s="267"/>
      <c r="C1579" s="267" t="s">
        <v>55</v>
      </c>
      <c r="D1579" s="3" t="s">
        <v>1059</v>
      </c>
      <c r="E1579" s="1497">
        <v>190</v>
      </c>
      <c r="F1579" s="1497"/>
      <c r="G1579" s="267" t="s">
        <v>56</v>
      </c>
      <c r="H1579" s="3"/>
      <c r="I1579" s="3"/>
    </row>
    <row r="1580" spans="1:9">
      <c r="A1580" s="270">
        <v>44825</v>
      </c>
      <c r="B1580" s="267"/>
      <c r="C1580" s="267" t="s">
        <v>90</v>
      </c>
      <c r="D1580" s="3" t="s">
        <v>112</v>
      </c>
      <c r="E1580" s="1497">
        <v>1950</v>
      </c>
      <c r="F1580" s="1497"/>
      <c r="G1580" s="267" t="s">
        <v>56</v>
      </c>
      <c r="H1580" s="3"/>
      <c r="I1580" s="3"/>
    </row>
    <row r="1581" spans="1:9">
      <c r="A1581" s="270">
        <v>44825</v>
      </c>
      <c r="B1581" s="267"/>
      <c r="C1581" s="267" t="s">
        <v>29</v>
      </c>
      <c r="D1581" s="3" t="s">
        <v>426</v>
      </c>
      <c r="E1581" s="1497">
        <v>41366.74</v>
      </c>
      <c r="F1581" s="1497"/>
      <c r="G1581" s="267" t="s">
        <v>27</v>
      </c>
      <c r="H1581" s="3"/>
      <c r="I1581" s="3"/>
    </row>
    <row r="1582" spans="1:9">
      <c r="A1582" s="270">
        <v>44825</v>
      </c>
      <c r="B1582" s="267"/>
      <c r="C1582" s="267" t="s">
        <v>55</v>
      </c>
      <c r="D1582" s="3" t="s">
        <v>1061</v>
      </c>
      <c r="E1582" s="1497">
        <v>928.97</v>
      </c>
      <c r="F1582" s="1497"/>
      <c r="G1582" s="267" t="s">
        <v>56</v>
      </c>
      <c r="H1582" s="3"/>
      <c r="I1582" s="3"/>
    </row>
    <row r="1583" spans="1:9">
      <c r="A1583" s="270">
        <v>44825</v>
      </c>
      <c r="B1583" s="267"/>
      <c r="C1583" s="267" t="s">
        <v>55</v>
      </c>
      <c r="D1583" s="3" t="s">
        <v>38</v>
      </c>
      <c r="E1583" s="1497">
        <v>390</v>
      </c>
      <c r="F1583" s="1497"/>
      <c r="G1583" s="267" t="s">
        <v>56</v>
      </c>
      <c r="H1583" s="3"/>
      <c r="I1583" s="3"/>
    </row>
    <row r="1584" spans="1:9">
      <c r="A1584" s="270">
        <v>44825</v>
      </c>
      <c r="B1584" s="267"/>
      <c r="C1584" s="267" t="s">
        <v>29</v>
      </c>
      <c r="D1584" s="3" t="s">
        <v>71</v>
      </c>
      <c r="E1584" s="1497">
        <v>35000</v>
      </c>
      <c r="F1584" s="1497"/>
      <c r="G1584" s="267" t="s">
        <v>72</v>
      </c>
      <c r="H1584" s="3" t="s">
        <v>1062</v>
      </c>
      <c r="I1584" s="3"/>
    </row>
    <row r="1585" spans="1:9">
      <c r="A1585" s="270">
        <v>44826</v>
      </c>
      <c r="B1585" s="267"/>
      <c r="C1585" s="267" t="s">
        <v>176</v>
      </c>
      <c r="D1585" s="3" t="s">
        <v>175</v>
      </c>
      <c r="E1585" s="1497">
        <v>2500</v>
      </c>
      <c r="F1585" s="1497"/>
      <c r="G1585" s="267" t="s">
        <v>27</v>
      </c>
      <c r="H1585" s="3"/>
      <c r="I1585" s="3"/>
    </row>
    <row r="1586" spans="1:9">
      <c r="A1586" s="270">
        <v>44826</v>
      </c>
      <c r="B1586" s="267"/>
      <c r="C1586" s="267" t="s">
        <v>92</v>
      </c>
      <c r="D1586" s="15" t="s">
        <v>1020</v>
      </c>
      <c r="E1586" s="1497"/>
      <c r="F1586" s="1497">
        <v>13400</v>
      </c>
      <c r="G1586" s="267" t="s">
        <v>56</v>
      </c>
      <c r="H1586" s="3"/>
      <c r="I1586" s="3"/>
    </row>
    <row r="1587" spans="1:9">
      <c r="A1587" s="270">
        <v>44826</v>
      </c>
      <c r="B1587" s="267"/>
      <c r="C1587" s="267" t="s">
        <v>55</v>
      </c>
      <c r="D1587" s="3" t="s">
        <v>1063</v>
      </c>
      <c r="E1587" s="1497">
        <v>1310</v>
      </c>
      <c r="F1587" s="1497"/>
      <c r="G1587" s="267" t="s">
        <v>56</v>
      </c>
      <c r="H1587" s="3" t="s">
        <v>994</v>
      </c>
      <c r="I1587" s="3"/>
    </row>
    <row r="1588" spans="1:9">
      <c r="A1588" s="270">
        <v>44827</v>
      </c>
      <c r="B1588" s="267"/>
      <c r="C1588" s="267" t="s">
        <v>86</v>
      </c>
      <c r="D1588" s="3" t="s">
        <v>534</v>
      </c>
      <c r="E1588" s="1497">
        <v>3000</v>
      </c>
      <c r="F1588" s="1497"/>
      <c r="G1588" s="267" t="s">
        <v>27</v>
      </c>
      <c r="H1588" s="3"/>
      <c r="I1588" s="3"/>
    </row>
    <row r="1589" spans="1:9">
      <c r="A1589" s="270">
        <v>44827</v>
      </c>
      <c r="B1589" s="267"/>
      <c r="C1589" s="267" t="s">
        <v>1064</v>
      </c>
      <c r="D1589" s="3" t="s">
        <v>1065</v>
      </c>
      <c r="E1589" s="1497"/>
      <c r="F1589" s="1497">
        <v>18900</v>
      </c>
      <c r="G1589" s="267" t="s">
        <v>27</v>
      </c>
      <c r="H1589" s="3"/>
      <c r="I1589" s="3"/>
    </row>
    <row r="1590" spans="1:9">
      <c r="A1590" s="270">
        <v>44827</v>
      </c>
      <c r="B1590" s="267"/>
      <c r="C1590" s="267" t="s">
        <v>55</v>
      </c>
      <c r="D1590" s="3" t="s">
        <v>1066</v>
      </c>
      <c r="E1590" s="1497">
        <v>1800</v>
      </c>
      <c r="F1590" s="1497"/>
      <c r="G1590" s="267" t="s">
        <v>56</v>
      </c>
      <c r="H1590" s="3"/>
      <c r="I1590" s="3"/>
    </row>
    <row r="1591" spans="1:9">
      <c r="A1591" s="270">
        <v>44826</v>
      </c>
      <c r="B1591" s="267"/>
      <c r="C1591" s="267" t="s">
        <v>86</v>
      </c>
      <c r="D1591" s="3" t="s">
        <v>104</v>
      </c>
      <c r="E1591" s="1497">
        <v>2500</v>
      </c>
      <c r="F1591" s="1497"/>
      <c r="G1591" s="267" t="s">
        <v>56</v>
      </c>
      <c r="H1591" s="3"/>
      <c r="I1591" s="3"/>
    </row>
    <row r="1592" spans="1:9">
      <c r="A1592" s="270">
        <v>44827</v>
      </c>
      <c r="B1592" s="267"/>
      <c r="C1592" s="267" t="s">
        <v>88</v>
      </c>
      <c r="D1592" s="3" t="s">
        <v>144</v>
      </c>
      <c r="E1592" s="1497">
        <v>5000</v>
      </c>
      <c r="F1592" s="1497"/>
      <c r="G1592" s="267" t="s">
        <v>27</v>
      </c>
      <c r="H1592" s="3"/>
      <c r="I1592" s="3"/>
    </row>
    <row r="1593" spans="1:9">
      <c r="A1593" s="270">
        <v>44827</v>
      </c>
      <c r="B1593" s="267"/>
      <c r="C1593" s="267" t="s">
        <v>88</v>
      </c>
      <c r="D1593" s="3" t="s">
        <v>259</v>
      </c>
      <c r="E1593" s="1497">
        <v>6000</v>
      </c>
      <c r="F1593" s="1497"/>
      <c r="G1593" s="267" t="s">
        <v>56</v>
      </c>
      <c r="H1593" s="3"/>
      <c r="I1593" s="3"/>
    </row>
    <row r="1594" spans="1:9">
      <c r="A1594" s="270">
        <v>44827</v>
      </c>
      <c r="B1594" s="267"/>
      <c r="C1594" s="267" t="s">
        <v>88</v>
      </c>
      <c r="D1594" s="3" t="s">
        <v>219</v>
      </c>
      <c r="E1594" s="1497">
        <v>19000</v>
      </c>
      <c r="F1594" s="1497"/>
      <c r="G1594" s="267" t="s">
        <v>56</v>
      </c>
      <c r="H1594" s="3"/>
      <c r="I1594" s="3"/>
    </row>
    <row r="1595" spans="1:9">
      <c r="A1595" s="270">
        <v>44827</v>
      </c>
      <c r="B1595" s="267"/>
      <c r="C1595" s="267" t="s">
        <v>88</v>
      </c>
      <c r="D1595" s="3" t="s">
        <v>208</v>
      </c>
      <c r="E1595" s="1497">
        <v>13200</v>
      </c>
      <c r="F1595" s="1497"/>
      <c r="G1595" s="267" t="s">
        <v>56</v>
      </c>
      <c r="H1595" s="3"/>
      <c r="I1595" s="3"/>
    </row>
    <row r="1596" spans="1:9">
      <c r="A1596" s="270">
        <v>44827</v>
      </c>
      <c r="B1596" s="267"/>
      <c r="C1596" s="267" t="s">
        <v>88</v>
      </c>
      <c r="D1596" s="3" t="s">
        <v>824</v>
      </c>
      <c r="E1596" s="1497">
        <v>15000</v>
      </c>
      <c r="F1596" s="1497"/>
      <c r="G1596" s="267" t="s">
        <v>56</v>
      </c>
      <c r="H1596" s="3"/>
      <c r="I1596" s="3"/>
    </row>
    <row r="1597" spans="1:9">
      <c r="H1597" s="128" t="s">
        <v>1067</v>
      </c>
    </row>
    <row r="1598" spans="1:9">
      <c r="H1598" s="133" t="s">
        <v>1068</v>
      </c>
    </row>
    <row r="1599" spans="1:9">
      <c r="H1599" s="132" t="s">
        <v>1069</v>
      </c>
    </row>
    <row r="1600" spans="1:9">
      <c r="H1600" s="117" t="s">
        <v>1072</v>
      </c>
    </row>
    <row r="1601" spans="1:9">
      <c r="H1601" s="117" t="s">
        <v>1070</v>
      </c>
    </row>
    <row r="1602" spans="1:9">
      <c r="H1602" s="117" t="s">
        <v>1016</v>
      </c>
    </row>
    <row r="1603" spans="1:9">
      <c r="H1603" s="118" t="s">
        <v>1071</v>
      </c>
    </row>
    <row r="1604" spans="1:9">
      <c r="A1604" s="270">
        <v>44830</v>
      </c>
      <c r="B1604" s="267"/>
      <c r="C1604" s="267" t="s">
        <v>79</v>
      </c>
      <c r="D1604" s="3" t="s">
        <v>151</v>
      </c>
      <c r="E1604" s="1497">
        <v>5113.8900000000003</v>
      </c>
      <c r="F1604" s="1497"/>
      <c r="G1604" s="267" t="s">
        <v>27</v>
      </c>
      <c r="H1604" s="3"/>
      <c r="I1604" s="3"/>
    </row>
    <row r="1605" spans="1:9">
      <c r="A1605" s="270">
        <v>44830</v>
      </c>
      <c r="B1605" s="267"/>
      <c r="C1605" s="267" t="s">
        <v>79</v>
      </c>
      <c r="D1605" s="3" t="s">
        <v>151</v>
      </c>
      <c r="E1605" s="1497">
        <v>2699.05</v>
      </c>
      <c r="F1605" s="1497"/>
      <c r="G1605" s="267" t="s">
        <v>27</v>
      </c>
      <c r="H1605" s="3"/>
      <c r="I1605" s="3"/>
    </row>
    <row r="1606" spans="1:9">
      <c r="A1606" s="270">
        <v>44830</v>
      </c>
      <c r="B1606" s="267"/>
      <c r="C1606" s="267" t="s">
        <v>156</v>
      </c>
      <c r="D1606" s="3" t="s">
        <v>156</v>
      </c>
      <c r="E1606" s="1497">
        <v>23774.95</v>
      </c>
      <c r="F1606" s="1497"/>
      <c r="G1606" s="267" t="s">
        <v>27</v>
      </c>
      <c r="H1606" s="3"/>
      <c r="I1606" s="3"/>
    </row>
    <row r="1607" spans="1:9">
      <c r="A1607" s="270">
        <v>44830</v>
      </c>
      <c r="B1607" s="267"/>
      <c r="C1607" s="267" t="s">
        <v>29</v>
      </c>
      <c r="D1607" s="3" t="s">
        <v>63</v>
      </c>
      <c r="E1607" s="1497">
        <v>366.96</v>
      </c>
      <c r="F1607" s="1497"/>
      <c r="G1607" s="267" t="s">
        <v>56</v>
      </c>
      <c r="H1607" s="3"/>
      <c r="I1607" s="3"/>
    </row>
    <row r="1608" spans="1:9">
      <c r="A1608" s="270">
        <v>44830</v>
      </c>
      <c r="B1608" s="267"/>
      <c r="C1608" s="267" t="s">
        <v>29</v>
      </c>
      <c r="D1608" s="3" t="s">
        <v>63</v>
      </c>
      <c r="E1608" s="1497">
        <v>300</v>
      </c>
      <c r="F1608" s="1497"/>
      <c r="G1608" s="267" t="s">
        <v>56</v>
      </c>
      <c r="H1608" s="3"/>
      <c r="I1608" s="3"/>
    </row>
    <row r="1609" spans="1:9">
      <c r="A1609" s="270">
        <v>44830</v>
      </c>
      <c r="B1609" s="267"/>
      <c r="C1609" s="267" t="s">
        <v>77</v>
      </c>
      <c r="D1609" s="3" t="s">
        <v>1073</v>
      </c>
      <c r="E1609" s="1497"/>
      <c r="F1609" s="1497">
        <v>150000</v>
      </c>
      <c r="G1609" s="267" t="s">
        <v>56</v>
      </c>
      <c r="H1609" s="3"/>
      <c r="I1609" s="3"/>
    </row>
    <row r="1610" spans="1:9">
      <c r="A1610" s="270">
        <v>44831</v>
      </c>
      <c r="B1610" s="267"/>
      <c r="C1610" s="267" t="s">
        <v>29</v>
      </c>
      <c r="D1610" s="3" t="s">
        <v>1075</v>
      </c>
      <c r="E1610" s="1497">
        <v>6700</v>
      </c>
      <c r="F1610" s="1497"/>
      <c r="G1610" s="267" t="s">
        <v>56</v>
      </c>
      <c r="H1610" s="3" t="s">
        <v>1074</v>
      </c>
      <c r="I1610" s="3"/>
    </row>
    <row r="1611" spans="1:9">
      <c r="A1611" s="270">
        <v>44831</v>
      </c>
      <c r="B1611" s="267"/>
      <c r="C1611" s="267" t="s">
        <v>55</v>
      </c>
      <c r="D1611" s="3" t="s">
        <v>63</v>
      </c>
      <c r="E1611" s="1497">
        <v>4015.34</v>
      </c>
      <c r="F1611" s="1497"/>
      <c r="G1611" s="267" t="s">
        <v>27</v>
      </c>
      <c r="H1611" s="3"/>
      <c r="I1611" s="3"/>
    </row>
    <row r="1612" spans="1:9">
      <c r="A1612" s="270">
        <v>44806</v>
      </c>
      <c r="B1612" s="267"/>
      <c r="C1612" s="267" t="s">
        <v>76</v>
      </c>
      <c r="D1612" s="3" t="s">
        <v>462</v>
      </c>
      <c r="E1612" s="1497"/>
      <c r="F1612" s="1497">
        <v>27700</v>
      </c>
      <c r="G1612" s="267" t="s">
        <v>56</v>
      </c>
      <c r="H1612" s="3"/>
      <c r="I1612" s="3"/>
    </row>
    <row r="1613" spans="1:9">
      <c r="A1613" s="270">
        <v>44831</v>
      </c>
      <c r="B1613" s="267"/>
      <c r="C1613" s="267" t="s">
        <v>373</v>
      </c>
      <c r="D1613" s="3" t="s">
        <v>403</v>
      </c>
      <c r="E1613" s="1497"/>
      <c r="F1613" s="1497">
        <v>87500</v>
      </c>
      <c r="G1613" s="267" t="s">
        <v>56</v>
      </c>
      <c r="H1613" s="3"/>
      <c r="I1613" s="3"/>
    </row>
    <row r="1614" spans="1:9">
      <c r="A1614" s="270">
        <v>44832</v>
      </c>
      <c r="B1614" s="267"/>
      <c r="C1614" s="267" t="s">
        <v>29</v>
      </c>
      <c r="D1614" s="3" t="s">
        <v>71</v>
      </c>
      <c r="E1614" s="1497">
        <v>39200</v>
      </c>
      <c r="F1614" s="1497"/>
      <c r="G1614" s="267" t="s">
        <v>56</v>
      </c>
      <c r="H1614" s="3"/>
      <c r="I1614" s="3"/>
    </row>
    <row r="1615" spans="1:9">
      <c r="A1615" s="270">
        <v>44832</v>
      </c>
      <c r="B1615" s="267"/>
      <c r="C1615" s="267" t="s">
        <v>77</v>
      </c>
      <c r="D1615" s="3" t="s">
        <v>1056</v>
      </c>
      <c r="E1615" s="1497"/>
      <c r="F1615" s="1497">
        <v>222000</v>
      </c>
      <c r="G1615" s="267" t="s">
        <v>56</v>
      </c>
      <c r="H1615" s="3"/>
      <c r="I1615" s="3"/>
    </row>
    <row r="1616" spans="1:9">
      <c r="A1616" s="270">
        <v>44832</v>
      </c>
      <c r="B1616" s="267"/>
      <c r="C1616" s="267" t="s">
        <v>29</v>
      </c>
      <c r="D1616" s="3" t="s">
        <v>38</v>
      </c>
      <c r="E1616" s="1497">
        <v>700</v>
      </c>
      <c r="F1616" s="1497"/>
      <c r="G1616" s="267" t="s">
        <v>56</v>
      </c>
      <c r="H1616" s="3"/>
      <c r="I1616" s="3"/>
    </row>
    <row r="1617" spans="1:9">
      <c r="A1617" s="270">
        <v>44832</v>
      </c>
      <c r="B1617" s="267"/>
      <c r="C1617" s="267" t="s">
        <v>68</v>
      </c>
      <c r="D1617" s="3" t="s">
        <v>69</v>
      </c>
      <c r="E1617" s="1497">
        <v>2000</v>
      </c>
      <c r="F1617" s="1497"/>
      <c r="G1617" s="267" t="s">
        <v>56</v>
      </c>
      <c r="H1617" s="3"/>
      <c r="I1617" s="3"/>
    </row>
    <row r="1618" spans="1:9">
      <c r="A1618" s="270">
        <v>44832</v>
      </c>
      <c r="B1618" s="267"/>
      <c r="C1618" s="267" t="s">
        <v>76</v>
      </c>
      <c r="D1618" s="3" t="s">
        <v>1076</v>
      </c>
      <c r="E1618" s="1497"/>
      <c r="F1618" s="1497">
        <v>101100</v>
      </c>
      <c r="G1618" s="267" t="s">
        <v>287</v>
      </c>
      <c r="H1618" s="71" t="s">
        <v>1078</v>
      </c>
      <c r="I1618" s="3"/>
    </row>
    <row r="1619" spans="1:9">
      <c r="A1619" s="270">
        <v>44832</v>
      </c>
      <c r="B1619" s="267"/>
      <c r="C1619" s="267" t="s">
        <v>76</v>
      </c>
      <c r="D1619" s="3" t="s">
        <v>1077</v>
      </c>
      <c r="E1619" s="1497">
        <v>8773.14</v>
      </c>
      <c r="F1619" s="1497"/>
      <c r="G1619" s="267" t="s">
        <v>287</v>
      </c>
      <c r="H1619" s="3"/>
      <c r="I1619" s="3"/>
    </row>
    <row r="1620" spans="1:9">
      <c r="A1620" s="270">
        <v>44832</v>
      </c>
      <c r="B1620" s="267"/>
      <c r="C1620" s="267" t="s">
        <v>29</v>
      </c>
      <c r="D1620" s="3" t="s">
        <v>71</v>
      </c>
      <c r="E1620" s="1497">
        <v>59500</v>
      </c>
      <c r="F1620" s="1497"/>
      <c r="G1620" s="267" t="s">
        <v>56</v>
      </c>
      <c r="H1620" s="113"/>
      <c r="I1620" s="3"/>
    </row>
    <row r="1621" spans="1:9">
      <c r="A1621" s="270">
        <v>44832</v>
      </c>
      <c r="B1621" s="267"/>
      <c r="C1621" s="267" t="s">
        <v>79</v>
      </c>
      <c r="D1621" s="3" t="s">
        <v>934</v>
      </c>
      <c r="E1621" s="1497">
        <v>33500</v>
      </c>
      <c r="F1621" s="1497"/>
      <c r="G1621" s="267" t="s">
        <v>56</v>
      </c>
      <c r="H1621" s="113" t="s">
        <v>1079</v>
      </c>
      <c r="I1621" s="3"/>
    </row>
    <row r="1622" spans="1:9">
      <c r="A1622" s="270">
        <v>44832</v>
      </c>
      <c r="B1622" s="267"/>
      <c r="C1622" s="267" t="s">
        <v>55</v>
      </c>
      <c r="D1622" s="3" t="s">
        <v>562</v>
      </c>
      <c r="E1622" s="1497">
        <v>1240</v>
      </c>
      <c r="F1622" s="1497"/>
      <c r="G1622" s="267" t="s">
        <v>56</v>
      </c>
      <c r="H1622" s="3"/>
      <c r="I1622" s="3"/>
    </row>
    <row r="1623" spans="1:9">
      <c r="A1623" s="270">
        <v>44102</v>
      </c>
      <c r="B1623" s="267"/>
      <c r="C1623" s="267" t="s">
        <v>537</v>
      </c>
      <c r="D1623" s="3" t="s">
        <v>208</v>
      </c>
      <c r="E1623" s="1497">
        <v>7000</v>
      </c>
      <c r="F1623" s="1497"/>
      <c r="G1623" s="267" t="s">
        <v>56</v>
      </c>
      <c r="H1623" s="3"/>
      <c r="I1623" s="3"/>
    </row>
    <row r="1624" spans="1:9">
      <c r="A1624" s="270">
        <v>44833</v>
      </c>
      <c r="B1624" s="267"/>
      <c r="C1624" s="267" t="s">
        <v>150</v>
      </c>
      <c r="D1624" s="3" t="s">
        <v>650</v>
      </c>
      <c r="E1624" s="1497">
        <v>2100</v>
      </c>
      <c r="F1624" s="1497"/>
      <c r="G1624" s="267" t="s">
        <v>27</v>
      </c>
      <c r="H1624" s="3"/>
      <c r="I1624" s="3"/>
    </row>
    <row r="1625" spans="1:9">
      <c r="A1625" s="270">
        <v>44833</v>
      </c>
      <c r="B1625" s="267"/>
      <c r="C1625" s="267" t="s">
        <v>150</v>
      </c>
      <c r="D1625" s="3" t="s">
        <v>1080</v>
      </c>
      <c r="E1625" s="1497">
        <v>441</v>
      </c>
      <c r="F1625" s="1497"/>
      <c r="G1625" s="267" t="s">
        <v>27</v>
      </c>
      <c r="H1625" s="3"/>
      <c r="I1625" s="3"/>
    </row>
    <row r="1626" spans="1:9">
      <c r="A1626" s="270">
        <v>44833</v>
      </c>
      <c r="B1626" s="267"/>
      <c r="C1626" s="267" t="s">
        <v>150</v>
      </c>
      <c r="D1626" s="3" t="s">
        <v>309</v>
      </c>
      <c r="E1626" s="1497">
        <v>63</v>
      </c>
      <c r="F1626" s="1497"/>
      <c r="G1626" s="267" t="s">
        <v>27</v>
      </c>
      <c r="H1626" s="3"/>
      <c r="I1626" s="3"/>
    </row>
    <row r="1627" spans="1:9">
      <c r="A1627" s="270">
        <v>44833</v>
      </c>
      <c r="B1627" s="267"/>
      <c r="C1627" s="267" t="s">
        <v>730</v>
      </c>
      <c r="D1627" s="3" t="s">
        <v>1081</v>
      </c>
      <c r="E1627" s="1497">
        <v>10000</v>
      </c>
      <c r="F1627" s="1497"/>
      <c r="G1627" s="267" t="s">
        <v>56</v>
      </c>
      <c r="H1627" s="3"/>
      <c r="I1627" s="3"/>
    </row>
    <row r="1628" spans="1:9">
      <c r="A1628" s="270">
        <v>44833</v>
      </c>
      <c r="B1628" s="267"/>
      <c r="C1628" s="267" t="s">
        <v>730</v>
      </c>
      <c r="D1628" s="3" t="s">
        <v>1081</v>
      </c>
      <c r="E1628" s="1497">
        <v>10570</v>
      </c>
      <c r="F1628" s="1497"/>
      <c r="G1628" s="267" t="s">
        <v>206</v>
      </c>
      <c r="H1628" s="3" t="s">
        <v>1083</v>
      </c>
      <c r="I1628" s="3"/>
    </row>
    <row r="1629" spans="1:9">
      <c r="A1629" s="270">
        <v>44833</v>
      </c>
      <c r="B1629" s="267"/>
      <c r="C1629" s="267" t="s">
        <v>730</v>
      </c>
      <c r="D1629" s="3" t="s">
        <v>1082</v>
      </c>
      <c r="E1629" s="1497">
        <v>6600</v>
      </c>
      <c r="F1629" s="1497"/>
      <c r="G1629" s="267" t="s">
        <v>206</v>
      </c>
      <c r="H1629" s="3"/>
      <c r="I1629" s="3"/>
    </row>
    <row r="1630" spans="1:9">
      <c r="A1630" s="270">
        <v>44833</v>
      </c>
      <c r="B1630" s="267"/>
      <c r="C1630" s="267" t="s">
        <v>77</v>
      </c>
      <c r="D1630" s="3" t="s">
        <v>1036</v>
      </c>
      <c r="E1630" s="1497"/>
      <c r="F1630" s="1497">
        <v>30900</v>
      </c>
      <c r="G1630" s="267" t="s">
        <v>27</v>
      </c>
      <c r="H1630" s="3"/>
      <c r="I1630" s="3"/>
    </row>
    <row r="1631" spans="1:9">
      <c r="A1631" s="270">
        <v>44833</v>
      </c>
      <c r="B1631" s="267"/>
      <c r="C1631" s="267" t="s">
        <v>29</v>
      </c>
      <c r="D1631" s="3" t="s">
        <v>1084</v>
      </c>
      <c r="E1631" s="1497">
        <v>8691.3799999999992</v>
      </c>
      <c r="F1631" s="1497"/>
      <c r="G1631" s="267" t="s">
        <v>27</v>
      </c>
      <c r="H1631" s="3"/>
      <c r="I1631" s="3"/>
    </row>
    <row r="1632" spans="1:9">
      <c r="A1632" s="270">
        <v>44833</v>
      </c>
      <c r="B1632" s="267"/>
      <c r="C1632" s="267" t="s">
        <v>29</v>
      </c>
      <c r="D1632" s="3" t="s">
        <v>42</v>
      </c>
      <c r="E1632" s="1497">
        <v>5000</v>
      </c>
      <c r="F1632" s="1497"/>
      <c r="G1632" s="267" t="s">
        <v>27</v>
      </c>
      <c r="H1632" s="3"/>
      <c r="I1632" s="3"/>
    </row>
    <row r="1633" spans="1:9">
      <c r="A1633" s="270">
        <v>44833</v>
      </c>
      <c r="B1633" s="267"/>
      <c r="C1633" s="267" t="s">
        <v>29</v>
      </c>
      <c r="D1633" s="3" t="s">
        <v>1085</v>
      </c>
      <c r="E1633" s="1497">
        <v>550</v>
      </c>
      <c r="F1633" s="1497"/>
      <c r="G1633" s="267" t="s">
        <v>56</v>
      </c>
      <c r="H1633" s="3"/>
      <c r="I1633" s="3"/>
    </row>
    <row r="1634" spans="1:9">
      <c r="A1634" s="270">
        <v>44833</v>
      </c>
      <c r="B1634" s="267"/>
      <c r="C1634" s="267" t="s">
        <v>29</v>
      </c>
      <c r="D1634" s="3" t="s">
        <v>1086</v>
      </c>
      <c r="E1634" s="1497">
        <v>4057.93</v>
      </c>
      <c r="F1634" s="1497"/>
      <c r="G1634" s="267" t="s">
        <v>27</v>
      </c>
      <c r="H1634" s="3"/>
      <c r="I1634" s="3"/>
    </row>
    <row r="1635" spans="1:9">
      <c r="A1635" s="270">
        <v>44833</v>
      </c>
      <c r="B1635" s="267"/>
      <c r="C1635" s="267" t="s">
        <v>176</v>
      </c>
      <c r="D1635" s="3" t="s">
        <v>175</v>
      </c>
      <c r="E1635" s="1497">
        <v>30000</v>
      </c>
      <c r="F1635" s="1497"/>
      <c r="G1635" s="267" t="s">
        <v>56</v>
      </c>
      <c r="H1635" s="3"/>
      <c r="I1635" s="3"/>
    </row>
    <row r="1636" spans="1:9">
      <c r="A1636" s="270">
        <v>44833</v>
      </c>
      <c r="B1636" s="267"/>
      <c r="C1636" s="267" t="s">
        <v>88</v>
      </c>
      <c r="D1636" s="3" t="s">
        <v>144</v>
      </c>
      <c r="E1636" s="1497">
        <v>26000</v>
      </c>
      <c r="F1636" s="1497"/>
      <c r="G1636" s="267" t="s">
        <v>56</v>
      </c>
      <c r="H1636" s="3"/>
      <c r="I1636" s="3"/>
    </row>
    <row r="1637" spans="1:9">
      <c r="A1637" s="270">
        <v>44834</v>
      </c>
      <c r="B1637" s="267"/>
      <c r="C1637" s="267" t="s">
        <v>86</v>
      </c>
      <c r="D1637" s="3" t="s">
        <v>104</v>
      </c>
      <c r="E1637" s="1497">
        <v>4000</v>
      </c>
      <c r="F1637" s="1497"/>
      <c r="G1637" s="267" t="s">
        <v>56</v>
      </c>
      <c r="H1637" s="3" t="s">
        <v>1092</v>
      </c>
      <c r="I1637" s="3"/>
    </row>
    <row r="1638" spans="1:9">
      <c r="A1638" s="270">
        <v>44834</v>
      </c>
      <c r="B1638" s="267"/>
      <c r="C1638" s="267" t="s">
        <v>92</v>
      </c>
      <c r="D1638" s="15" t="s">
        <v>1087</v>
      </c>
      <c r="E1638" s="1497"/>
      <c r="F1638" s="1497">
        <v>3850</v>
      </c>
      <c r="G1638" s="267" t="s">
        <v>56</v>
      </c>
      <c r="H1638" s="3"/>
      <c r="I1638" s="3"/>
    </row>
    <row r="1639" spans="1:9">
      <c r="A1639" s="270">
        <v>44834</v>
      </c>
      <c r="B1639" s="267"/>
      <c r="C1639" s="267" t="s">
        <v>537</v>
      </c>
      <c r="D1639" s="3" t="s">
        <v>824</v>
      </c>
      <c r="E1639" s="1497">
        <v>15000</v>
      </c>
      <c r="F1639" s="1497"/>
      <c r="G1639" s="267" t="s">
        <v>56</v>
      </c>
      <c r="H1639" s="3"/>
      <c r="I1639" s="3"/>
    </row>
    <row r="1640" spans="1:9">
      <c r="A1640" s="270">
        <v>44834</v>
      </c>
      <c r="B1640" s="267"/>
      <c r="C1640" s="267" t="s">
        <v>537</v>
      </c>
      <c r="D1640" s="3" t="s">
        <v>208</v>
      </c>
      <c r="E1640" s="1497">
        <v>6200</v>
      </c>
      <c r="F1640" s="1497"/>
      <c r="G1640" s="267" t="s">
        <v>56</v>
      </c>
      <c r="H1640" s="3"/>
      <c r="I1640" s="3"/>
    </row>
    <row r="1641" spans="1:9">
      <c r="A1641" s="270">
        <v>44834</v>
      </c>
      <c r="B1641" s="267"/>
      <c r="C1641" s="267" t="s">
        <v>537</v>
      </c>
      <c r="D1641" s="3" t="s">
        <v>219</v>
      </c>
      <c r="E1641" s="1497">
        <v>19000</v>
      </c>
      <c r="F1641" s="1497"/>
      <c r="G1641" s="267" t="s">
        <v>56</v>
      </c>
      <c r="H1641" s="3"/>
      <c r="I1641" s="3"/>
    </row>
    <row r="1642" spans="1:9">
      <c r="A1642" s="270">
        <v>44834</v>
      </c>
      <c r="B1642" s="267"/>
      <c r="C1642" s="267"/>
      <c r="D1642" s="3" t="s">
        <v>1094</v>
      </c>
      <c r="E1642" s="1497"/>
      <c r="F1642" s="1497">
        <v>15990</v>
      </c>
      <c r="G1642" s="267" t="s">
        <v>27</v>
      </c>
      <c r="H1642" s="3"/>
      <c r="I1642" s="3"/>
    </row>
    <row r="1643" spans="1:9">
      <c r="A1643" s="148"/>
      <c r="B1643" s="244"/>
      <c r="C1643" s="244"/>
      <c r="D1643" s="115"/>
      <c r="E1643" s="1497"/>
      <c r="F1643" s="1497"/>
      <c r="G1643" s="244"/>
      <c r="H1643" s="146"/>
      <c r="I1643" s="115"/>
    </row>
    <row r="1644" spans="1:9">
      <c r="H1644" s="141" t="s">
        <v>1090</v>
      </c>
    </row>
    <row r="1645" spans="1:9">
      <c r="H1645" s="136" t="s">
        <v>1068</v>
      </c>
    </row>
    <row r="1646" spans="1:9">
      <c r="H1646" s="137" t="s">
        <v>1093</v>
      </c>
    </row>
    <row r="1647" spans="1:9">
      <c r="H1647" s="138" t="s">
        <v>1088</v>
      </c>
    </row>
    <row r="1648" spans="1:9">
      <c r="H1648" s="138" t="s">
        <v>937</v>
      </c>
    </row>
    <row r="1649" spans="1:9">
      <c r="H1649" s="138" t="s">
        <v>1016</v>
      </c>
    </row>
    <row r="1650" spans="1:9">
      <c r="H1650" s="139" t="s">
        <v>1071</v>
      </c>
    </row>
    <row r="1651" spans="1:9" ht="15.75" thickBot="1">
      <c r="H1651" s="140" t="s">
        <v>1089</v>
      </c>
    </row>
    <row r="1652" spans="1:9" ht="15.75" thickBot="1">
      <c r="A1652" s="249" t="s">
        <v>1091</v>
      </c>
      <c r="B1652" s="250"/>
      <c r="C1652" s="250"/>
      <c r="D1652" s="250"/>
      <c r="E1652" s="1495"/>
      <c r="F1652" s="1495"/>
      <c r="G1652" s="250"/>
      <c r="H1652" s="250"/>
      <c r="I1652" s="251"/>
    </row>
    <row r="1653" spans="1:9">
      <c r="A1653" s="244"/>
      <c r="B1653" s="244"/>
      <c r="C1653" s="244"/>
      <c r="D1653" s="244"/>
      <c r="E1653" s="1492"/>
      <c r="F1653" s="1492"/>
      <c r="G1653" s="244"/>
      <c r="H1653" s="244"/>
      <c r="I1653" s="244"/>
    </row>
    <row r="1654" spans="1:9">
      <c r="A1654" s="13">
        <v>44837</v>
      </c>
      <c r="B1654" s="12"/>
      <c r="C1654" s="12" t="s">
        <v>831</v>
      </c>
      <c r="D1654" s="89" t="s">
        <v>1108</v>
      </c>
      <c r="E1654" s="12">
        <v>2250</v>
      </c>
      <c r="F1654" s="12"/>
      <c r="G1654" s="12" t="s">
        <v>56</v>
      </c>
      <c r="H1654" s="145" t="s">
        <v>1102</v>
      </c>
    </row>
    <row r="1655" spans="1:9">
      <c r="A1655" s="13">
        <v>44837</v>
      </c>
      <c r="B1655" s="12"/>
      <c r="C1655" s="12" t="s">
        <v>79</v>
      </c>
      <c r="D1655" s="89" t="s">
        <v>79</v>
      </c>
      <c r="E1655" s="12">
        <v>1500</v>
      </c>
      <c r="F1655" s="12"/>
      <c r="G1655" s="12" t="s">
        <v>56</v>
      </c>
      <c r="H1655" s="89"/>
    </row>
    <row r="1656" spans="1:9">
      <c r="A1656" s="270">
        <v>44837</v>
      </c>
      <c r="B1656" s="267"/>
      <c r="C1656" s="267" t="s">
        <v>1098</v>
      </c>
      <c r="D1656" s="3" t="s">
        <v>63</v>
      </c>
      <c r="E1656" s="1497">
        <v>5000</v>
      </c>
      <c r="F1656" s="1497"/>
      <c r="G1656" s="267" t="s">
        <v>56</v>
      </c>
      <c r="H1656" s="3"/>
    </row>
    <row r="1657" spans="1:9">
      <c r="A1657" s="270">
        <v>44837</v>
      </c>
      <c r="B1657" s="267"/>
      <c r="C1657" s="267" t="s">
        <v>77</v>
      </c>
      <c r="D1657" s="3" t="s">
        <v>1095</v>
      </c>
      <c r="E1657" s="1497"/>
      <c r="F1657" s="1497">
        <v>100000</v>
      </c>
      <c r="G1657" s="267" t="s">
        <v>56</v>
      </c>
      <c r="H1657" s="3"/>
    </row>
    <row r="1658" spans="1:9">
      <c r="A1658" s="270">
        <v>44837</v>
      </c>
      <c r="B1658" s="267"/>
      <c r="C1658" s="267" t="s">
        <v>77</v>
      </c>
      <c r="D1658" s="3" t="s">
        <v>1096</v>
      </c>
      <c r="E1658" s="1497"/>
      <c r="F1658" s="1497">
        <v>700000</v>
      </c>
      <c r="G1658" s="267" t="s">
        <v>27</v>
      </c>
      <c r="H1658" s="3" t="s">
        <v>1097</v>
      </c>
    </row>
    <row r="1659" spans="1:9">
      <c r="A1659" s="270">
        <v>44837</v>
      </c>
      <c r="B1659" s="267"/>
      <c r="C1659" s="267" t="s">
        <v>77</v>
      </c>
      <c r="D1659" s="3" t="s">
        <v>1096</v>
      </c>
      <c r="E1659" s="1497"/>
      <c r="F1659" s="1497">
        <v>100000</v>
      </c>
      <c r="G1659" s="267" t="s">
        <v>56</v>
      </c>
      <c r="H1659" s="3"/>
    </row>
    <row r="1660" spans="1:9">
      <c r="A1660" s="270">
        <v>44837</v>
      </c>
      <c r="B1660" s="267"/>
      <c r="C1660" s="267" t="s">
        <v>79</v>
      </c>
      <c r="D1660" s="3" t="s">
        <v>1002</v>
      </c>
      <c r="E1660" s="1497">
        <v>6750</v>
      </c>
      <c r="F1660" s="1497"/>
      <c r="G1660" s="267" t="s">
        <v>27</v>
      </c>
      <c r="H1660" s="3"/>
    </row>
    <row r="1661" spans="1:9">
      <c r="A1661" s="270">
        <v>44837</v>
      </c>
      <c r="B1661" s="267"/>
      <c r="C1661" s="267" t="s">
        <v>62</v>
      </c>
      <c r="D1661" s="3" t="s">
        <v>63</v>
      </c>
      <c r="E1661" s="1497">
        <v>942.25</v>
      </c>
      <c r="F1661" s="1497"/>
      <c r="G1661" s="267" t="s">
        <v>56</v>
      </c>
      <c r="H1661" s="3"/>
    </row>
    <row r="1662" spans="1:9">
      <c r="A1662" s="270">
        <v>44838</v>
      </c>
      <c r="B1662" s="267"/>
      <c r="C1662" s="267" t="s">
        <v>65</v>
      </c>
      <c r="D1662" s="3" t="s">
        <v>661</v>
      </c>
      <c r="E1662" s="1497">
        <v>1530</v>
      </c>
      <c r="F1662" s="1497"/>
      <c r="G1662" s="267" t="s">
        <v>27</v>
      </c>
      <c r="H1662" s="3"/>
    </row>
    <row r="1663" spans="1:9">
      <c r="A1663" s="270">
        <v>44838</v>
      </c>
      <c r="B1663" s="267"/>
      <c r="C1663" s="267" t="s">
        <v>65</v>
      </c>
      <c r="D1663" s="3" t="s">
        <v>662</v>
      </c>
      <c r="E1663" s="1497">
        <v>1530</v>
      </c>
      <c r="F1663" s="1497"/>
      <c r="G1663" s="267" t="s">
        <v>27</v>
      </c>
      <c r="H1663" s="3"/>
    </row>
    <row r="1664" spans="1:9">
      <c r="A1664" s="270">
        <v>44838</v>
      </c>
      <c r="B1664" s="267"/>
      <c r="C1664" s="267" t="s">
        <v>79</v>
      </c>
      <c r="D1664" s="3" t="s">
        <v>663</v>
      </c>
      <c r="E1664" s="1497" t="s">
        <v>1104</v>
      </c>
      <c r="F1664" s="1497"/>
      <c r="G1664" s="267" t="s">
        <v>27</v>
      </c>
      <c r="H1664" s="3"/>
    </row>
    <row r="1665" spans="1:8">
      <c r="A1665" s="270">
        <v>44838</v>
      </c>
      <c r="B1665" s="267"/>
      <c r="C1665" s="267" t="s">
        <v>79</v>
      </c>
      <c r="D1665" s="3" t="s">
        <v>663</v>
      </c>
      <c r="E1665" s="1497">
        <v>667</v>
      </c>
      <c r="F1665" s="1497"/>
      <c r="G1665" s="267" t="s">
        <v>27</v>
      </c>
      <c r="H1665" s="3"/>
    </row>
    <row r="1666" spans="1:8">
      <c r="A1666" s="270">
        <v>44838</v>
      </c>
      <c r="B1666" s="267"/>
      <c r="C1666" s="267" t="s">
        <v>55</v>
      </c>
      <c r="D1666" s="3" t="s">
        <v>60</v>
      </c>
      <c r="E1666" s="1497">
        <v>990</v>
      </c>
      <c r="F1666" s="1497"/>
      <c r="G1666" s="267" t="s">
        <v>56</v>
      </c>
      <c r="H1666" s="3"/>
    </row>
    <row r="1667" spans="1:8">
      <c r="A1667" s="270">
        <v>44838</v>
      </c>
      <c r="B1667" s="267"/>
      <c r="C1667" s="267" t="s">
        <v>55</v>
      </c>
      <c r="D1667" s="3" t="s">
        <v>1099</v>
      </c>
      <c r="E1667" s="1497">
        <v>1200</v>
      </c>
      <c r="F1667" s="1497"/>
      <c r="G1667" s="267" t="s">
        <v>56</v>
      </c>
      <c r="H1667" s="3"/>
    </row>
    <row r="1668" spans="1:8">
      <c r="A1668" s="270">
        <v>44838</v>
      </c>
      <c r="B1668" s="267"/>
      <c r="C1668" s="267" t="s">
        <v>94</v>
      </c>
      <c r="D1668" s="3" t="s">
        <v>1100</v>
      </c>
      <c r="E1668" s="1497">
        <v>1488.68</v>
      </c>
      <c r="F1668" s="1497"/>
      <c r="G1668" s="267" t="s">
        <v>27</v>
      </c>
      <c r="H1668" s="3"/>
    </row>
    <row r="1669" spans="1:8">
      <c r="A1669" s="270">
        <v>44838</v>
      </c>
      <c r="B1669" s="267"/>
      <c r="C1669" s="267" t="s">
        <v>1098</v>
      </c>
      <c r="D1669" s="3" t="s">
        <v>1101</v>
      </c>
      <c r="E1669" s="1497">
        <v>63600</v>
      </c>
      <c r="F1669" s="1497"/>
      <c r="G1669" s="267" t="s">
        <v>27</v>
      </c>
      <c r="H1669" s="3"/>
    </row>
    <row r="1670" spans="1:8">
      <c r="A1670" s="13">
        <v>44838</v>
      </c>
      <c r="B1670" s="12"/>
      <c r="C1670" s="12" t="s">
        <v>86</v>
      </c>
      <c r="D1670" s="89" t="s">
        <v>1109</v>
      </c>
      <c r="E1670" s="12">
        <v>4000</v>
      </c>
      <c r="F1670" s="12"/>
      <c r="G1670" s="12" t="s">
        <v>56</v>
      </c>
      <c r="H1670" s="89" t="s">
        <v>1102</v>
      </c>
    </row>
    <row r="1671" spans="1:8">
      <c r="A1671" s="13">
        <v>44838</v>
      </c>
      <c r="B1671" s="12"/>
      <c r="C1671" s="12" t="s">
        <v>831</v>
      </c>
      <c r="D1671" s="89" t="s">
        <v>1110</v>
      </c>
      <c r="E1671" s="12">
        <v>2600</v>
      </c>
      <c r="F1671" s="12"/>
      <c r="G1671" s="12" t="s">
        <v>56</v>
      </c>
      <c r="H1671" s="89"/>
    </row>
    <row r="1672" spans="1:8">
      <c r="A1672" s="13">
        <v>44838</v>
      </c>
      <c r="B1672" s="12"/>
      <c r="C1672" s="12" t="s">
        <v>79</v>
      </c>
      <c r="D1672" s="89" t="s">
        <v>151</v>
      </c>
      <c r="E1672" s="12">
        <v>1000</v>
      </c>
      <c r="F1672" s="12"/>
      <c r="G1672" s="12" t="s">
        <v>56</v>
      </c>
      <c r="H1672" s="113"/>
    </row>
    <row r="1673" spans="1:8">
      <c r="A1673" s="270">
        <v>44838</v>
      </c>
      <c r="B1673" s="267"/>
      <c r="C1673" s="267" t="s">
        <v>55</v>
      </c>
      <c r="D1673" s="3" t="s">
        <v>63</v>
      </c>
      <c r="E1673" s="1497">
        <v>200</v>
      </c>
      <c r="F1673" s="1497"/>
      <c r="G1673" s="267" t="s">
        <v>56</v>
      </c>
      <c r="H1673" s="3"/>
    </row>
    <row r="1674" spans="1:8">
      <c r="A1674" s="13">
        <v>44839</v>
      </c>
      <c r="B1674" s="12"/>
      <c r="C1674" s="12" t="s">
        <v>77</v>
      </c>
      <c r="D1674" s="89" t="s">
        <v>1036</v>
      </c>
      <c r="E1674" s="12"/>
      <c r="F1674" s="1497">
        <v>30900</v>
      </c>
      <c r="G1674" s="12" t="s">
        <v>27</v>
      </c>
      <c r="H1674" s="89"/>
    </row>
    <row r="1675" spans="1:8">
      <c r="A1675" s="270">
        <v>44839</v>
      </c>
      <c r="B1675" s="267"/>
      <c r="C1675" s="267" t="s">
        <v>55</v>
      </c>
      <c r="D1675" s="3" t="s">
        <v>1105</v>
      </c>
      <c r="E1675" s="1497">
        <v>2000</v>
      </c>
      <c r="F1675" s="1497"/>
      <c r="G1675" s="267" t="s">
        <v>56</v>
      </c>
      <c r="H1675" s="3"/>
    </row>
    <row r="1676" spans="1:8">
      <c r="A1676" s="270">
        <v>44839</v>
      </c>
      <c r="B1676" s="267"/>
      <c r="C1676" s="267" t="s">
        <v>77</v>
      </c>
      <c r="D1676" s="3" t="s">
        <v>1107</v>
      </c>
      <c r="E1676" s="1497"/>
      <c r="F1676" s="1497">
        <v>40000</v>
      </c>
      <c r="G1676" s="267" t="s">
        <v>72</v>
      </c>
      <c r="H1676" s="3" t="s">
        <v>1106</v>
      </c>
    </row>
    <row r="1677" spans="1:8">
      <c r="A1677" s="270">
        <v>44839</v>
      </c>
      <c r="B1677" s="267"/>
      <c r="C1677" s="267" t="s">
        <v>77</v>
      </c>
      <c r="D1677" s="3" t="s">
        <v>1107</v>
      </c>
      <c r="E1677" s="1497"/>
      <c r="F1677" s="1497">
        <v>3700</v>
      </c>
      <c r="G1677" s="267" t="s">
        <v>56</v>
      </c>
      <c r="H1677" s="3"/>
    </row>
    <row r="1678" spans="1:8">
      <c r="A1678" s="270">
        <v>44839</v>
      </c>
      <c r="B1678" s="267"/>
      <c r="C1678" s="267" t="s">
        <v>79</v>
      </c>
      <c r="D1678" s="3" t="s">
        <v>151</v>
      </c>
      <c r="E1678" s="1497">
        <v>10593.27</v>
      </c>
      <c r="F1678" s="1497"/>
      <c r="G1678" s="267" t="s">
        <v>27</v>
      </c>
      <c r="H1678" s="3"/>
    </row>
    <row r="1679" spans="1:8">
      <c r="A1679" s="270">
        <v>44840</v>
      </c>
      <c r="B1679" s="267"/>
      <c r="C1679" s="267" t="s">
        <v>79</v>
      </c>
      <c r="D1679" s="3" t="s">
        <v>151</v>
      </c>
      <c r="E1679" s="1497">
        <v>1000</v>
      </c>
      <c r="F1679" s="1497"/>
      <c r="G1679" s="267" t="s">
        <v>56</v>
      </c>
      <c r="H1679" s="3"/>
    </row>
    <row r="1680" spans="1:8">
      <c r="A1680" s="270">
        <v>44840</v>
      </c>
      <c r="B1680" s="267"/>
      <c r="C1680" s="267" t="s">
        <v>55</v>
      </c>
      <c r="D1680" s="3" t="s">
        <v>320</v>
      </c>
      <c r="E1680" s="1497">
        <v>200</v>
      </c>
      <c r="F1680" s="1497"/>
      <c r="G1680" s="267" t="s">
        <v>56</v>
      </c>
      <c r="H1680" s="3"/>
    </row>
    <row r="1681" spans="1:8">
      <c r="A1681" s="270">
        <v>44840</v>
      </c>
      <c r="B1681" s="267"/>
      <c r="C1681" s="267" t="s">
        <v>205</v>
      </c>
      <c r="D1681" s="3" t="s">
        <v>1111</v>
      </c>
      <c r="E1681" s="1497">
        <v>7200</v>
      </c>
      <c r="F1681" s="1497"/>
      <c r="G1681" s="267" t="s">
        <v>56</v>
      </c>
      <c r="H1681" s="3"/>
    </row>
    <row r="1682" spans="1:8">
      <c r="A1682" s="270">
        <v>44840</v>
      </c>
      <c r="B1682" s="267"/>
      <c r="C1682" s="267" t="s">
        <v>205</v>
      </c>
      <c r="D1682" s="3" t="s">
        <v>1112</v>
      </c>
      <c r="E1682" s="1497">
        <v>5000</v>
      </c>
      <c r="F1682" s="1497"/>
      <c r="G1682" s="267" t="s">
        <v>56</v>
      </c>
      <c r="H1682" s="3" t="s">
        <v>1114</v>
      </c>
    </row>
    <row r="1683" spans="1:8">
      <c r="A1683" s="270">
        <v>44840</v>
      </c>
      <c r="B1683" s="267"/>
      <c r="C1683" s="267" t="s">
        <v>756</v>
      </c>
      <c r="D1683" s="3" t="s">
        <v>1113</v>
      </c>
      <c r="E1683" s="1497">
        <v>600</v>
      </c>
      <c r="F1683" s="1497"/>
      <c r="G1683" s="267" t="s">
        <v>56</v>
      </c>
      <c r="H1683" s="3"/>
    </row>
    <row r="1684" spans="1:8">
      <c r="A1684" s="270">
        <v>44840</v>
      </c>
      <c r="B1684" s="267"/>
      <c r="C1684" s="267" t="s">
        <v>55</v>
      </c>
      <c r="D1684" s="3" t="s">
        <v>38</v>
      </c>
      <c r="E1684" s="1497">
        <v>250</v>
      </c>
      <c r="F1684" s="1497"/>
      <c r="G1684" s="267" t="s">
        <v>56</v>
      </c>
      <c r="H1684" s="3"/>
    </row>
    <row r="1685" spans="1:8">
      <c r="A1685" s="270">
        <v>44840</v>
      </c>
      <c r="B1685" s="267"/>
      <c r="C1685" s="267" t="s">
        <v>94</v>
      </c>
      <c r="D1685" s="3" t="s">
        <v>1115</v>
      </c>
      <c r="E1685" s="1497">
        <v>12731.89</v>
      </c>
      <c r="F1685" s="1497"/>
      <c r="G1685" s="267" t="s">
        <v>27</v>
      </c>
      <c r="H1685" s="3"/>
    </row>
    <row r="1686" spans="1:8">
      <c r="A1686" s="270">
        <v>44840</v>
      </c>
      <c r="B1686" s="267"/>
      <c r="C1686" s="267" t="s">
        <v>79</v>
      </c>
      <c r="D1686" s="3" t="s">
        <v>151</v>
      </c>
      <c r="E1686" s="1497">
        <v>5897.87</v>
      </c>
      <c r="F1686" s="1497"/>
      <c r="G1686" s="267" t="s">
        <v>27</v>
      </c>
      <c r="H1686" s="3"/>
    </row>
    <row r="1687" spans="1:8">
      <c r="A1687" s="270">
        <v>44840</v>
      </c>
      <c r="B1687" s="267"/>
      <c r="C1687" s="267" t="s">
        <v>77</v>
      </c>
      <c r="D1687" s="3" t="s">
        <v>1116</v>
      </c>
      <c r="E1687" s="1497"/>
      <c r="F1687" s="1497">
        <v>112400</v>
      </c>
      <c r="G1687" s="267" t="s">
        <v>56</v>
      </c>
      <c r="H1687" s="3"/>
    </row>
    <row r="1688" spans="1:8">
      <c r="A1688" s="13">
        <v>44840</v>
      </c>
      <c r="B1688" s="12"/>
      <c r="C1688" s="12" t="s">
        <v>86</v>
      </c>
      <c r="D1688" s="89" t="s">
        <v>104</v>
      </c>
      <c r="E1688" s="12">
        <v>3000</v>
      </c>
      <c r="F1688" s="12"/>
      <c r="G1688" s="12" t="s">
        <v>56</v>
      </c>
      <c r="H1688" s="3" t="s">
        <v>1102</v>
      </c>
    </row>
    <row r="1689" spans="1:8">
      <c r="A1689" s="270">
        <v>44840</v>
      </c>
      <c r="B1689" s="267"/>
      <c r="C1689" s="267" t="s">
        <v>88</v>
      </c>
      <c r="D1689" s="3" t="s">
        <v>259</v>
      </c>
      <c r="E1689" s="1497">
        <v>25000</v>
      </c>
      <c r="F1689" s="1497"/>
      <c r="G1689" s="267" t="s">
        <v>56</v>
      </c>
      <c r="H1689" s="3"/>
    </row>
    <row r="1690" spans="1:8">
      <c r="A1690" s="270">
        <v>44840</v>
      </c>
      <c r="B1690" s="267"/>
      <c r="C1690" s="267" t="s">
        <v>88</v>
      </c>
      <c r="D1690" s="3" t="s">
        <v>364</v>
      </c>
      <c r="E1690" s="1497">
        <v>18000</v>
      </c>
      <c r="F1690" s="1497"/>
      <c r="G1690" s="267" t="s">
        <v>56</v>
      </c>
      <c r="H1690" s="3"/>
    </row>
    <row r="1691" spans="1:8">
      <c r="A1691" s="270">
        <v>44840</v>
      </c>
      <c r="B1691" s="267"/>
      <c r="C1691" s="267" t="s">
        <v>88</v>
      </c>
      <c r="D1691" s="3" t="s">
        <v>220</v>
      </c>
      <c r="E1691" s="1497">
        <v>20000</v>
      </c>
      <c r="F1691" s="1497"/>
      <c r="G1691" s="267" t="s">
        <v>56</v>
      </c>
      <c r="H1691" s="3"/>
    </row>
    <row r="1692" spans="1:8">
      <c r="A1692" s="119">
        <v>44840</v>
      </c>
      <c r="B1692" s="57"/>
      <c r="C1692" s="57" t="s">
        <v>88</v>
      </c>
      <c r="D1692" s="85" t="s">
        <v>750</v>
      </c>
      <c r="E1692" s="57">
        <v>27500</v>
      </c>
      <c r="F1692" s="57"/>
      <c r="G1692" s="57" t="s">
        <v>56</v>
      </c>
      <c r="H1692" s="85"/>
    </row>
    <row r="1693" spans="1:8">
      <c r="A1693" s="270">
        <v>44840</v>
      </c>
      <c r="B1693" s="267"/>
      <c r="C1693" s="57" t="s">
        <v>88</v>
      </c>
      <c r="D1693" s="3" t="s">
        <v>259</v>
      </c>
      <c r="E1693" s="1497">
        <v>15000</v>
      </c>
      <c r="F1693" s="1497"/>
      <c r="G1693" s="267" t="s">
        <v>56</v>
      </c>
      <c r="H1693" s="3"/>
    </row>
    <row r="1694" spans="1:8" ht="15.75" thickBot="1">
      <c r="A1694" s="270">
        <v>44840</v>
      </c>
      <c r="B1694" s="267"/>
      <c r="C1694" s="267" t="s">
        <v>92</v>
      </c>
      <c r="D1694" s="3" t="s">
        <v>1103</v>
      </c>
      <c r="E1694" s="57">
        <v>29100</v>
      </c>
      <c r="F1694" s="57"/>
      <c r="G1694" s="267" t="s">
        <v>27</v>
      </c>
      <c r="H1694" s="3"/>
    </row>
    <row r="1695" spans="1:8">
      <c r="A1695" s="62"/>
      <c r="B1695" s="62"/>
      <c r="C1695" s="62"/>
      <c r="D1695" s="5"/>
      <c r="E1695" s="1498">
        <f>SUM(E1654:E1694)</f>
        <v>278320.95999999996</v>
      </c>
      <c r="F1695" s="1498">
        <f>SUM(F1654:F1694)</f>
        <v>1087000</v>
      </c>
      <c r="G1695" s="144"/>
      <c r="H1695" s="149" t="s">
        <v>1118</v>
      </c>
    </row>
    <row r="1696" spans="1:8">
      <c r="A1696" s="267"/>
      <c r="B1696" s="267"/>
      <c r="C1696" s="267"/>
      <c r="D1696" s="3"/>
      <c r="E1696" s="1497"/>
      <c r="F1696" s="1497"/>
      <c r="G1696" s="226"/>
      <c r="H1696" s="136" t="s">
        <v>1117</v>
      </c>
    </row>
    <row r="1697" spans="1:8">
      <c r="H1697" s="137" t="s">
        <v>1121</v>
      </c>
    </row>
    <row r="1698" spans="1:8">
      <c r="H1698" s="138" t="s">
        <v>1122</v>
      </c>
    </row>
    <row r="1699" spans="1:8">
      <c r="H1699" s="138" t="s">
        <v>1119</v>
      </c>
    </row>
    <row r="1700" spans="1:8">
      <c r="H1700" s="138" t="s">
        <v>1016</v>
      </c>
    </row>
    <row r="1701" spans="1:8">
      <c r="H1701" s="138" t="s">
        <v>1120</v>
      </c>
    </row>
    <row r="1702" spans="1:8" ht="15.75" thickBot="1">
      <c r="H1702" s="147" t="s">
        <v>1089</v>
      </c>
    </row>
    <row r="1703" spans="1:8">
      <c r="A1703" s="270">
        <v>44842</v>
      </c>
      <c r="B1703" s="267"/>
      <c r="C1703" s="267" t="s">
        <v>308</v>
      </c>
      <c r="D1703" s="3" t="s">
        <v>1123</v>
      </c>
      <c r="E1703" s="1497">
        <v>16000</v>
      </c>
      <c r="F1703" s="1497"/>
      <c r="G1703" s="267" t="s">
        <v>27</v>
      </c>
      <c r="H1703" s="5"/>
    </row>
    <row r="1704" spans="1:8">
      <c r="A1704" s="270">
        <v>44845</v>
      </c>
      <c r="B1704" s="267"/>
      <c r="C1704" s="267" t="s">
        <v>79</v>
      </c>
      <c r="D1704" s="3" t="s">
        <v>918</v>
      </c>
      <c r="E1704" s="1497">
        <v>9375.5</v>
      </c>
      <c r="F1704" s="1497"/>
      <c r="G1704" s="267" t="s">
        <v>27</v>
      </c>
      <c r="H1704" s="3"/>
    </row>
    <row r="1705" spans="1:8">
      <c r="A1705" s="270">
        <v>44845</v>
      </c>
      <c r="B1705" s="267"/>
      <c r="C1705" s="267" t="s">
        <v>79</v>
      </c>
      <c r="D1705" s="3" t="s">
        <v>918</v>
      </c>
      <c r="E1705" s="1497">
        <v>6092</v>
      </c>
      <c r="F1705" s="1497"/>
      <c r="G1705" s="267" t="s">
        <v>27</v>
      </c>
      <c r="H1705" s="3"/>
    </row>
    <row r="1706" spans="1:8">
      <c r="A1706" s="270">
        <v>44845</v>
      </c>
      <c r="B1706" s="267"/>
      <c r="C1706" s="267" t="s">
        <v>79</v>
      </c>
      <c r="D1706" s="3" t="s">
        <v>1124</v>
      </c>
      <c r="E1706" s="1497">
        <v>9549</v>
      </c>
      <c r="F1706" s="1497"/>
      <c r="G1706" s="267" t="s">
        <v>27</v>
      </c>
      <c r="H1706" s="3"/>
    </row>
    <row r="1707" spans="1:8" ht="15.75" thickBot="1">
      <c r="A1707" s="270">
        <v>44845</v>
      </c>
      <c r="B1707" s="267"/>
      <c r="C1707" s="267" t="s">
        <v>79</v>
      </c>
      <c r="D1707" s="3" t="s">
        <v>1124</v>
      </c>
      <c r="E1707" s="1497">
        <v>14569</v>
      </c>
      <c r="F1707" s="1497"/>
      <c r="G1707" s="267" t="s">
        <v>27</v>
      </c>
      <c r="H1707" s="85"/>
    </row>
    <row r="1708" spans="1:8" ht="15.75" thickBot="1">
      <c r="A1708" s="270">
        <v>44845</v>
      </c>
      <c r="B1708" s="267"/>
      <c r="C1708" s="267" t="s">
        <v>79</v>
      </c>
      <c r="D1708" s="3" t="s">
        <v>1124</v>
      </c>
      <c r="E1708" s="1497">
        <v>8600</v>
      </c>
      <c r="F1708" s="1497"/>
      <c r="G1708" s="226" t="s">
        <v>27</v>
      </c>
      <c r="H1708" s="150">
        <f>SUM(E1704:E1708)</f>
        <v>48185.5</v>
      </c>
    </row>
    <row r="1709" spans="1:8">
      <c r="A1709" s="270">
        <v>44115</v>
      </c>
      <c r="B1709" s="267"/>
      <c r="C1709" s="267" t="s">
        <v>79</v>
      </c>
      <c r="D1709" s="3" t="s">
        <v>277</v>
      </c>
      <c r="E1709" s="1497">
        <v>10000</v>
      </c>
      <c r="F1709" s="1497"/>
      <c r="G1709" s="267" t="s">
        <v>56</v>
      </c>
      <c r="H1709" s="5"/>
    </row>
    <row r="1710" spans="1:8">
      <c r="A1710" s="270">
        <v>44845</v>
      </c>
      <c r="B1710" s="267"/>
      <c r="C1710" s="267" t="s">
        <v>831</v>
      </c>
      <c r="D1710" s="3" t="s">
        <v>1108</v>
      </c>
      <c r="E1710" s="1497">
        <v>2800</v>
      </c>
      <c r="F1710" s="1497"/>
      <c r="G1710" s="267" t="s">
        <v>56</v>
      </c>
      <c r="H1710" s="3" t="s">
        <v>1102</v>
      </c>
    </row>
    <row r="1711" spans="1:8">
      <c r="A1711" s="270">
        <v>44845</v>
      </c>
      <c r="B1711" s="267"/>
      <c r="C1711" s="267" t="s">
        <v>86</v>
      </c>
      <c r="D1711" s="3" t="s">
        <v>104</v>
      </c>
      <c r="E1711" s="1497">
        <v>3000</v>
      </c>
      <c r="F1711" s="1497"/>
      <c r="G1711" s="267" t="s">
        <v>56</v>
      </c>
      <c r="H1711" s="3" t="s">
        <v>1102</v>
      </c>
    </row>
    <row r="1712" spans="1:8">
      <c r="A1712" s="270">
        <v>44845</v>
      </c>
      <c r="B1712" s="267"/>
      <c r="C1712" s="267" t="s">
        <v>92</v>
      </c>
      <c r="D1712" s="3" t="s">
        <v>1126</v>
      </c>
      <c r="E1712" s="1497"/>
      <c r="F1712" s="1497">
        <v>13800</v>
      </c>
      <c r="G1712" s="267" t="s">
        <v>56</v>
      </c>
      <c r="H1712" s="3"/>
    </row>
    <row r="1713" spans="1:8">
      <c r="A1713" s="270">
        <v>44845</v>
      </c>
      <c r="B1713" s="267"/>
      <c r="C1713" s="267" t="s">
        <v>55</v>
      </c>
      <c r="D1713" s="3" t="s">
        <v>472</v>
      </c>
      <c r="E1713" s="1497">
        <v>4590</v>
      </c>
      <c r="F1713" s="1497"/>
      <c r="G1713" s="267" t="s">
        <v>27</v>
      </c>
      <c r="H1713" s="3"/>
    </row>
    <row r="1714" spans="1:8">
      <c r="A1714" s="270">
        <v>44845</v>
      </c>
      <c r="B1714" s="267"/>
      <c r="C1714" s="267" t="s">
        <v>79</v>
      </c>
      <c r="D1714" s="15" t="s">
        <v>554</v>
      </c>
      <c r="E1714" s="1497">
        <v>10000</v>
      </c>
      <c r="F1714" s="1497"/>
      <c r="G1714" s="267" t="s">
        <v>56</v>
      </c>
      <c r="H1714" s="3"/>
    </row>
    <row r="1715" spans="1:8">
      <c r="A1715" s="270">
        <v>44845</v>
      </c>
      <c r="B1715" s="267"/>
      <c r="C1715" s="267" t="s">
        <v>79</v>
      </c>
      <c r="D1715" s="15" t="s">
        <v>78</v>
      </c>
      <c r="E1715" s="1497">
        <v>1700</v>
      </c>
      <c r="F1715" s="1497"/>
      <c r="G1715" s="267" t="s">
        <v>56</v>
      </c>
      <c r="H1715" s="3"/>
    </row>
    <row r="1716" spans="1:8">
      <c r="A1716" s="270">
        <v>44845</v>
      </c>
      <c r="B1716" s="267"/>
      <c r="C1716" s="267" t="s">
        <v>86</v>
      </c>
      <c r="D1716" s="3" t="s">
        <v>107</v>
      </c>
      <c r="E1716" s="1497">
        <v>3000</v>
      </c>
      <c r="F1716" s="1497"/>
      <c r="G1716" s="267" t="s">
        <v>27</v>
      </c>
      <c r="H1716" s="3"/>
    </row>
    <row r="1717" spans="1:8">
      <c r="A1717" s="270">
        <v>44845</v>
      </c>
      <c r="B1717" s="267"/>
      <c r="C1717" s="267" t="s">
        <v>185</v>
      </c>
      <c r="D1717" s="3" t="s">
        <v>1128</v>
      </c>
      <c r="E1717" s="1497" t="s">
        <v>1127</v>
      </c>
      <c r="F1717" s="1497"/>
      <c r="G1717" s="267" t="s">
        <v>27</v>
      </c>
      <c r="H1717" s="3"/>
    </row>
    <row r="1718" spans="1:8">
      <c r="A1718" s="270">
        <v>44845</v>
      </c>
      <c r="B1718" s="267"/>
      <c r="C1718" s="267" t="s">
        <v>97</v>
      </c>
      <c r="D1718" s="3" t="s">
        <v>1129</v>
      </c>
      <c r="E1718" s="1497">
        <v>5000</v>
      </c>
      <c r="F1718" s="1497"/>
      <c r="G1718" s="267" t="s">
        <v>27</v>
      </c>
      <c r="H1718" s="3"/>
    </row>
    <row r="1719" spans="1:8">
      <c r="A1719" s="270">
        <v>44846</v>
      </c>
      <c r="B1719" s="267"/>
      <c r="C1719" s="267" t="s">
        <v>94</v>
      </c>
      <c r="D1719" s="3" t="s">
        <v>1130</v>
      </c>
      <c r="E1719" s="1497">
        <v>7063.29</v>
      </c>
      <c r="F1719" s="1497"/>
      <c r="G1719" s="267" t="s">
        <v>27</v>
      </c>
      <c r="H1719" s="3"/>
    </row>
    <row r="1720" spans="1:8">
      <c r="A1720" s="270">
        <v>44846</v>
      </c>
      <c r="B1720" s="267"/>
      <c r="C1720" s="267" t="s">
        <v>92</v>
      </c>
      <c r="D1720" s="3" t="s">
        <v>1131</v>
      </c>
      <c r="E1720" s="1497"/>
      <c r="F1720" s="1497">
        <v>43320</v>
      </c>
      <c r="G1720" s="267" t="s">
        <v>72</v>
      </c>
      <c r="H1720" s="3" t="s">
        <v>1132</v>
      </c>
    </row>
    <row r="1721" spans="1:8" ht="51.75" customHeight="1">
      <c r="A1721" s="151">
        <v>44846</v>
      </c>
      <c r="B1721" s="47"/>
      <c r="C1721" s="47" t="s">
        <v>205</v>
      </c>
      <c r="D1721" s="152" t="s">
        <v>12</v>
      </c>
      <c r="E1721" s="47">
        <v>100000</v>
      </c>
      <c r="F1721" s="47"/>
      <c r="G1721" s="47" t="s">
        <v>72</v>
      </c>
      <c r="H1721" s="48" t="s">
        <v>1133</v>
      </c>
    </row>
    <row r="1722" spans="1:8">
      <c r="A1722" s="270">
        <v>44846</v>
      </c>
      <c r="B1722" s="267"/>
      <c r="C1722" s="267" t="s">
        <v>92</v>
      </c>
      <c r="D1722" s="15" t="s">
        <v>1135</v>
      </c>
      <c r="E1722" s="1497"/>
      <c r="F1722" s="1497">
        <v>15023.74</v>
      </c>
      <c r="G1722" s="267" t="s">
        <v>72</v>
      </c>
      <c r="H1722" s="3" t="s">
        <v>1134</v>
      </c>
    </row>
    <row r="1723" spans="1:8">
      <c r="A1723" s="270">
        <v>44846</v>
      </c>
      <c r="B1723" s="267"/>
      <c r="C1723" s="267" t="s">
        <v>92</v>
      </c>
      <c r="D1723" s="15" t="s">
        <v>1135</v>
      </c>
      <c r="E1723" s="1497"/>
      <c r="F1723" s="1497">
        <v>50300</v>
      </c>
      <c r="G1723" s="267" t="s">
        <v>56</v>
      </c>
      <c r="H1723" s="3"/>
    </row>
    <row r="1724" spans="1:8">
      <c r="A1724" s="270">
        <v>44846</v>
      </c>
      <c r="B1724" s="267"/>
      <c r="C1724" s="267" t="s">
        <v>90</v>
      </c>
      <c r="D1724" s="3" t="s">
        <v>453</v>
      </c>
      <c r="E1724" s="1497">
        <v>1950</v>
      </c>
      <c r="F1724" s="1497"/>
      <c r="G1724" s="267" t="s">
        <v>56</v>
      </c>
      <c r="H1724" s="3"/>
    </row>
    <row r="1725" spans="1:8" ht="30">
      <c r="A1725" s="116">
        <v>44846</v>
      </c>
      <c r="B1725" s="51"/>
      <c r="C1725" s="51" t="s">
        <v>65</v>
      </c>
      <c r="D1725" s="52" t="s">
        <v>1137</v>
      </c>
      <c r="E1725" s="51">
        <v>15000</v>
      </c>
      <c r="F1725" s="51"/>
      <c r="G1725" s="51" t="s">
        <v>56</v>
      </c>
      <c r="H1725" s="48" t="s">
        <v>1136</v>
      </c>
    </row>
    <row r="1726" spans="1:8">
      <c r="A1726" s="270">
        <v>44846</v>
      </c>
      <c r="B1726" s="267"/>
      <c r="C1726" s="267" t="s">
        <v>65</v>
      </c>
      <c r="D1726" s="3" t="s">
        <v>1137</v>
      </c>
      <c r="E1726" s="1497">
        <v>50023.74</v>
      </c>
      <c r="F1726" s="1497"/>
      <c r="G1726" s="267" t="s">
        <v>72</v>
      </c>
      <c r="H1726" s="3" t="s">
        <v>1138</v>
      </c>
    </row>
    <row r="1727" spans="1:8">
      <c r="A1727" s="13">
        <v>44846</v>
      </c>
      <c r="B1727" s="12"/>
      <c r="C1727" s="12" t="s">
        <v>55</v>
      </c>
      <c r="D1727" s="89" t="s">
        <v>1108</v>
      </c>
      <c r="E1727" s="12">
        <v>2700</v>
      </c>
      <c r="F1727" s="12"/>
      <c r="G1727" s="12" t="s">
        <v>56</v>
      </c>
      <c r="H1727" s="3"/>
    </row>
    <row r="1728" spans="1:8">
      <c r="A1728" s="13">
        <v>44846</v>
      </c>
      <c r="B1728" s="12"/>
      <c r="C1728" s="12" t="s">
        <v>86</v>
      </c>
      <c r="D1728" s="89" t="s">
        <v>1141</v>
      </c>
      <c r="E1728" s="12">
        <v>3000</v>
      </c>
      <c r="F1728" s="12"/>
      <c r="G1728" s="12" t="s">
        <v>56</v>
      </c>
      <c r="H1728" s="3"/>
    </row>
    <row r="1729" spans="1:8">
      <c r="A1729" s="270">
        <v>44846</v>
      </c>
      <c r="B1729" s="267"/>
      <c r="C1729" s="267" t="s">
        <v>55</v>
      </c>
      <c r="D1729" s="3" t="s">
        <v>1140</v>
      </c>
      <c r="E1729" s="1497">
        <v>3000</v>
      </c>
      <c r="F1729" s="1497"/>
      <c r="G1729" s="267" t="s">
        <v>56</v>
      </c>
      <c r="H1729" s="3"/>
    </row>
    <row r="1730" spans="1:8" ht="15.75" thickBot="1">
      <c r="A1730" s="270">
        <v>44846</v>
      </c>
      <c r="B1730" s="267"/>
      <c r="C1730" s="267" t="s">
        <v>86</v>
      </c>
      <c r="D1730" s="15" t="s">
        <v>1139</v>
      </c>
      <c r="E1730" s="1497">
        <v>5000</v>
      </c>
      <c r="F1730" s="1497"/>
      <c r="G1730" s="267" t="s">
        <v>56</v>
      </c>
      <c r="H1730" s="85"/>
    </row>
    <row r="1731" spans="1:8" ht="15.75" thickBot="1">
      <c r="A1731" s="270">
        <v>44846</v>
      </c>
      <c r="B1731" s="267"/>
      <c r="C1731" s="267" t="s">
        <v>156</v>
      </c>
      <c r="D1731" s="3" t="s">
        <v>1142</v>
      </c>
      <c r="E1731" s="1497">
        <v>10922.37</v>
      </c>
      <c r="F1731" s="1497"/>
      <c r="G1731" s="226" t="s">
        <v>56</v>
      </c>
      <c r="H1731" s="153" t="s">
        <v>1157</v>
      </c>
    </row>
    <row r="1732" spans="1:8">
      <c r="A1732" s="270">
        <v>44846</v>
      </c>
      <c r="B1732" s="267"/>
      <c r="C1732" s="267" t="s">
        <v>156</v>
      </c>
      <c r="D1732" s="3" t="s">
        <v>1142</v>
      </c>
      <c r="E1732" s="1497">
        <v>10</v>
      </c>
      <c r="F1732" s="1497"/>
      <c r="G1732" s="267" t="s">
        <v>56</v>
      </c>
      <c r="H1732" s="5"/>
    </row>
    <row r="1733" spans="1:8">
      <c r="A1733" s="270">
        <v>44847</v>
      </c>
      <c r="B1733" s="267"/>
      <c r="C1733" s="267" t="s">
        <v>205</v>
      </c>
      <c r="D1733" s="3" t="s">
        <v>432</v>
      </c>
      <c r="E1733" s="1497">
        <v>115852</v>
      </c>
      <c r="F1733" s="1497"/>
      <c r="G1733" s="267" t="s">
        <v>27</v>
      </c>
      <c r="H1733" s="3" t="s">
        <v>1143</v>
      </c>
    </row>
    <row r="1734" spans="1:8">
      <c r="A1734" s="270">
        <v>44847</v>
      </c>
      <c r="B1734" s="267"/>
      <c r="C1734" s="267" t="s">
        <v>1148</v>
      </c>
      <c r="D1734" s="3" t="s">
        <v>43</v>
      </c>
      <c r="E1734" s="1497">
        <v>13007</v>
      </c>
      <c r="F1734" s="1497"/>
      <c r="G1734" s="267" t="s">
        <v>27</v>
      </c>
      <c r="H1734" s="3"/>
    </row>
    <row r="1735" spans="1:8">
      <c r="A1735" s="270">
        <v>44847</v>
      </c>
      <c r="B1735" s="267"/>
      <c r="C1735" s="267" t="s">
        <v>871</v>
      </c>
      <c r="D1735" s="3" t="s">
        <v>1145</v>
      </c>
      <c r="E1735" s="1497"/>
      <c r="F1735" s="1497">
        <v>86100</v>
      </c>
      <c r="G1735" s="267" t="s">
        <v>781</v>
      </c>
      <c r="H1735" s="3" t="s">
        <v>1144</v>
      </c>
    </row>
    <row r="1736" spans="1:8">
      <c r="A1736" s="270">
        <v>44847</v>
      </c>
      <c r="B1736" s="267"/>
      <c r="C1736" s="267" t="s">
        <v>205</v>
      </c>
      <c r="D1736" s="15" t="s">
        <v>1146</v>
      </c>
      <c r="E1736" s="1497">
        <v>120000</v>
      </c>
      <c r="F1736" s="1497"/>
      <c r="G1736" s="267" t="s">
        <v>27</v>
      </c>
      <c r="H1736" s="15" t="s">
        <v>1166</v>
      </c>
    </row>
    <row r="1737" spans="1:8">
      <c r="A1737" s="270">
        <v>44847</v>
      </c>
      <c r="B1737" s="267"/>
      <c r="C1737" s="267" t="s">
        <v>433</v>
      </c>
      <c r="D1737" s="15" t="s">
        <v>319</v>
      </c>
      <c r="E1737" s="1497"/>
      <c r="F1737" s="1497">
        <v>66100</v>
      </c>
      <c r="G1737" s="267" t="s">
        <v>27</v>
      </c>
      <c r="H1737" s="3"/>
    </row>
    <row r="1738" spans="1:8">
      <c r="A1738" s="270">
        <v>44847</v>
      </c>
      <c r="B1738" s="267"/>
      <c r="C1738" s="267" t="s">
        <v>79</v>
      </c>
      <c r="D1738" s="15" t="s">
        <v>653</v>
      </c>
      <c r="E1738" s="1497" t="s">
        <v>1147</v>
      </c>
      <c r="F1738" s="1497"/>
      <c r="G1738" s="267" t="s">
        <v>27</v>
      </c>
      <c r="H1738" s="3"/>
    </row>
    <row r="1739" spans="1:8">
      <c r="A1739" s="270">
        <v>44847</v>
      </c>
      <c r="B1739" s="267"/>
      <c r="C1739" s="267" t="s">
        <v>55</v>
      </c>
      <c r="D1739" s="3" t="s">
        <v>1149</v>
      </c>
      <c r="E1739" s="1497">
        <v>1200</v>
      </c>
      <c r="F1739" s="1497"/>
      <c r="G1739" s="267" t="s">
        <v>56</v>
      </c>
      <c r="H1739" s="3"/>
    </row>
    <row r="1740" spans="1:8">
      <c r="A1740" s="270">
        <v>44847</v>
      </c>
      <c r="B1740" s="267"/>
      <c r="C1740" s="267" t="s">
        <v>77</v>
      </c>
      <c r="D1740" s="3" t="s">
        <v>1150</v>
      </c>
      <c r="E1740" s="1497"/>
      <c r="F1740" s="1497">
        <v>22000</v>
      </c>
      <c r="G1740" s="267" t="s">
        <v>27</v>
      </c>
      <c r="H1740" s="3" t="s">
        <v>1151</v>
      </c>
    </row>
    <row r="1741" spans="1:8">
      <c r="A1741" s="270">
        <v>44847</v>
      </c>
      <c r="B1741" s="267"/>
      <c r="C1741" s="267" t="s">
        <v>308</v>
      </c>
      <c r="D1741" s="3" t="s">
        <v>1123</v>
      </c>
      <c r="E1741" s="1497">
        <v>18900</v>
      </c>
      <c r="F1741" s="1497"/>
      <c r="G1741" s="267" t="s">
        <v>27</v>
      </c>
      <c r="H1741" s="3"/>
    </row>
    <row r="1742" spans="1:8">
      <c r="A1742" s="270">
        <v>44847</v>
      </c>
      <c r="B1742" s="267"/>
      <c r="C1742" s="267" t="s">
        <v>65</v>
      </c>
      <c r="D1742" s="3" t="s">
        <v>1152</v>
      </c>
      <c r="E1742" s="1497">
        <v>3000</v>
      </c>
      <c r="F1742" s="1497"/>
      <c r="G1742" s="267" t="s">
        <v>56</v>
      </c>
      <c r="H1742" s="3"/>
    </row>
    <row r="1743" spans="1:8">
      <c r="A1743" s="270">
        <v>44848</v>
      </c>
      <c r="B1743" s="267"/>
      <c r="C1743" s="267" t="s">
        <v>205</v>
      </c>
      <c r="D1743" s="3" t="s">
        <v>246</v>
      </c>
      <c r="E1743" s="1497">
        <v>9151.24</v>
      </c>
      <c r="F1743" s="1497"/>
      <c r="G1743" s="267" t="s">
        <v>27</v>
      </c>
      <c r="H1743" s="3"/>
    </row>
    <row r="1744" spans="1:8">
      <c r="A1744" s="270">
        <v>44848</v>
      </c>
      <c r="B1744" s="267"/>
      <c r="C1744" s="267" t="s">
        <v>205</v>
      </c>
      <c r="D1744" s="3" t="s">
        <v>1153</v>
      </c>
      <c r="E1744" s="1497">
        <v>3500</v>
      </c>
      <c r="F1744" s="1497"/>
      <c r="G1744" s="267" t="s">
        <v>56</v>
      </c>
      <c r="H1744" s="3" t="s">
        <v>1154</v>
      </c>
    </row>
    <row r="1745" spans="1:8">
      <c r="A1745" s="270">
        <v>44848</v>
      </c>
      <c r="B1745" s="267"/>
      <c r="C1745" s="267" t="s">
        <v>77</v>
      </c>
      <c r="D1745" s="3" t="s">
        <v>1107</v>
      </c>
      <c r="E1745" s="1497"/>
      <c r="F1745" s="1497">
        <v>131025</v>
      </c>
      <c r="G1745" s="267" t="s">
        <v>287</v>
      </c>
      <c r="H1745" s="3" t="s">
        <v>1160</v>
      </c>
    </row>
    <row r="1746" spans="1:8">
      <c r="A1746" s="270">
        <v>44848</v>
      </c>
      <c r="B1746" s="267"/>
      <c r="C1746" s="267" t="s">
        <v>88</v>
      </c>
      <c r="D1746" s="3" t="s">
        <v>219</v>
      </c>
      <c r="E1746" s="1497">
        <v>29150</v>
      </c>
      <c r="F1746" s="1497"/>
      <c r="G1746" s="267" t="s">
        <v>56</v>
      </c>
      <c r="H1746" s="3"/>
    </row>
    <row r="1747" spans="1:8">
      <c r="A1747" s="270">
        <v>44848</v>
      </c>
      <c r="B1747" s="267"/>
      <c r="C1747" s="267" t="s">
        <v>88</v>
      </c>
      <c r="D1747" s="3" t="s">
        <v>208</v>
      </c>
      <c r="E1747" s="1497">
        <v>21200</v>
      </c>
      <c r="F1747" s="1497"/>
      <c r="G1747" s="267" t="s">
        <v>56</v>
      </c>
      <c r="H1747" s="3"/>
    </row>
    <row r="1748" spans="1:8">
      <c r="A1748" s="270">
        <v>44848</v>
      </c>
      <c r="B1748" s="267"/>
      <c r="C1748" s="267" t="s">
        <v>88</v>
      </c>
      <c r="D1748" s="15" t="s">
        <v>824</v>
      </c>
      <c r="E1748" s="1497">
        <v>18000</v>
      </c>
      <c r="F1748" s="1497"/>
      <c r="G1748" s="267" t="s">
        <v>56</v>
      </c>
      <c r="H1748" s="3"/>
    </row>
    <row r="1749" spans="1:8" ht="15.75" thickBot="1">
      <c r="A1749" s="270">
        <v>44848</v>
      </c>
      <c r="B1749" s="267"/>
      <c r="C1749" s="267" t="s">
        <v>88</v>
      </c>
      <c r="D1749" s="3" t="s">
        <v>144</v>
      </c>
      <c r="E1749" s="1497">
        <v>16000</v>
      </c>
      <c r="F1749" s="1497"/>
      <c r="G1749" s="267" t="s">
        <v>27</v>
      </c>
      <c r="H1749" s="85"/>
    </row>
    <row r="1750" spans="1:8">
      <c r="A1750" s="270">
        <v>44848</v>
      </c>
      <c r="B1750" s="267"/>
      <c r="C1750" s="267" t="s">
        <v>88</v>
      </c>
      <c r="D1750" s="3" t="s">
        <v>144</v>
      </c>
      <c r="E1750" s="1497">
        <v>14000</v>
      </c>
      <c r="F1750" s="1497"/>
      <c r="G1750" s="226" t="s">
        <v>27</v>
      </c>
      <c r="H1750" s="154" t="s">
        <v>88</v>
      </c>
    </row>
    <row r="1751" spans="1:8" ht="15.75" thickBot="1">
      <c r="A1751" s="270">
        <v>44848</v>
      </c>
      <c r="B1751" s="267"/>
      <c r="C1751" s="267" t="s">
        <v>88</v>
      </c>
      <c r="D1751" s="3" t="s">
        <v>144</v>
      </c>
      <c r="E1751" s="1497">
        <v>10000</v>
      </c>
      <c r="F1751" s="1497"/>
      <c r="G1751" s="226" t="s">
        <v>56</v>
      </c>
      <c r="H1751" s="155" t="s">
        <v>1164</v>
      </c>
    </row>
    <row r="1752" spans="1:8">
      <c r="A1752" s="267"/>
      <c r="B1752" s="267"/>
      <c r="C1752" s="267"/>
      <c r="D1752" s="3"/>
      <c r="E1752" s="1497"/>
      <c r="F1752" s="1497"/>
      <c r="G1752" s="267"/>
      <c r="H1752" s="141" t="s">
        <v>1161</v>
      </c>
    </row>
    <row r="1753" spans="1:8">
      <c r="A1753" s="267"/>
      <c r="B1753" s="267"/>
      <c r="C1753" s="267"/>
      <c r="D1753" s="3"/>
      <c r="E1753" s="1497"/>
      <c r="F1753" s="1497"/>
      <c r="G1753" s="267"/>
      <c r="H1753" s="136" t="s">
        <v>1162</v>
      </c>
    </row>
    <row r="1754" spans="1:8">
      <c r="H1754" s="137" t="s">
        <v>1156</v>
      </c>
    </row>
    <row r="1755" spans="1:8">
      <c r="H1755" s="138" t="s">
        <v>1163</v>
      </c>
    </row>
    <row r="1756" spans="1:8">
      <c r="H1756" s="138" t="s">
        <v>1155</v>
      </c>
    </row>
    <row r="1757" spans="1:8">
      <c r="H1757" s="138" t="s">
        <v>1158</v>
      </c>
    </row>
    <row r="1758" spans="1:8">
      <c r="H1758" s="138" t="s">
        <v>1159</v>
      </c>
    </row>
    <row r="1759" spans="1:8">
      <c r="H1759" s="139" t="s">
        <v>1165</v>
      </c>
    </row>
    <row r="1760" spans="1:8">
      <c r="A1760" s="270">
        <v>44849</v>
      </c>
      <c r="B1760" s="267"/>
      <c r="C1760" s="267" t="s">
        <v>55</v>
      </c>
      <c r="D1760" s="3" t="s">
        <v>38</v>
      </c>
      <c r="E1760" s="1497">
        <v>550</v>
      </c>
      <c r="F1760" s="1497"/>
      <c r="G1760" s="267" t="s">
        <v>56</v>
      </c>
      <c r="H1760" s="3"/>
    </row>
    <row r="1761" spans="1:8">
      <c r="A1761" s="270">
        <v>44849</v>
      </c>
      <c r="B1761" s="267"/>
      <c r="C1761" s="267" t="s">
        <v>55</v>
      </c>
      <c r="D1761" s="3" t="s">
        <v>38</v>
      </c>
      <c r="E1761" s="1497">
        <v>1050</v>
      </c>
      <c r="F1761" s="1497"/>
      <c r="G1761" s="267" t="s">
        <v>56</v>
      </c>
      <c r="H1761" s="3"/>
    </row>
    <row r="1762" spans="1:8">
      <c r="A1762" s="112">
        <v>44851</v>
      </c>
      <c r="B1762" s="70"/>
      <c r="C1762" s="70"/>
      <c r="D1762" s="113" t="s">
        <v>1170</v>
      </c>
      <c r="E1762" s="70">
        <v>100000</v>
      </c>
      <c r="F1762" s="70"/>
      <c r="G1762" s="70" t="s">
        <v>56</v>
      </c>
      <c r="H1762" s="113" t="s">
        <v>614</v>
      </c>
    </row>
    <row r="1763" spans="1:8">
      <c r="A1763" s="270">
        <v>44851</v>
      </c>
      <c r="B1763" s="267"/>
      <c r="C1763" s="267" t="s">
        <v>55</v>
      </c>
      <c r="D1763" s="3" t="s">
        <v>980</v>
      </c>
      <c r="E1763" s="1497"/>
      <c r="F1763" s="1497">
        <v>152100</v>
      </c>
      <c r="G1763" s="267" t="s">
        <v>27</v>
      </c>
      <c r="H1763" s="3"/>
    </row>
    <row r="1764" spans="1:8">
      <c r="A1764" s="270">
        <v>44851</v>
      </c>
      <c r="B1764" s="267"/>
      <c r="C1764" s="267" t="s">
        <v>86</v>
      </c>
      <c r="D1764" s="3" t="s">
        <v>107</v>
      </c>
      <c r="E1764" s="1497">
        <v>4000</v>
      </c>
      <c r="F1764" s="1497"/>
      <c r="G1764" s="267" t="s">
        <v>27</v>
      </c>
      <c r="H1764" s="3"/>
    </row>
    <row r="1765" spans="1:8">
      <c r="A1765" s="270">
        <v>44851</v>
      </c>
      <c r="B1765" s="267"/>
      <c r="C1765" s="267" t="s">
        <v>205</v>
      </c>
      <c r="D1765" s="3" t="s">
        <v>71</v>
      </c>
      <c r="E1765" s="1497">
        <v>28000</v>
      </c>
      <c r="F1765" s="1497"/>
      <c r="G1765" s="267" t="s">
        <v>27</v>
      </c>
      <c r="H1765" s="3"/>
    </row>
    <row r="1766" spans="1:8">
      <c r="A1766" s="270">
        <v>44851</v>
      </c>
      <c r="B1766" s="267"/>
      <c r="C1766" s="267" t="s">
        <v>730</v>
      </c>
      <c r="D1766" s="3" t="s">
        <v>1167</v>
      </c>
      <c r="E1766" s="1497">
        <v>20570</v>
      </c>
      <c r="F1766" s="1497"/>
      <c r="G1766" s="267" t="s">
        <v>287</v>
      </c>
      <c r="H1766" s="45" t="s">
        <v>1168</v>
      </c>
    </row>
    <row r="1767" spans="1:8">
      <c r="A1767" s="270">
        <v>44851</v>
      </c>
      <c r="B1767" s="267"/>
      <c r="C1767" s="267" t="s">
        <v>62</v>
      </c>
      <c r="D1767" s="3" t="s">
        <v>63</v>
      </c>
      <c r="E1767" s="1497">
        <v>6910.47</v>
      </c>
      <c r="F1767" s="1497"/>
      <c r="G1767" s="267" t="s">
        <v>27</v>
      </c>
      <c r="H1767" s="3" t="s">
        <v>1169</v>
      </c>
    </row>
    <row r="1768" spans="1:8">
      <c r="A1768" s="270">
        <v>44852</v>
      </c>
      <c r="B1768" s="267"/>
      <c r="C1768" s="267" t="s">
        <v>55</v>
      </c>
      <c r="D1768" s="3" t="s">
        <v>1063</v>
      </c>
      <c r="E1768" s="1497">
        <v>2040</v>
      </c>
      <c r="F1768" s="1497"/>
      <c r="G1768" s="267" t="s">
        <v>27</v>
      </c>
      <c r="H1768" s="3" t="s">
        <v>811</v>
      </c>
    </row>
    <row r="1769" spans="1:8">
      <c r="A1769" s="270">
        <v>44852</v>
      </c>
      <c r="B1769" s="267"/>
      <c r="C1769" s="267" t="s">
        <v>55</v>
      </c>
      <c r="D1769" s="3" t="s">
        <v>63</v>
      </c>
      <c r="E1769" s="1497">
        <v>250</v>
      </c>
      <c r="F1769" s="1497"/>
      <c r="G1769" s="267" t="s">
        <v>56</v>
      </c>
      <c r="H1769" s="3" t="s">
        <v>811</v>
      </c>
    </row>
    <row r="1770" spans="1:8">
      <c r="A1770" s="270">
        <v>44852</v>
      </c>
      <c r="B1770" s="267"/>
      <c r="C1770" s="267" t="s">
        <v>55</v>
      </c>
      <c r="D1770" s="3" t="s">
        <v>1171</v>
      </c>
      <c r="E1770" s="1497">
        <v>4800</v>
      </c>
      <c r="F1770" s="1497"/>
      <c r="G1770" s="267" t="s">
        <v>27</v>
      </c>
      <c r="H1770" s="3"/>
    </row>
    <row r="1771" spans="1:8">
      <c r="A1771" s="270">
        <v>44852</v>
      </c>
      <c r="B1771" s="267"/>
      <c r="C1771" s="267" t="s">
        <v>92</v>
      </c>
      <c r="D1771" s="3" t="s">
        <v>1172</v>
      </c>
      <c r="E1771" s="1497"/>
      <c r="F1771" s="1497">
        <v>3500</v>
      </c>
      <c r="G1771" s="267" t="s">
        <v>56</v>
      </c>
      <c r="H1771" s="3"/>
    </row>
    <row r="1772" spans="1:8">
      <c r="A1772" s="270">
        <v>44852</v>
      </c>
      <c r="B1772" s="267"/>
      <c r="C1772" s="267" t="s">
        <v>86</v>
      </c>
      <c r="D1772" s="3" t="s">
        <v>534</v>
      </c>
      <c r="E1772" s="1497">
        <v>7602.89</v>
      </c>
      <c r="F1772" s="1497"/>
      <c r="G1772" s="267" t="s">
        <v>27</v>
      </c>
      <c r="H1772" s="45" t="s">
        <v>811</v>
      </c>
    </row>
    <row r="1773" spans="1:8">
      <c r="A1773" s="270">
        <v>44852</v>
      </c>
      <c r="B1773" s="267"/>
      <c r="C1773" s="267" t="s">
        <v>92</v>
      </c>
      <c r="D1773" s="3" t="s">
        <v>1173</v>
      </c>
      <c r="E1773" s="1497"/>
      <c r="F1773" s="1497">
        <v>51800</v>
      </c>
      <c r="G1773" s="267" t="s">
        <v>56</v>
      </c>
      <c r="H1773" s="3"/>
    </row>
    <row r="1774" spans="1:8">
      <c r="A1774" s="13">
        <v>44853</v>
      </c>
      <c r="B1774" s="12"/>
      <c r="C1774" s="12" t="s">
        <v>831</v>
      </c>
      <c r="D1774" s="89" t="s">
        <v>1179</v>
      </c>
      <c r="E1774" s="12">
        <v>4350</v>
      </c>
      <c r="F1774" s="12"/>
      <c r="G1774" s="12" t="s">
        <v>56</v>
      </c>
      <c r="H1774" s="3" t="s">
        <v>811</v>
      </c>
    </row>
    <row r="1775" spans="1:8">
      <c r="A1775" s="270">
        <v>44853</v>
      </c>
      <c r="B1775" s="267"/>
      <c r="C1775" s="267" t="s">
        <v>55</v>
      </c>
      <c r="D1775" s="3" t="s">
        <v>70</v>
      </c>
      <c r="E1775" s="1333">
        <v>418</v>
      </c>
      <c r="F1775" s="1497"/>
      <c r="G1775" s="267" t="s">
        <v>27</v>
      </c>
      <c r="H1775" s="3"/>
    </row>
    <row r="1776" spans="1:8">
      <c r="A1776" s="270">
        <v>44853</v>
      </c>
      <c r="B1776" s="267"/>
      <c r="C1776" s="267" t="s">
        <v>205</v>
      </c>
      <c r="D1776" s="3" t="s">
        <v>1101</v>
      </c>
      <c r="E1776" s="1497">
        <v>1745.16</v>
      </c>
      <c r="F1776" s="1497"/>
      <c r="G1776" s="267" t="s">
        <v>27</v>
      </c>
      <c r="H1776" s="3"/>
    </row>
    <row r="1777" spans="1:8">
      <c r="A1777" s="270">
        <v>44853</v>
      </c>
      <c r="B1777" s="267"/>
      <c r="C1777" s="267" t="s">
        <v>55</v>
      </c>
      <c r="D1777" s="3" t="s">
        <v>453</v>
      </c>
      <c r="E1777" s="1497">
        <v>1950</v>
      </c>
      <c r="F1777" s="1497"/>
      <c r="G1777" s="267" t="s">
        <v>56</v>
      </c>
      <c r="H1777" s="3"/>
    </row>
    <row r="1778" spans="1:8">
      <c r="A1778" s="270">
        <v>44853</v>
      </c>
      <c r="B1778" s="267"/>
      <c r="C1778" s="267" t="s">
        <v>205</v>
      </c>
      <c r="D1778" s="3" t="s">
        <v>1174</v>
      </c>
      <c r="E1778" s="1497">
        <v>500</v>
      </c>
      <c r="F1778" s="1497"/>
      <c r="G1778" s="267" t="s">
        <v>56</v>
      </c>
      <c r="H1778" s="45" t="s">
        <v>1175</v>
      </c>
    </row>
    <row r="1779" spans="1:8">
      <c r="A1779" s="270">
        <v>44853</v>
      </c>
      <c r="B1779" s="267"/>
      <c r="C1779" s="267" t="s">
        <v>1177</v>
      </c>
      <c r="D1779" s="3" t="s">
        <v>1176</v>
      </c>
      <c r="E1779" s="1497">
        <v>6000</v>
      </c>
      <c r="F1779" s="1497"/>
      <c r="G1779" s="267" t="s">
        <v>56</v>
      </c>
      <c r="H1779" s="3"/>
    </row>
    <row r="1780" spans="1:8">
      <c r="A1780" s="270">
        <v>44853</v>
      </c>
      <c r="B1780" s="267"/>
      <c r="C1780" s="267" t="s">
        <v>79</v>
      </c>
      <c r="D1780" s="15" t="s">
        <v>79</v>
      </c>
      <c r="E1780" s="1497">
        <v>4000</v>
      </c>
      <c r="F1780" s="1497"/>
      <c r="G1780" s="267" t="s">
        <v>56</v>
      </c>
      <c r="H1780" s="3"/>
    </row>
    <row r="1781" spans="1:8">
      <c r="A1781" s="270">
        <v>44853</v>
      </c>
      <c r="B1781" s="267"/>
      <c r="C1781" s="267" t="s">
        <v>205</v>
      </c>
      <c r="D1781" s="15" t="s">
        <v>190</v>
      </c>
      <c r="E1781" s="1497">
        <v>43675</v>
      </c>
      <c r="F1781" s="1497"/>
      <c r="G1781" s="267"/>
      <c r="H1781" s="3"/>
    </row>
    <row r="1782" spans="1:8">
      <c r="A1782" s="270">
        <v>44854</v>
      </c>
      <c r="B1782" s="267"/>
      <c r="C1782" s="267" t="s">
        <v>150</v>
      </c>
      <c r="D1782" s="3" t="s">
        <v>257</v>
      </c>
      <c r="E1782" s="1497" t="s">
        <v>1178</v>
      </c>
      <c r="F1782" s="1497"/>
      <c r="G1782" s="267" t="s">
        <v>27</v>
      </c>
      <c r="H1782" s="3"/>
    </row>
    <row r="1783" spans="1:8">
      <c r="A1783" s="270">
        <v>44854</v>
      </c>
      <c r="B1783" s="267"/>
      <c r="C1783" s="267" t="s">
        <v>831</v>
      </c>
      <c r="D1783" s="3" t="s">
        <v>1179</v>
      </c>
      <c r="E1783" s="1497">
        <v>4000</v>
      </c>
      <c r="F1783" s="1497"/>
      <c r="G1783" s="267" t="s">
        <v>56</v>
      </c>
      <c r="H1783" s="3" t="s">
        <v>1180</v>
      </c>
    </row>
    <row r="1784" spans="1:8">
      <c r="A1784" s="13">
        <v>44854</v>
      </c>
      <c r="B1784" s="12"/>
      <c r="C1784" s="12" t="s">
        <v>88</v>
      </c>
      <c r="D1784" s="89" t="s">
        <v>208</v>
      </c>
      <c r="E1784" s="12">
        <v>5000</v>
      </c>
      <c r="F1784" s="12"/>
      <c r="G1784" s="12" t="s">
        <v>56</v>
      </c>
      <c r="H1784" s="3"/>
    </row>
    <row r="1785" spans="1:8">
      <c r="A1785" s="270">
        <v>44854</v>
      </c>
      <c r="B1785" s="267"/>
      <c r="C1785" s="267" t="s">
        <v>308</v>
      </c>
      <c r="D1785" s="3" t="s">
        <v>232</v>
      </c>
      <c r="E1785" s="1497">
        <v>15000</v>
      </c>
      <c r="F1785" s="1497"/>
      <c r="G1785" s="267" t="s">
        <v>56</v>
      </c>
      <c r="H1785" s="3"/>
    </row>
    <row r="1786" spans="1:8">
      <c r="A1786" s="270">
        <v>44854</v>
      </c>
      <c r="B1786" s="267"/>
      <c r="C1786" s="267" t="s">
        <v>94</v>
      </c>
      <c r="D1786" s="3" t="s">
        <v>1181</v>
      </c>
      <c r="E1786" s="1497"/>
      <c r="F1786" s="1497">
        <v>6100</v>
      </c>
      <c r="G1786" s="267" t="s">
        <v>56</v>
      </c>
      <c r="H1786" s="3"/>
    </row>
    <row r="1787" spans="1:8">
      <c r="A1787" s="270">
        <v>44855</v>
      </c>
      <c r="B1787" s="267"/>
      <c r="C1787" s="267" t="s">
        <v>94</v>
      </c>
      <c r="D1787" s="3" t="s">
        <v>1183</v>
      </c>
      <c r="E1787" s="1497"/>
      <c r="F1787" s="1497">
        <v>35600</v>
      </c>
      <c r="G1787" s="267" t="s">
        <v>27</v>
      </c>
      <c r="H1787" s="3" t="s">
        <v>1182</v>
      </c>
    </row>
    <row r="1788" spans="1:8">
      <c r="A1788" s="270">
        <v>44855</v>
      </c>
      <c r="B1788" s="267"/>
      <c r="C1788" s="267" t="s">
        <v>730</v>
      </c>
      <c r="D1788" s="3" t="s">
        <v>1184</v>
      </c>
      <c r="E1788" s="1497">
        <v>5000</v>
      </c>
      <c r="F1788" s="1497"/>
      <c r="G1788" s="267" t="s">
        <v>27</v>
      </c>
      <c r="H1788" s="3"/>
    </row>
    <row r="1789" spans="1:8">
      <c r="A1789" s="270">
        <v>44855</v>
      </c>
      <c r="B1789" s="267"/>
      <c r="C1789" s="267" t="s">
        <v>730</v>
      </c>
      <c r="D1789" s="3" t="s">
        <v>1185</v>
      </c>
      <c r="E1789" s="1497">
        <v>3500</v>
      </c>
      <c r="F1789" s="1497"/>
      <c r="G1789" s="267" t="s">
        <v>27</v>
      </c>
      <c r="H1789" s="3"/>
    </row>
    <row r="1790" spans="1:8">
      <c r="A1790" s="270">
        <v>44855</v>
      </c>
      <c r="B1790" s="267"/>
      <c r="C1790" s="267" t="s">
        <v>76</v>
      </c>
      <c r="D1790" s="3" t="s">
        <v>1186</v>
      </c>
      <c r="E1790" s="1497"/>
      <c r="F1790" s="1497">
        <v>88800</v>
      </c>
      <c r="G1790" s="267" t="s">
        <v>56</v>
      </c>
      <c r="H1790" s="3"/>
    </row>
    <row r="1791" spans="1:8">
      <c r="A1791" s="270">
        <v>44855</v>
      </c>
      <c r="B1791" s="267"/>
      <c r="C1791" s="267" t="s">
        <v>79</v>
      </c>
      <c r="D1791" s="3" t="s">
        <v>166</v>
      </c>
      <c r="E1791" s="1497">
        <v>50000</v>
      </c>
      <c r="F1791" s="1497"/>
      <c r="G1791" s="267" t="s">
        <v>27</v>
      </c>
      <c r="H1791" s="3"/>
    </row>
    <row r="1792" spans="1:8">
      <c r="A1792" s="270">
        <v>44855</v>
      </c>
      <c r="B1792" s="267"/>
      <c r="C1792" s="267" t="s">
        <v>62</v>
      </c>
      <c r="D1792" s="3" t="s">
        <v>38</v>
      </c>
      <c r="E1792" s="1497">
        <v>250</v>
      </c>
      <c r="F1792" s="1497"/>
      <c r="G1792" s="267" t="s">
        <v>56</v>
      </c>
      <c r="H1792" s="3"/>
    </row>
    <row r="1793" spans="1:8">
      <c r="A1793" s="270">
        <v>44855</v>
      </c>
      <c r="B1793" s="267"/>
      <c r="C1793" s="267" t="s">
        <v>94</v>
      </c>
      <c r="D1793" s="3" t="s">
        <v>1187</v>
      </c>
      <c r="E1793" s="1497">
        <v>3362</v>
      </c>
      <c r="F1793" s="1497"/>
      <c r="G1793" s="267" t="s">
        <v>27</v>
      </c>
      <c r="H1793" s="3"/>
    </row>
    <row r="1794" spans="1:8">
      <c r="A1794" s="270">
        <v>44855</v>
      </c>
      <c r="B1794" s="267"/>
      <c r="C1794" s="267" t="s">
        <v>88</v>
      </c>
      <c r="D1794" s="3" t="s">
        <v>219</v>
      </c>
      <c r="E1794" s="1497">
        <v>28340</v>
      </c>
      <c r="F1794" s="1497"/>
      <c r="G1794" s="267" t="s">
        <v>56</v>
      </c>
      <c r="H1794" s="3"/>
    </row>
    <row r="1795" spans="1:8">
      <c r="A1795" s="270">
        <v>44855</v>
      </c>
      <c r="B1795" s="267"/>
      <c r="C1795" s="267" t="s">
        <v>88</v>
      </c>
      <c r="D1795" s="3" t="s">
        <v>208</v>
      </c>
      <c r="E1795" s="1497">
        <v>15600</v>
      </c>
      <c r="F1795" s="1497"/>
      <c r="G1795" s="267" t="s">
        <v>56</v>
      </c>
      <c r="H1795" s="3"/>
    </row>
    <row r="1796" spans="1:8">
      <c r="A1796" s="270">
        <v>44855</v>
      </c>
      <c r="B1796" s="267"/>
      <c r="C1796" s="267" t="s">
        <v>88</v>
      </c>
      <c r="D1796" s="3" t="s">
        <v>824</v>
      </c>
      <c r="E1796" s="1497">
        <v>18000</v>
      </c>
      <c r="F1796" s="1497"/>
      <c r="G1796" s="267" t="s">
        <v>56</v>
      </c>
      <c r="H1796" s="146"/>
    </row>
    <row r="1797" spans="1:8">
      <c r="A1797" s="270">
        <v>44855</v>
      </c>
      <c r="B1797" s="267"/>
      <c r="C1797" s="267" t="s">
        <v>88</v>
      </c>
      <c r="D1797" s="3" t="s">
        <v>259</v>
      </c>
      <c r="E1797" s="1497">
        <v>20000</v>
      </c>
      <c r="F1797" s="1497"/>
      <c r="G1797" s="267" t="s">
        <v>56</v>
      </c>
      <c r="H1797" s="146"/>
    </row>
    <row r="1798" spans="1:8" ht="15.75" thickBot="1">
      <c r="A1798" s="270"/>
      <c r="B1798" s="267"/>
      <c r="C1798" s="267"/>
      <c r="D1798" s="3"/>
      <c r="E1798" s="1497"/>
      <c r="F1798" s="1497"/>
      <c r="G1798" s="267"/>
      <c r="H1798" s="146"/>
    </row>
    <row r="1799" spans="1:8">
      <c r="A1799" s="267"/>
      <c r="B1799" s="267"/>
      <c r="C1799" s="267"/>
      <c r="D1799" s="3"/>
      <c r="E1799" s="1497"/>
      <c r="F1799" s="1497"/>
      <c r="G1799" s="267"/>
      <c r="H1799" s="154" t="s">
        <v>88</v>
      </c>
    </row>
    <row r="1800" spans="1:8" ht="15.75" thickBot="1">
      <c r="A1800" s="267"/>
      <c r="B1800" s="267"/>
      <c r="C1800" s="267"/>
      <c r="D1800" s="3"/>
      <c r="E1800" s="1497"/>
      <c r="F1800" s="1497"/>
      <c r="G1800" s="267"/>
      <c r="H1800" s="155"/>
    </row>
    <row r="1801" spans="1:8">
      <c r="A1801" s="267"/>
      <c r="B1801" s="267"/>
      <c r="C1801" s="267"/>
      <c r="D1801" s="3"/>
      <c r="E1801" s="1497"/>
      <c r="F1801" s="1497"/>
      <c r="G1801" s="267"/>
      <c r="H1801" s="141" t="s">
        <v>1192</v>
      </c>
    </row>
    <row r="1802" spans="1:8">
      <c r="A1802" s="267"/>
      <c r="B1802" s="267"/>
      <c r="C1802" s="267"/>
      <c r="D1802" s="3"/>
      <c r="E1802" s="1497"/>
      <c r="F1802" s="1497"/>
      <c r="G1802" s="267"/>
      <c r="H1802" s="136" t="s">
        <v>1162</v>
      </c>
    </row>
    <row r="1803" spans="1:8">
      <c r="H1803" s="137" t="s">
        <v>1191</v>
      </c>
    </row>
    <row r="1804" spans="1:8">
      <c r="H1804" s="138" t="s">
        <v>1189</v>
      </c>
    </row>
    <row r="1805" spans="1:8">
      <c r="H1805" s="138" t="s">
        <v>1190</v>
      </c>
    </row>
    <row r="1806" spans="1:8">
      <c r="H1806" s="138" t="s">
        <v>1158</v>
      </c>
    </row>
    <row r="1807" spans="1:8">
      <c r="H1807" s="138" t="s">
        <v>1018</v>
      </c>
    </row>
    <row r="1808" spans="1:8">
      <c r="H1808" s="139" t="s">
        <v>1188</v>
      </c>
    </row>
    <row r="1809" spans="1:8">
      <c r="A1809" s="270">
        <v>44858</v>
      </c>
      <c r="B1809" s="267"/>
      <c r="C1809" s="267" t="s">
        <v>79</v>
      </c>
      <c r="D1809" s="3" t="s">
        <v>79</v>
      </c>
      <c r="E1809" s="1497">
        <v>3000</v>
      </c>
      <c r="F1809" s="1497"/>
      <c r="G1809" s="267" t="s">
        <v>56</v>
      </c>
      <c r="H1809" s="3"/>
    </row>
    <row r="1810" spans="1:8">
      <c r="A1810" s="270">
        <v>44858</v>
      </c>
      <c r="B1810" s="267"/>
      <c r="C1810" s="267" t="s">
        <v>86</v>
      </c>
      <c r="D1810" s="3" t="s">
        <v>1194</v>
      </c>
      <c r="E1810" s="1497">
        <v>3000</v>
      </c>
      <c r="F1810" s="1497"/>
      <c r="G1810" s="267" t="s">
        <v>27</v>
      </c>
      <c r="H1810" s="3"/>
    </row>
    <row r="1811" spans="1:8">
      <c r="A1811" s="270">
        <v>44858</v>
      </c>
      <c r="B1811" s="267"/>
      <c r="C1811" s="267" t="s">
        <v>205</v>
      </c>
      <c r="D1811" s="3" t="s">
        <v>1193</v>
      </c>
      <c r="E1811" s="1497">
        <v>2350</v>
      </c>
      <c r="F1811" s="1497"/>
      <c r="G1811" s="267" t="s">
        <v>56</v>
      </c>
      <c r="H1811" s="3"/>
    </row>
    <row r="1812" spans="1:8">
      <c r="A1812" s="270">
        <v>44859</v>
      </c>
      <c r="B1812" s="267"/>
      <c r="C1812" s="267" t="s">
        <v>77</v>
      </c>
      <c r="D1812" s="3" t="s">
        <v>1087</v>
      </c>
      <c r="E1812" s="1497"/>
      <c r="F1812" s="1497">
        <v>85340</v>
      </c>
      <c r="G1812" s="267" t="s">
        <v>27</v>
      </c>
      <c r="H1812" s="3"/>
    </row>
    <row r="1813" spans="1:8">
      <c r="A1813" s="270">
        <v>44859</v>
      </c>
      <c r="B1813" s="267"/>
      <c r="C1813" s="267" t="s">
        <v>55</v>
      </c>
      <c r="D1813" s="3" t="s">
        <v>446</v>
      </c>
      <c r="E1813" s="1497">
        <v>310</v>
      </c>
      <c r="F1813" s="1497"/>
      <c r="G1813" s="267" t="s">
        <v>56</v>
      </c>
      <c r="H1813" s="3"/>
    </row>
    <row r="1814" spans="1:8">
      <c r="A1814" s="270">
        <v>44859</v>
      </c>
      <c r="B1814" s="267"/>
      <c r="C1814" s="267" t="s">
        <v>79</v>
      </c>
      <c r="D1814" s="3" t="s">
        <v>640</v>
      </c>
      <c r="E1814" s="1497">
        <v>23800</v>
      </c>
      <c r="F1814" s="1497"/>
      <c r="G1814" s="267" t="s">
        <v>27</v>
      </c>
      <c r="H1814" s="3"/>
    </row>
    <row r="1815" spans="1:8">
      <c r="A1815" s="270">
        <v>44859</v>
      </c>
      <c r="B1815" s="267"/>
      <c r="C1815" s="267" t="s">
        <v>205</v>
      </c>
      <c r="D1815" s="3" t="s">
        <v>44</v>
      </c>
      <c r="E1815" s="1497">
        <v>22113</v>
      </c>
      <c r="F1815" s="1497"/>
      <c r="G1815" s="267" t="s">
        <v>27</v>
      </c>
      <c r="H1815" s="3"/>
    </row>
    <row r="1816" spans="1:8">
      <c r="A1816" s="270">
        <v>44859</v>
      </c>
      <c r="B1816" s="267"/>
      <c r="C1816" s="267" t="s">
        <v>308</v>
      </c>
      <c r="D1816" s="3" t="s">
        <v>232</v>
      </c>
      <c r="E1816" s="1497">
        <v>10000</v>
      </c>
      <c r="F1816" s="1497"/>
      <c r="G1816" s="267" t="s">
        <v>27</v>
      </c>
      <c r="H1816" s="3"/>
    </row>
    <row r="1817" spans="1:8">
      <c r="A1817" s="270">
        <v>44859</v>
      </c>
      <c r="B1817" s="267"/>
      <c r="C1817" s="267" t="s">
        <v>77</v>
      </c>
      <c r="D1817" s="3" t="s">
        <v>1195</v>
      </c>
      <c r="E1817" s="1497">
        <v>35000</v>
      </c>
      <c r="F1817" s="1497"/>
      <c r="G1817" s="267" t="s">
        <v>56</v>
      </c>
      <c r="H1817" s="3"/>
    </row>
    <row r="1818" spans="1:8">
      <c r="A1818" s="270">
        <v>44859</v>
      </c>
      <c r="B1818" s="267"/>
      <c r="C1818" s="267" t="s">
        <v>86</v>
      </c>
      <c r="D1818" s="3" t="s">
        <v>104</v>
      </c>
      <c r="E1818" s="1497">
        <v>3000</v>
      </c>
      <c r="F1818" s="1497"/>
      <c r="G1818" s="267" t="s">
        <v>56</v>
      </c>
      <c r="H1818" s="3"/>
    </row>
    <row r="1819" spans="1:8">
      <c r="A1819" s="270">
        <v>44859</v>
      </c>
      <c r="B1819" s="267"/>
      <c r="C1819" s="267" t="s">
        <v>831</v>
      </c>
      <c r="D1819" s="3" t="s">
        <v>1196</v>
      </c>
      <c r="E1819" s="1497">
        <v>2800</v>
      </c>
      <c r="F1819" s="1497"/>
      <c r="G1819" s="267" t="s">
        <v>56</v>
      </c>
      <c r="H1819" s="3"/>
    </row>
    <row r="1820" spans="1:8">
      <c r="A1820" s="270">
        <v>44859</v>
      </c>
      <c r="B1820" s="267"/>
      <c r="C1820" s="267" t="s">
        <v>1205</v>
      </c>
      <c r="D1820" s="3" t="s">
        <v>1204</v>
      </c>
      <c r="E1820" s="1497">
        <v>2000</v>
      </c>
      <c r="F1820" s="1497"/>
      <c r="G1820" s="267" t="s">
        <v>56</v>
      </c>
      <c r="H1820" s="3"/>
    </row>
    <row r="1821" spans="1:8">
      <c r="A1821" s="270">
        <v>44859</v>
      </c>
      <c r="B1821" s="267"/>
      <c r="C1821" s="267" t="s">
        <v>77</v>
      </c>
      <c r="D1821" s="3" t="s">
        <v>980</v>
      </c>
      <c r="E1821" s="1497"/>
      <c r="F1821" s="1497">
        <v>158300</v>
      </c>
      <c r="G1821" s="267"/>
      <c r="H1821" s="3"/>
    </row>
    <row r="1822" spans="1:8">
      <c r="A1822" s="270">
        <v>44859</v>
      </c>
      <c r="B1822" s="267"/>
      <c r="C1822" s="267" t="s">
        <v>77</v>
      </c>
      <c r="D1822" s="3" t="s">
        <v>1197</v>
      </c>
      <c r="E1822" s="1497"/>
      <c r="F1822" s="1497">
        <v>123000</v>
      </c>
      <c r="G1822" s="267"/>
      <c r="H1822" s="3"/>
    </row>
    <row r="1823" spans="1:8">
      <c r="A1823" s="270">
        <v>44859</v>
      </c>
      <c r="B1823" s="267"/>
      <c r="C1823" s="267" t="s">
        <v>205</v>
      </c>
      <c r="D1823" s="3" t="s">
        <v>1198</v>
      </c>
      <c r="E1823" s="1497">
        <v>4840</v>
      </c>
      <c r="F1823" s="1497"/>
      <c r="G1823" s="267" t="s">
        <v>27</v>
      </c>
      <c r="H1823" s="3"/>
    </row>
    <row r="1824" spans="1:8">
      <c r="A1824" s="270">
        <v>44859</v>
      </c>
      <c r="B1824" s="267"/>
      <c r="C1824" s="267" t="s">
        <v>79</v>
      </c>
      <c r="D1824" s="3" t="s">
        <v>79</v>
      </c>
      <c r="E1824" s="1497">
        <v>4000</v>
      </c>
      <c r="F1824" s="1497"/>
      <c r="G1824" s="267" t="s">
        <v>56</v>
      </c>
      <c r="H1824" s="3" t="s">
        <v>1199</v>
      </c>
    </row>
    <row r="1825" spans="1:8">
      <c r="A1825" s="270">
        <v>44860</v>
      </c>
      <c r="B1825" s="267"/>
      <c r="C1825" s="267" t="s">
        <v>28</v>
      </c>
      <c r="D1825" s="3" t="s">
        <v>1200</v>
      </c>
      <c r="E1825" s="1497">
        <v>19350</v>
      </c>
      <c r="F1825" s="1497"/>
      <c r="G1825" s="267" t="s">
        <v>56</v>
      </c>
      <c r="H1825" s="3"/>
    </row>
    <row r="1826" spans="1:8">
      <c r="A1826" s="270">
        <v>44860</v>
      </c>
      <c r="B1826" s="267"/>
      <c r="C1826" s="267" t="s">
        <v>1202</v>
      </c>
      <c r="D1826" s="3" t="s">
        <v>1201</v>
      </c>
      <c r="E1826" s="1497">
        <v>2000</v>
      </c>
      <c r="F1826" s="1497"/>
      <c r="G1826" s="267" t="s">
        <v>56</v>
      </c>
      <c r="H1826" s="3"/>
    </row>
    <row r="1827" spans="1:8">
      <c r="A1827" s="270">
        <v>44860</v>
      </c>
      <c r="B1827" s="267"/>
      <c r="C1827" s="267" t="s">
        <v>79</v>
      </c>
      <c r="D1827" s="3" t="s">
        <v>79</v>
      </c>
      <c r="E1827" s="1497">
        <v>2650</v>
      </c>
      <c r="F1827" s="1497"/>
      <c r="G1827" s="267" t="s">
        <v>56</v>
      </c>
      <c r="H1827" s="3"/>
    </row>
    <row r="1828" spans="1:8">
      <c r="A1828" s="270">
        <v>44860</v>
      </c>
      <c r="B1828" s="267"/>
      <c r="C1828" s="267" t="s">
        <v>79</v>
      </c>
      <c r="D1828" s="3" t="s">
        <v>79</v>
      </c>
      <c r="E1828" s="1497">
        <v>2000</v>
      </c>
      <c r="F1828" s="1497"/>
      <c r="G1828" s="267" t="s">
        <v>56</v>
      </c>
      <c r="H1828" s="3"/>
    </row>
    <row r="1829" spans="1:8">
      <c r="A1829" s="270">
        <v>44860</v>
      </c>
      <c r="B1829" s="267"/>
      <c r="C1829" s="267" t="s">
        <v>90</v>
      </c>
      <c r="D1829" s="3" t="s">
        <v>453</v>
      </c>
      <c r="E1829" s="1497">
        <v>1950</v>
      </c>
      <c r="F1829" s="1497"/>
      <c r="G1829" s="267" t="s">
        <v>56</v>
      </c>
      <c r="H1829" s="3"/>
    </row>
    <row r="1830" spans="1:8">
      <c r="A1830" s="270">
        <v>44860</v>
      </c>
      <c r="B1830" s="267"/>
      <c r="C1830" s="267" t="s">
        <v>1205</v>
      </c>
      <c r="D1830" s="3" t="s">
        <v>1203</v>
      </c>
      <c r="E1830" s="1497">
        <v>1000</v>
      </c>
      <c r="F1830" s="1497"/>
      <c r="G1830" s="267" t="s">
        <v>56</v>
      </c>
      <c r="H1830" s="3"/>
    </row>
    <row r="1831" spans="1:8">
      <c r="A1831" s="270">
        <v>44860</v>
      </c>
      <c r="B1831" s="267"/>
      <c r="C1831" s="267" t="s">
        <v>79</v>
      </c>
      <c r="D1831" s="3" t="s">
        <v>640</v>
      </c>
      <c r="E1831" s="1497">
        <v>20000</v>
      </c>
      <c r="F1831" s="1497"/>
      <c r="G1831" s="267" t="s">
        <v>56</v>
      </c>
      <c r="H1831" s="3"/>
    </row>
    <row r="1832" spans="1:8">
      <c r="A1832" s="270">
        <v>44860</v>
      </c>
      <c r="B1832" s="267"/>
      <c r="C1832" s="267" t="s">
        <v>156</v>
      </c>
      <c r="D1832" s="3" t="s">
        <v>156</v>
      </c>
      <c r="E1832" s="1497">
        <v>23391.15</v>
      </c>
      <c r="F1832" s="1497"/>
      <c r="G1832" s="267" t="s">
        <v>27</v>
      </c>
      <c r="H1832" s="3"/>
    </row>
    <row r="1833" spans="1:8">
      <c r="A1833" s="270">
        <v>44860</v>
      </c>
      <c r="B1833" s="267"/>
      <c r="C1833" s="267" t="s">
        <v>79</v>
      </c>
      <c r="D1833" s="3" t="s">
        <v>640</v>
      </c>
      <c r="E1833" s="1497">
        <v>20000</v>
      </c>
      <c r="F1833" s="1497"/>
      <c r="G1833" s="267" t="s">
        <v>56</v>
      </c>
      <c r="H1833" s="3"/>
    </row>
    <row r="1834" spans="1:8">
      <c r="A1834" s="270">
        <v>44860</v>
      </c>
      <c r="B1834" s="267"/>
      <c r="C1834" s="267" t="s">
        <v>92</v>
      </c>
      <c r="D1834" s="3" t="s">
        <v>956</v>
      </c>
      <c r="E1834" s="1497"/>
      <c r="F1834" s="1497">
        <v>10200</v>
      </c>
      <c r="G1834" s="267" t="s">
        <v>56</v>
      </c>
      <c r="H1834" s="3"/>
    </row>
    <row r="1835" spans="1:8">
      <c r="A1835" s="270">
        <v>44860</v>
      </c>
      <c r="B1835" s="267"/>
      <c r="C1835" s="267" t="s">
        <v>122</v>
      </c>
      <c r="D1835" s="3" t="s">
        <v>1206</v>
      </c>
      <c r="E1835" s="1497">
        <v>8800</v>
      </c>
      <c r="F1835" s="1497"/>
      <c r="G1835" s="267" t="s">
        <v>27</v>
      </c>
      <c r="H1835" s="3"/>
    </row>
    <row r="1836" spans="1:8">
      <c r="A1836" s="270">
        <v>44862</v>
      </c>
      <c r="B1836" s="267"/>
      <c r="C1836" s="267" t="s">
        <v>55</v>
      </c>
      <c r="D1836" s="3" t="s">
        <v>478</v>
      </c>
      <c r="E1836" s="1497">
        <v>1350</v>
      </c>
      <c r="F1836" s="1497"/>
      <c r="G1836" s="267" t="s">
        <v>56</v>
      </c>
      <c r="H1836" s="3"/>
    </row>
    <row r="1837" spans="1:8">
      <c r="A1837" s="270">
        <v>44862</v>
      </c>
      <c r="B1837" s="267"/>
      <c r="C1837" s="267" t="s">
        <v>150</v>
      </c>
      <c r="D1837" s="3" t="s">
        <v>650</v>
      </c>
      <c r="E1837" s="1497">
        <v>3620.8</v>
      </c>
      <c r="F1837" s="1497"/>
      <c r="G1837" s="267" t="s">
        <v>27</v>
      </c>
      <c r="H1837" s="3"/>
    </row>
    <row r="1838" spans="1:8">
      <c r="A1838" s="270">
        <v>44862</v>
      </c>
      <c r="B1838" s="267"/>
      <c r="C1838" s="267" t="s">
        <v>88</v>
      </c>
      <c r="D1838" s="3" t="s">
        <v>88</v>
      </c>
      <c r="E1838" s="1497">
        <v>47500</v>
      </c>
      <c r="F1838" s="1497"/>
      <c r="G1838" s="267" t="s">
        <v>56</v>
      </c>
      <c r="H1838" s="3"/>
    </row>
    <row r="1839" spans="1:8">
      <c r="A1839" s="270">
        <v>44862</v>
      </c>
      <c r="B1839" s="267"/>
      <c r="C1839" s="267" t="s">
        <v>88</v>
      </c>
      <c r="D1839" s="3" t="s">
        <v>234</v>
      </c>
      <c r="E1839" s="1497">
        <v>18000</v>
      </c>
      <c r="F1839" s="1497"/>
      <c r="G1839" s="267" t="s">
        <v>56</v>
      </c>
      <c r="H1839" s="3"/>
    </row>
    <row r="1840" spans="1:8">
      <c r="A1840" s="270">
        <v>44862</v>
      </c>
      <c r="B1840" s="267"/>
      <c r="C1840" s="267" t="s">
        <v>88</v>
      </c>
      <c r="D1840" s="3" t="s">
        <v>1207</v>
      </c>
      <c r="E1840" s="1497">
        <v>40000</v>
      </c>
      <c r="F1840" s="1497"/>
      <c r="G1840" s="267" t="s">
        <v>56</v>
      </c>
      <c r="H1840" s="3"/>
    </row>
    <row r="1841" spans="1:8">
      <c r="A1841" s="270">
        <v>44862</v>
      </c>
      <c r="B1841" s="267"/>
      <c r="C1841" s="267" t="s">
        <v>55</v>
      </c>
      <c r="D1841" s="3" t="s">
        <v>70</v>
      </c>
      <c r="E1841" s="1497">
        <v>1240</v>
      </c>
      <c r="F1841" s="1497"/>
      <c r="G1841" s="267" t="s">
        <v>56</v>
      </c>
      <c r="H1841" s="3"/>
    </row>
    <row r="1842" spans="1:8">
      <c r="A1842" s="270">
        <v>44862</v>
      </c>
      <c r="B1842" s="267"/>
      <c r="C1842" s="267" t="s">
        <v>76</v>
      </c>
      <c r="D1842" s="3" t="s">
        <v>1208</v>
      </c>
      <c r="E1842" s="1497"/>
      <c r="F1842" s="1497">
        <v>38250</v>
      </c>
      <c r="G1842" s="267" t="s">
        <v>56</v>
      </c>
      <c r="H1842" s="3"/>
    </row>
    <row r="1843" spans="1:8">
      <c r="A1843" s="270">
        <v>44862</v>
      </c>
      <c r="B1843" s="267"/>
      <c r="C1843" s="267" t="s">
        <v>79</v>
      </c>
      <c r="D1843" s="3" t="s">
        <v>1209</v>
      </c>
      <c r="E1843" s="1497">
        <v>6260</v>
      </c>
      <c r="F1843" s="1497"/>
      <c r="G1843" s="267" t="s">
        <v>27</v>
      </c>
      <c r="H1843" s="3"/>
    </row>
    <row r="1844" spans="1:8">
      <c r="A1844" s="270">
        <v>44862</v>
      </c>
      <c r="B1844" s="267"/>
      <c r="C1844" s="267" t="s">
        <v>79</v>
      </c>
      <c r="D1844" s="3" t="s">
        <v>1210</v>
      </c>
      <c r="E1844" s="1497">
        <v>6300</v>
      </c>
      <c r="F1844" s="1497"/>
      <c r="G1844" s="267" t="s">
        <v>27</v>
      </c>
      <c r="H1844" s="3"/>
    </row>
    <row r="1845" spans="1:8">
      <c r="A1845" s="270">
        <v>44862</v>
      </c>
      <c r="B1845" s="267"/>
      <c r="C1845" s="267" t="s">
        <v>79</v>
      </c>
      <c r="D1845" s="3" t="s">
        <v>1211</v>
      </c>
      <c r="E1845" s="1497">
        <v>1594</v>
      </c>
      <c r="F1845" s="1497"/>
      <c r="G1845" s="267" t="s">
        <v>27</v>
      </c>
      <c r="H1845" s="3"/>
    </row>
    <row r="1846" spans="1:8">
      <c r="A1846" s="270">
        <v>44865</v>
      </c>
      <c r="B1846" s="267"/>
      <c r="C1846" s="267" t="s">
        <v>205</v>
      </c>
      <c r="D1846" s="3" t="s">
        <v>33</v>
      </c>
      <c r="E1846" s="1497">
        <v>10213</v>
      </c>
      <c r="F1846" s="1497"/>
      <c r="G1846" s="267" t="s">
        <v>27</v>
      </c>
      <c r="H1846" s="3"/>
    </row>
    <row r="1847" spans="1:8">
      <c r="A1847" s="270">
        <v>44865</v>
      </c>
      <c r="B1847" s="267"/>
      <c r="C1847" s="267" t="s">
        <v>79</v>
      </c>
      <c r="D1847" s="3" t="s">
        <v>79</v>
      </c>
      <c r="E1847" s="1497">
        <v>5000</v>
      </c>
      <c r="F1847" s="1497"/>
      <c r="G1847" s="267" t="s">
        <v>56</v>
      </c>
      <c r="H1847" s="3"/>
    </row>
    <row r="1848" spans="1:8">
      <c r="A1848" s="270">
        <v>44865</v>
      </c>
      <c r="B1848" s="267"/>
      <c r="C1848" s="267" t="s">
        <v>205</v>
      </c>
      <c r="D1848" s="3" t="s">
        <v>63</v>
      </c>
      <c r="E1848" s="1497">
        <v>6910</v>
      </c>
      <c r="F1848" s="1497"/>
      <c r="G1848" s="267" t="s">
        <v>56</v>
      </c>
      <c r="H1848" s="3"/>
    </row>
    <row r="1849" spans="1:8">
      <c r="A1849" s="270">
        <v>44865</v>
      </c>
      <c r="B1849" s="267"/>
      <c r="C1849" s="267" t="s">
        <v>205</v>
      </c>
      <c r="D1849" s="3" t="s">
        <v>1212</v>
      </c>
      <c r="E1849" s="1497">
        <v>820</v>
      </c>
      <c r="F1849" s="1497"/>
      <c r="G1849" s="267" t="s">
        <v>56</v>
      </c>
      <c r="H1849" s="3"/>
    </row>
    <row r="1850" spans="1:8">
      <c r="A1850" s="270">
        <v>44865</v>
      </c>
      <c r="B1850" s="267"/>
      <c r="C1850" s="267" t="s">
        <v>86</v>
      </c>
      <c r="D1850" s="3" t="s">
        <v>104</v>
      </c>
      <c r="E1850" s="1497">
        <v>7700</v>
      </c>
      <c r="F1850" s="1497"/>
      <c r="G1850" s="267" t="s">
        <v>56</v>
      </c>
      <c r="H1850" s="3"/>
    </row>
    <row r="1851" spans="1:8" ht="15.75" thickBot="1">
      <c r="A1851" s="270">
        <v>44865</v>
      </c>
      <c r="B1851" s="267"/>
      <c r="C1851" s="267" t="s">
        <v>831</v>
      </c>
      <c r="D1851" s="3" t="s">
        <v>1213</v>
      </c>
      <c r="E1851" s="1497">
        <v>2700</v>
      </c>
      <c r="F1851" s="1497"/>
      <c r="G1851" s="267" t="s">
        <v>56</v>
      </c>
      <c r="H1851" s="85"/>
    </row>
    <row r="1852" spans="1:8">
      <c r="A1852" s="267"/>
      <c r="B1852" s="267"/>
      <c r="C1852" s="267"/>
      <c r="D1852" s="3"/>
      <c r="E1852" s="1497"/>
      <c r="F1852" s="1497"/>
      <c r="G1852" s="267"/>
      <c r="H1852" s="149" t="s">
        <v>1192</v>
      </c>
    </row>
    <row r="1853" spans="1:8">
      <c r="A1853" s="267"/>
      <c r="B1853" s="267"/>
      <c r="C1853" s="267"/>
      <c r="D1853" s="3"/>
      <c r="E1853" s="1497"/>
      <c r="F1853" s="1497"/>
      <c r="G1853" s="267"/>
      <c r="H1853" s="136" t="s">
        <v>1162</v>
      </c>
    </row>
    <row r="1854" spans="1:8">
      <c r="A1854" s="267"/>
      <c r="B1854" s="267"/>
      <c r="C1854" s="267"/>
      <c r="D1854" s="3"/>
      <c r="E1854" s="1497"/>
      <c r="F1854" s="1497"/>
      <c r="G1854" s="267"/>
      <c r="H1854" s="137" t="s">
        <v>1214</v>
      </c>
    </row>
    <row r="1855" spans="1:8">
      <c r="A1855" s="267"/>
      <c r="B1855" s="267"/>
      <c r="C1855" s="267"/>
      <c r="D1855" s="3"/>
      <c r="E1855" s="1497"/>
      <c r="F1855" s="1497"/>
      <c r="G1855" s="267"/>
      <c r="H1855" s="138" t="s">
        <v>1189</v>
      </c>
    </row>
    <row r="1856" spans="1:8">
      <c r="A1856" s="267"/>
      <c r="B1856" s="267"/>
      <c r="C1856" s="267"/>
      <c r="D1856" s="3"/>
      <c r="E1856" s="1497"/>
      <c r="F1856" s="1497"/>
      <c r="G1856" s="267"/>
      <c r="H1856" s="138" t="s">
        <v>1199</v>
      </c>
    </row>
    <row r="1857" spans="1:8">
      <c r="H1857" s="138" t="s">
        <v>1158</v>
      </c>
    </row>
    <row r="1858" spans="1:8">
      <c r="H1858" s="138" t="s">
        <v>809</v>
      </c>
    </row>
    <row r="1859" spans="1:8" ht="15.75" thickBot="1">
      <c r="H1859" s="147" t="s">
        <v>1215</v>
      </c>
    </row>
    <row r="1860" spans="1:8">
      <c r="A1860" s="270">
        <v>44866</v>
      </c>
      <c r="B1860" s="267"/>
      <c r="C1860" s="267" t="s">
        <v>77</v>
      </c>
      <c r="D1860" s="3" t="s">
        <v>1216</v>
      </c>
      <c r="E1860" s="1497"/>
      <c r="F1860" s="1497">
        <v>36200</v>
      </c>
      <c r="G1860" s="267" t="s">
        <v>56</v>
      </c>
      <c r="H1860" s="5"/>
    </row>
    <row r="1861" spans="1:8">
      <c r="A1861" s="270">
        <v>44866</v>
      </c>
      <c r="B1861" s="267"/>
      <c r="C1861" s="267" t="s">
        <v>77</v>
      </c>
      <c r="D1861" s="3" t="s">
        <v>266</v>
      </c>
      <c r="E1861" s="1497"/>
      <c r="F1861" s="1497">
        <v>30500</v>
      </c>
      <c r="G1861" s="267" t="s">
        <v>56</v>
      </c>
      <c r="H1861" s="3"/>
    </row>
    <row r="1862" spans="1:8">
      <c r="A1862" s="270">
        <v>44866</v>
      </c>
      <c r="B1862" s="267"/>
      <c r="C1862" s="267" t="s">
        <v>65</v>
      </c>
      <c r="D1862" s="3" t="s">
        <v>1217</v>
      </c>
      <c r="E1862" s="1497">
        <v>3300.7</v>
      </c>
      <c r="F1862" s="1497"/>
      <c r="G1862" s="267" t="s">
        <v>27</v>
      </c>
      <c r="H1862" s="3"/>
    </row>
    <row r="1863" spans="1:8">
      <c r="A1863" s="270">
        <v>44866</v>
      </c>
      <c r="B1863" s="267"/>
      <c r="C1863" s="267" t="s">
        <v>65</v>
      </c>
      <c r="D1863" s="3" t="s">
        <v>1217</v>
      </c>
      <c r="E1863" s="1497">
        <v>6484.21</v>
      </c>
      <c r="F1863" s="1497"/>
      <c r="G1863" s="267" t="s">
        <v>27</v>
      </c>
      <c r="H1863" s="3"/>
    </row>
    <row r="1864" spans="1:8">
      <c r="A1864" s="270">
        <v>44866</v>
      </c>
      <c r="B1864" s="267"/>
      <c r="C1864" s="267" t="s">
        <v>1218</v>
      </c>
      <c r="D1864" s="3" t="s">
        <v>434</v>
      </c>
      <c r="E1864" s="1497">
        <v>5580</v>
      </c>
      <c r="F1864" s="1497"/>
      <c r="G1864" s="267" t="s">
        <v>27</v>
      </c>
      <c r="H1864" s="3"/>
    </row>
    <row r="1865" spans="1:8">
      <c r="A1865" s="270">
        <v>44866</v>
      </c>
      <c r="B1865" s="267"/>
      <c r="C1865" s="267" t="s">
        <v>55</v>
      </c>
      <c r="D1865" s="3" t="s">
        <v>453</v>
      </c>
      <c r="E1865" s="1497">
        <v>2400</v>
      </c>
      <c r="F1865" s="1497"/>
      <c r="G1865" s="267" t="s">
        <v>56</v>
      </c>
      <c r="H1865" s="3"/>
    </row>
    <row r="1866" spans="1:8">
      <c r="A1866" s="270">
        <v>44866</v>
      </c>
      <c r="B1866" s="267"/>
      <c r="C1866" s="267" t="s">
        <v>79</v>
      </c>
      <c r="D1866" s="3" t="s">
        <v>79</v>
      </c>
      <c r="E1866" s="1497">
        <v>1500</v>
      </c>
      <c r="F1866" s="1497"/>
      <c r="G1866" s="267" t="s">
        <v>56</v>
      </c>
      <c r="H1866" s="3"/>
    </row>
    <row r="1867" spans="1:8">
      <c r="A1867" s="270">
        <v>44866</v>
      </c>
      <c r="B1867" s="267"/>
      <c r="C1867" s="267" t="s">
        <v>77</v>
      </c>
      <c r="D1867" s="15" t="s">
        <v>1219</v>
      </c>
      <c r="E1867" s="1497">
        <v>50000</v>
      </c>
      <c r="F1867" s="1497"/>
      <c r="G1867" s="267" t="s">
        <v>56</v>
      </c>
      <c r="H1867" s="3"/>
    </row>
    <row r="1868" spans="1:8">
      <c r="A1868" s="270">
        <v>44866</v>
      </c>
      <c r="B1868" s="267"/>
      <c r="C1868" s="267" t="s">
        <v>55</v>
      </c>
      <c r="D1868" s="15" t="s">
        <v>80</v>
      </c>
      <c r="E1868" s="1497">
        <v>1500</v>
      </c>
      <c r="F1868" s="1497"/>
      <c r="G1868" s="267" t="s">
        <v>56</v>
      </c>
      <c r="H1868" s="3"/>
    </row>
    <row r="1869" spans="1:8">
      <c r="A1869" s="270">
        <v>44866</v>
      </c>
      <c r="B1869" s="267"/>
      <c r="C1869" s="267" t="s">
        <v>86</v>
      </c>
      <c r="D1869" s="15" t="s">
        <v>104</v>
      </c>
      <c r="E1869" s="1497">
        <v>3000</v>
      </c>
      <c r="F1869" s="1497"/>
      <c r="G1869" s="267" t="s">
        <v>56</v>
      </c>
      <c r="H1869" s="3"/>
    </row>
    <row r="1870" spans="1:8">
      <c r="A1870" s="270">
        <v>44868</v>
      </c>
      <c r="B1870" s="267"/>
      <c r="C1870" s="267" t="s">
        <v>55</v>
      </c>
      <c r="D1870" s="3" t="s">
        <v>225</v>
      </c>
      <c r="E1870" s="1497">
        <v>3090</v>
      </c>
      <c r="F1870" s="1497"/>
      <c r="G1870" s="267" t="s">
        <v>27</v>
      </c>
      <c r="H1870" s="3"/>
    </row>
    <row r="1871" spans="1:8">
      <c r="A1871" s="270">
        <v>44868</v>
      </c>
      <c r="B1871" s="267"/>
      <c r="C1871" s="267" t="s">
        <v>55</v>
      </c>
      <c r="D1871" s="3" t="s">
        <v>562</v>
      </c>
      <c r="E1871" s="1497">
        <v>680</v>
      </c>
      <c r="F1871" s="1497"/>
      <c r="G1871" s="267" t="s">
        <v>56</v>
      </c>
      <c r="H1871" s="3"/>
    </row>
    <row r="1872" spans="1:8">
      <c r="A1872" s="270">
        <v>44868</v>
      </c>
      <c r="B1872" s="267"/>
      <c r="C1872" s="267" t="s">
        <v>77</v>
      </c>
      <c r="D1872" s="3" t="s">
        <v>1220</v>
      </c>
      <c r="E1872" s="1497"/>
      <c r="F1872" s="1497">
        <v>140000</v>
      </c>
      <c r="G1872" s="267" t="s">
        <v>56</v>
      </c>
      <c r="H1872" s="3"/>
    </row>
    <row r="1873" spans="1:8">
      <c r="A1873" s="270">
        <v>44868</v>
      </c>
      <c r="B1873" s="267"/>
      <c r="C1873" s="267" t="s">
        <v>88</v>
      </c>
      <c r="D1873" s="3" t="s">
        <v>750</v>
      </c>
      <c r="E1873" s="1497">
        <v>27500</v>
      </c>
      <c r="F1873" s="1497"/>
      <c r="G1873" s="267" t="s">
        <v>56</v>
      </c>
      <c r="H1873" s="3"/>
    </row>
    <row r="1874" spans="1:8">
      <c r="A1874" s="270">
        <v>44869</v>
      </c>
      <c r="B1874" s="267"/>
      <c r="C1874" s="267" t="s">
        <v>205</v>
      </c>
      <c r="D1874" s="3" t="s">
        <v>1221</v>
      </c>
      <c r="E1874" s="1497">
        <v>3090</v>
      </c>
      <c r="F1874" s="1497"/>
      <c r="G1874" s="267" t="s">
        <v>56</v>
      </c>
      <c r="H1874" s="3"/>
    </row>
    <row r="1875" spans="1:8">
      <c r="A1875" s="270">
        <v>44869</v>
      </c>
      <c r="B1875" s="267"/>
      <c r="C1875" s="267" t="s">
        <v>77</v>
      </c>
      <c r="D1875" s="3" t="s">
        <v>1056</v>
      </c>
      <c r="E1875" s="1497"/>
      <c r="F1875" s="1497">
        <v>32200</v>
      </c>
      <c r="G1875" s="267" t="s">
        <v>56</v>
      </c>
      <c r="H1875" s="3"/>
    </row>
    <row r="1876" spans="1:8">
      <c r="A1876" s="270">
        <v>44869</v>
      </c>
      <c r="B1876" s="267"/>
      <c r="C1876" s="267" t="s">
        <v>62</v>
      </c>
      <c r="D1876" s="3" t="s">
        <v>38</v>
      </c>
      <c r="E1876" s="1497">
        <v>800</v>
      </c>
      <c r="F1876" s="1497"/>
      <c r="G1876" s="267" t="s">
        <v>56</v>
      </c>
      <c r="H1876" s="3"/>
    </row>
    <row r="1877" spans="1:8">
      <c r="A1877" s="270">
        <v>44869</v>
      </c>
      <c r="B1877" s="267"/>
      <c r="C1877" s="267" t="s">
        <v>150</v>
      </c>
      <c r="D1877" s="3" t="s">
        <v>252</v>
      </c>
      <c r="E1877" s="1497">
        <v>15000</v>
      </c>
      <c r="F1877" s="1497"/>
      <c r="G1877" s="267" t="s">
        <v>56</v>
      </c>
      <c r="H1877" s="3"/>
    </row>
    <row r="1878" spans="1:8">
      <c r="A1878" s="270">
        <v>44869</v>
      </c>
      <c r="B1878" s="267"/>
      <c r="C1878" s="267" t="s">
        <v>79</v>
      </c>
      <c r="D1878" s="3" t="s">
        <v>1222</v>
      </c>
      <c r="E1878" s="1497">
        <v>5000</v>
      </c>
      <c r="F1878" s="1497"/>
      <c r="G1878" s="267" t="s">
        <v>56</v>
      </c>
      <c r="H1878" s="71" t="s">
        <v>1223</v>
      </c>
    </row>
    <row r="1879" spans="1:8">
      <c r="A1879" s="270">
        <v>44869</v>
      </c>
      <c r="B1879" s="267"/>
      <c r="C1879" s="267" t="s">
        <v>88</v>
      </c>
      <c r="D1879" s="3" t="s">
        <v>208</v>
      </c>
      <c r="E1879" s="1497">
        <v>20000</v>
      </c>
      <c r="F1879" s="1497"/>
      <c r="G1879" s="267" t="s">
        <v>56</v>
      </c>
      <c r="H1879" s="3"/>
    </row>
    <row r="1880" spans="1:8">
      <c r="A1880" s="270">
        <v>44869</v>
      </c>
      <c r="B1880" s="267"/>
      <c r="C1880" s="267" t="s">
        <v>88</v>
      </c>
      <c r="D1880" s="3" t="s">
        <v>144</v>
      </c>
      <c r="E1880" s="1497">
        <v>42500</v>
      </c>
      <c r="F1880" s="1497"/>
      <c r="G1880" s="267" t="s">
        <v>56</v>
      </c>
      <c r="H1880" s="3"/>
    </row>
    <row r="1881" spans="1:8">
      <c r="A1881" s="270">
        <v>44869</v>
      </c>
      <c r="B1881" s="267"/>
      <c r="C1881" s="267" t="s">
        <v>88</v>
      </c>
      <c r="D1881" s="3" t="s">
        <v>824</v>
      </c>
      <c r="E1881" s="1497">
        <v>18000</v>
      </c>
      <c r="F1881" s="1497"/>
      <c r="G1881" s="267" t="s">
        <v>56</v>
      </c>
      <c r="H1881" s="3"/>
    </row>
    <row r="1882" spans="1:8" ht="15.75" thickBot="1">
      <c r="A1882" s="270">
        <v>44869</v>
      </c>
      <c r="B1882" s="267"/>
      <c r="C1882" s="267" t="s">
        <v>308</v>
      </c>
      <c r="D1882" s="3" t="s">
        <v>232</v>
      </c>
      <c r="E1882" s="1497">
        <v>13000</v>
      </c>
      <c r="F1882" s="1497"/>
      <c r="G1882" s="267" t="s">
        <v>1224</v>
      </c>
      <c r="H1882" s="85"/>
    </row>
    <row r="1883" spans="1:8">
      <c r="H1883" s="149" t="s">
        <v>1192</v>
      </c>
    </row>
    <row r="1884" spans="1:8">
      <c r="H1884" s="136" t="s">
        <v>1162</v>
      </c>
    </row>
    <row r="1885" spans="1:8">
      <c r="H1885" s="137" t="s">
        <v>1214</v>
      </c>
    </row>
    <row r="1886" spans="1:8">
      <c r="H1886" s="138" t="s">
        <v>1189</v>
      </c>
    </row>
    <row r="1887" spans="1:8">
      <c r="H1887" s="138" t="s">
        <v>1199</v>
      </c>
    </row>
    <row r="1888" spans="1:8">
      <c r="H1888" s="138" t="s">
        <v>1158</v>
      </c>
    </row>
    <row r="1889" spans="1:8">
      <c r="H1889" s="138" t="s">
        <v>809</v>
      </c>
    </row>
    <row r="1890" spans="1:8" ht="15.75" thickBot="1">
      <c r="H1890" s="147" t="s">
        <v>1215</v>
      </c>
    </row>
    <row r="1891" spans="1:8">
      <c r="A1891" s="270">
        <v>44870</v>
      </c>
      <c r="B1891" s="267"/>
      <c r="C1891" s="267" t="s">
        <v>205</v>
      </c>
      <c r="D1891" s="3" t="s">
        <v>1225</v>
      </c>
      <c r="E1891" s="1497">
        <v>27064</v>
      </c>
      <c r="F1891" s="1497"/>
      <c r="G1891" s="267" t="s">
        <v>27</v>
      </c>
      <c r="H1891" s="5"/>
    </row>
    <row r="1892" spans="1:8">
      <c r="A1892" s="270">
        <v>44870</v>
      </c>
      <c r="B1892" s="267"/>
      <c r="C1892" s="267" t="s">
        <v>79</v>
      </c>
      <c r="D1892" s="3" t="s">
        <v>79</v>
      </c>
      <c r="E1892" s="1497">
        <v>7261</v>
      </c>
      <c r="F1892" s="1497"/>
      <c r="G1892" s="267" t="s">
        <v>27</v>
      </c>
      <c r="H1892" s="3"/>
    </row>
    <row r="1893" spans="1:8">
      <c r="A1893" s="270">
        <v>44870</v>
      </c>
      <c r="B1893" s="267"/>
      <c r="C1893" s="267" t="s">
        <v>55</v>
      </c>
      <c r="D1893" s="3" t="s">
        <v>64</v>
      </c>
      <c r="E1893" s="1497">
        <v>1250</v>
      </c>
      <c r="F1893" s="1497"/>
      <c r="G1893" s="267" t="s">
        <v>56</v>
      </c>
      <c r="H1893" s="3"/>
    </row>
    <row r="1894" spans="1:8">
      <c r="A1894" s="270">
        <v>44872</v>
      </c>
      <c r="B1894" s="267"/>
      <c r="C1894" s="267" t="s">
        <v>86</v>
      </c>
      <c r="D1894" s="3" t="s">
        <v>195</v>
      </c>
      <c r="E1894" s="1497">
        <v>3000</v>
      </c>
      <c r="F1894" s="1497"/>
      <c r="G1894" s="267" t="s">
        <v>27</v>
      </c>
      <c r="H1894" s="3"/>
    </row>
    <row r="1895" spans="1:8">
      <c r="A1895" s="270">
        <v>44872</v>
      </c>
      <c r="B1895" s="267"/>
      <c r="C1895" s="267" t="s">
        <v>94</v>
      </c>
      <c r="D1895" s="3" t="s">
        <v>395</v>
      </c>
      <c r="E1895" s="1497">
        <v>6168.76</v>
      </c>
      <c r="F1895" s="1497"/>
      <c r="G1895" s="267" t="s">
        <v>27</v>
      </c>
      <c r="H1895" s="3"/>
    </row>
    <row r="1896" spans="1:8">
      <c r="A1896" s="270">
        <v>44872</v>
      </c>
      <c r="B1896" s="267"/>
      <c r="C1896" s="267" t="s">
        <v>79</v>
      </c>
      <c r="D1896" s="3" t="s">
        <v>395</v>
      </c>
      <c r="E1896" s="1497">
        <v>3826.64</v>
      </c>
      <c r="F1896" s="1497"/>
      <c r="G1896" s="267" t="s">
        <v>27</v>
      </c>
      <c r="H1896" s="3"/>
    </row>
    <row r="1897" spans="1:8">
      <c r="A1897" s="270">
        <v>44872</v>
      </c>
      <c r="B1897" s="267"/>
      <c r="C1897" s="267" t="s">
        <v>79</v>
      </c>
      <c r="D1897" s="3" t="s">
        <v>1229</v>
      </c>
      <c r="E1897" s="1497">
        <v>10708.1</v>
      </c>
      <c r="F1897" s="1497"/>
      <c r="G1897" s="267" t="s">
        <v>108</v>
      </c>
      <c r="H1897" s="3"/>
    </row>
    <row r="1898" spans="1:8" s="157" customFormat="1">
      <c r="A1898" s="112">
        <v>44873</v>
      </c>
      <c r="B1898" s="70"/>
      <c r="C1898" s="70" t="s">
        <v>1226</v>
      </c>
      <c r="D1898" s="113" t="s">
        <v>344</v>
      </c>
      <c r="E1898" s="70">
        <v>90241.44</v>
      </c>
      <c r="F1898" s="70"/>
      <c r="G1898" s="70" t="s">
        <v>108</v>
      </c>
      <c r="H1898" s="113"/>
    </row>
    <row r="1899" spans="1:8">
      <c r="A1899" s="119">
        <v>44873</v>
      </c>
      <c r="B1899" s="57"/>
      <c r="C1899" s="57" t="s">
        <v>86</v>
      </c>
      <c r="D1899" s="85" t="s">
        <v>104</v>
      </c>
      <c r="E1899" s="57">
        <v>3000</v>
      </c>
      <c r="F1899" s="57"/>
      <c r="G1899" s="57" t="s">
        <v>27</v>
      </c>
      <c r="H1899" s="85"/>
    </row>
    <row r="1900" spans="1:8">
      <c r="A1900" s="270">
        <v>44873</v>
      </c>
      <c r="B1900" s="267"/>
      <c r="C1900" s="267" t="s">
        <v>79</v>
      </c>
      <c r="D1900" s="15" t="s">
        <v>640</v>
      </c>
      <c r="E1900" s="1497">
        <v>10700</v>
      </c>
      <c r="F1900" s="1497"/>
      <c r="G1900" s="267" t="s">
        <v>27</v>
      </c>
      <c r="H1900" s="3"/>
    </row>
    <row r="1901" spans="1:8">
      <c r="A1901" s="119">
        <v>44873</v>
      </c>
      <c r="B1901" s="267"/>
      <c r="C1901" s="267" t="s">
        <v>185</v>
      </c>
      <c r="D1901" s="3" t="s">
        <v>1227</v>
      </c>
      <c r="E1901" s="1497">
        <v>39075.39</v>
      </c>
      <c r="F1901" s="1497"/>
      <c r="G1901" s="267" t="s">
        <v>27</v>
      </c>
      <c r="H1901" s="3"/>
    </row>
    <row r="1902" spans="1:8">
      <c r="A1902" s="270">
        <v>44873</v>
      </c>
      <c r="B1902" s="267"/>
      <c r="C1902" s="267" t="s">
        <v>86</v>
      </c>
      <c r="D1902" s="3" t="s">
        <v>104</v>
      </c>
      <c r="E1902" s="1497">
        <v>30000</v>
      </c>
      <c r="F1902" s="1497"/>
      <c r="G1902" s="267" t="s">
        <v>56</v>
      </c>
      <c r="H1902" s="3"/>
    </row>
    <row r="1903" spans="1:8">
      <c r="A1903" s="119">
        <v>44873</v>
      </c>
      <c r="B1903" s="267"/>
      <c r="C1903" s="267" t="s">
        <v>77</v>
      </c>
      <c r="D1903" s="3" t="s">
        <v>1228</v>
      </c>
      <c r="E1903" s="1497">
        <v>60000</v>
      </c>
      <c r="F1903" s="1497"/>
      <c r="G1903" s="267" t="s">
        <v>56</v>
      </c>
      <c r="H1903" s="3"/>
    </row>
    <row r="1904" spans="1:8">
      <c r="A1904" s="270">
        <v>44874</v>
      </c>
      <c r="B1904" s="267"/>
      <c r="C1904" s="267" t="s">
        <v>86</v>
      </c>
      <c r="D1904" s="3" t="s">
        <v>107</v>
      </c>
      <c r="E1904" s="1497">
        <v>4000</v>
      </c>
      <c r="F1904" s="1497"/>
      <c r="G1904" s="267" t="s">
        <v>27</v>
      </c>
      <c r="H1904" s="3"/>
    </row>
    <row r="1905" spans="1:8">
      <c r="A1905" s="270">
        <v>44874</v>
      </c>
      <c r="B1905" s="267"/>
      <c r="C1905" s="267" t="s">
        <v>28</v>
      </c>
      <c r="D1905" s="3" t="s">
        <v>1230</v>
      </c>
      <c r="E1905" s="1497">
        <v>5043.7</v>
      </c>
      <c r="F1905" s="1497"/>
      <c r="G1905" s="267" t="s">
        <v>27</v>
      </c>
      <c r="H1905" s="3"/>
    </row>
    <row r="1906" spans="1:8">
      <c r="A1906" s="270">
        <v>44874</v>
      </c>
      <c r="B1906" s="267"/>
      <c r="C1906" s="267" t="s">
        <v>79</v>
      </c>
      <c r="D1906" s="3" t="s">
        <v>1231</v>
      </c>
      <c r="E1906" s="1497">
        <v>2267.3000000000002</v>
      </c>
      <c r="F1906" s="1497"/>
      <c r="G1906" s="267" t="s">
        <v>27</v>
      </c>
      <c r="H1906" s="3"/>
    </row>
    <row r="1907" spans="1:8">
      <c r="A1907" s="270">
        <v>44874</v>
      </c>
      <c r="B1907" s="267"/>
      <c r="C1907" s="267" t="s">
        <v>79</v>
      </c>
      <c r="D1907" s="3" t="s">
        <v>79</v>
      </c>
      <c r="E1907" s="1497">
        <v>1500</v>
      </c>
      <c r="F1907" s="1497"/>
      <c r="G1907" s="267" t="s">
        <v>56</v>
      </c>
      <c r="H1907" s="3"/>
    </row>
    <row r="1908" spans="1:8">
      <c r="A1908" s="270">
        <v>44874</v>
      </c>
      <c r="B1908" s="267"/>
      <c r="C1908" s="267" t="s">
        <v>327</v>
      </c>
      <c r="D1908" s="15" t="s">
        <v>957</v>
      </c>
      <c r="E1908" s="1497"/>
      <c r="F1908" s="1497">
        <v>15470</v>
      </c>
      <c r="G1908" s="267"/>
      <c r="H1908" s="3"/>
    </row>
    <row r="1909" spans="1:8">
      <c r="A1909" s="270">
        <v>44874</v>
      </c>
      <c r="B1909" s="267"/>
      <c r="C1909" s="267" t="s">
        <v>77</v>
      </c>
      <c r="D1909" s="15" t="s">
        <v>1232</v>
      </c>
      <c r="E1909" s="1497"/>
      <c r="F1909" s="1497">
        <v>76600</v>
      </c>
      <c r="G1909" s="267"/>
      <c r="H1909" s="3"/>
    </row>
    <row r="1910" spans="1:8">
      <c r="A1910" s="270">
        <v>44874</v>
      </c>
      <c r="B1910" s="267"/>
      <c r="C1910" s="267" t="s">
        <v>68</v>
      </c>
      <c r="D1910" s="15" t="s">
        <v>453</v>
      </c>
      <c r="E1910" s="1497">
        <v>2400</v>
      </c>
      <c r="F1910" s="1497"/>
      <c r="G1910" s="267" t="s">
        <v>56</v>
      </c>
      <c r="H1910" s="3"/>
    </row>
    <row r="1911" spans="1:8">
      <c r="A1911" s="270">
        <v>44874</v>
      </c>
      <c r="B1911" s="267"/>
      <c r="C1911" s="267" t="s">
        <v>205</v>
      </c>
      <c r="D1911" s="15" t="s">
        <v>71</v>
      </c>
      <c r="E1911" s="1497">
        <v>76600</v>
      </c>
      <c r="F1911" s="1497"/>
      <c r="G1911" s="267" t="s">
        <v>72</v>
      </c>
      <c r="H1911" s="3"/>
    </row>
    <row r="1912" spans="1:8">
      <c r="A1912" s="270">
        <v>44874</v>
      </c>
      <c r="B1912" s="267"/>
      <c r="C1912" s="267" t="s">
        <v>77</v>
      </c>
      <c r="D1912" s="15" t="s">
        <v>1233</v>
      </c>
      <c r="E1912" s="1497"/>
      <c r="F1912" s="1497">
        <v>57900</v>
      </c>
      <c r="G1912" s="267" t="s">
        <v>56</v>
      </c>
      <c r="H1912" s="3"/>
    </row>
    <row r="1913" spans="1:8">
      <c r="A1913" s="270">
        <v>44874</v>
      </c>
      <c r="B1913" s="267"/>
      <c r="C1913" s="267" t="s">
        <v>150</v>
      </c>
      <c r="D1913" s="15" t="s">
        <v>319</v>
      </c>
      <c r="E1913" s="1497">
        <v>60000</v>
      </c>
      <c r="F1913" s="1497"/>
      <c r="G1913" s="267" t="s">
        <v>56</v>
      </c>
      <c r="H1913" s="3"/>
    </row>
    <row r="1914" spans="1:8">
      <c r="A1914" s="270">
        <v>44874</v>
      </c>
      <c r="B1914" s="267"/>
      <c r="C1914" s="267" t="s">
        <v>205</v>
      </c>
      <c r="D1914" s="15" t="s">
        <v>1234</v>
      </c>
      <c r="E1914" s="1497">
        <v>64369</v>
      </c>
      <c r="F1914" s="1497"/>
      <c r="G1914" s="267" t="s">
        <v>27</v>
      </c>
      <c r="H1914" s="3"/>
    </row>
    <row r="1915" spans="1:8">
      <c r="A1915" s="270">
        <v>44875</v>
      </c>
      <c r="B1915" s="267"/>
      <c r="C1915" s="267" t="s">
        <v>55</v>
      </c>
      <c r="D1915" s="15" t="s">
        <v>60</v>
      </c>
      <c r="E1915" s="1497">
        <v>1200</v>
      </c>
      <c r="F1915" s="1497"/>
      <c r="G1915" s="267" t="s">
        <v>56</v>
      </c>
      <c r="H1915" s="3"/>
    </row>
    <row r="1916" spans="1:8">
      <c r="A1916" s="270">
        <v>44875</v>
      </c>
      <c r="B1916" s="267"/>
      <c r="C1916" s="267" t="s">
        <v>77</v>
      </c>
      <c r="D1916" s="3" t="s">
        <v>1241</v>
      </c>
      <c r="E1916" s="1497"/>
      <c r="F1916" s="1497">
        <v>123000</v>
      </c>
      <c r="G1916" s="267" t="s">
        <v>72</v>
      </c>
      <c r="H1916" s="3"/>
    </row>
    <row r="1917" spans="1:8">
      <c r="A1917" s="270">
        <v>44875</v>
      </c>
      <c r="B1917" s="267"/>
      <c r="C1917" s="267" t="s">
        <v>205</v>
      </c>
      <c r="D1917" s="3" t="s">
        <v>63</v>
      </c>
      <c r="E1917" s="1497">
        <v>5148.8999999999996</v>
      </c>
      <c r="F1917" s="1497"/>
      <c r="G1917" s="267" t="s">
        <v>27</v>
      </c>
      <c r="H1917" s="3"/>
    </row>
    <row r="1918" spans="1:8">
      <c r="A1918" s="270">
        <v>44875</v>
      </c>
      <c r="B1918" s="267"/>
      <c r="C1918" s="267" t="s">
        <v>79</v>
      </c>
      <c r="D1918" s="3" t="s">
        <v>347</v>
      </c>
      <c r="E1918" s="1497">
        <v>400</v>
      </c>
      <c r="F1918" s="1497"/>
      <c r="G1918" s="267" t="s">
        <v>56</v>
      </c>
      <c r="H1918" s="3"/>
    </row>
    <row r="1919" spans="1:8">
      <c r="A1919" s="270">
        <v>44875</v>
      </c>
      <c r="B1919" s="267"/>
      <c r="C1919" s="267" t="s">
        <v>55</v>
      </c>
      <c r="D1919" s="3" t="s">
        <v>1236</v>
      </c>
      <c r="E1919" s="1497">
        <v>700</v>
      </c>
      <c r="F1919" s="1497"/>
      <c r="G1919" s="267" t="s">
        <v>56</v>
      </c>
      <c r="H1919" s="3"/>
    </row>
    <row r="1920" spans="1:8">
      <c r="A1920" s="270">
        <v>44875</v>
      </c>
      <c r="B1920" s="267"/>
      <c r="C1920" s="267" t="s">
        <v>205</v>
      </c>
      <c r="D1920" s="3" t="s">
        <v>71</v>
      </c>
      <c r="E1920" s="1497">
        <v>68000</v>
      </c>
      <c r="F1920" s="1497"/>
      <c r="G1920" s="267" t="s">
        <v>72</v>
      </c>
      <c r="H1920" s="3"/>
    </row>
    <row r="1921" spans="1:8">
      <c r="A1921" s="270">
        <v>44875</v>
      </c>
      <c r="B1921" s="267"/>
      <c r="C1921" s="267" t="s">
        <v>88</v>
      </c>
      <c r="D1921" s="3" t="s">
        <v>1237</v>
      </c>
      <c r="E1921" s="1497">
        <v>47500</v>
      </c>
      <c r="F1921" s="1497"/>
      <c r="G1921" s="267" t="s">
        <v>56</v>
      </c>
      <c r="H1921" s="3"/>
    </row>
    <row r="1922" spans="1:8">
      <c r="A1922" s="270">
        <v>44875</v>
      </c>
      <c r="B1922" s="267"/>
      <c r="C1922" s="267" t="s">
        <v>88</v>
      </c>
      <c r="D1922" s="3" t="s">
        <v>144</v>
      </c>
      <c r="E1922" s="1497">
        <v>42500</v>
      </c>
      <c r="F1922" s="1497"/>
      <c r="G1922" s="267" t="s">
        <v>56</v>
      </c>
      <c r="H1922" s="3"/>
    </row>
    <row r="1923" spans="1:8">
      <c r="A1923" s="270">
        <v>44875</v>
      </c>
      <c r="B1923" s="267"/>
      <c r="C1923" s="267" t="s">
        <v>88</v>
      </c>
      <c r="D1923" s="3" t="s">
        <v>234</v>
      </c>
      <c r="E1923" s="1497">
        <v>18000</v>
      </c>
      <c r="F1923" s="1497"/>
      <c r="G1923" s="267" t="s">
        <v>56</v>
      </c>
      <c r="H1923" s="3"/>
    </row>
    <row r="1924" spans="1:8">
      <c r="A1924" s="270">
        <v>44875</v>
      </c>
      <c r="B1924" s="267"/>
      <c r="C1924" s="267" t="s">
        <v>79</v>
      </c>
      <c r="D1924" s="3" t="s">
        <v>1228</v>
      </c>
      <c r="E1924" s="1497"/>
      <c r="F1924" s="1497">
        <v>65000</v>
      </c>
      <c r="G1924" s="267" t="s">
        <v>56</v>
      </c>
      <c r="H1924" s="3"/>
    </row>
    <row r="1925" spans="1:8" ht="15.75" thickBot="1">
      <c r="A1925" s="270">
        <v>44875</v>
      </c>
      <c r="B1925" s="267"/>
      <c r="C1925" s="267" t="s">
        <v>79</v>
      </c>
      <c r="D1925" s="15" t="s">
        <v>640</v>
      </c>
      <c r="E1925" s="1497">
        <v>17420</v>
      </c>
      <c r="F1925" s="1497"/>
      <c r="G1925" s="267" t="s">
        <v>27</v>
      </c>
      <c r="H1925" s="85"/>
    </row>
    <row r="1926" spans="1:8">
      <c r="H1926" s="149" t="s">
        <v>1238</v>
      </c>
    </row>
    <row r="1927" spans="1:8">
      <c r="H1927" s="136" t="s">
        <v>1243</v>
      </c>
    </row>
    <row r="1928" spans="1:8">
      <c r="H1928" s="137" t="s">
        <v>1214</v>
      </c>
    </row>
    <row r="1929" spans="1:8">
      <c r="H1929" s="138" t="s">
        <v>1240</v>
      </c>
    </row>
    <row r="1930" spans="1:8">
      <c r="H1930" s="138" t="s">
        <v>1239</v>
      </c>
    </row>
    <row r="1931" spans="1:8">
      <c r="H1931" s="138" t="s">
        <v>1158</v>
      </c>
    </row>
    <row r="1932" spans="1:8">
      <c r="H1932" s="138" t="s">
        <v>1244</v>
      </c>
    </row>
    <row r="1933" spans="1:8" ht="15.75" thickBot="1">
      <c r="H1933" s="147" t="s">
        <v>1242</v>
      </c>
    </row>
    <row r="1934" spans="1:8">
      <c r="A1934" s="270">
        <v>44879</v>
      </c>
      <c r="B1934" s="267"/>
      <c r="C1934" s="267" t="s">
        <v>79</v>
      </c>
      <c r="D1934" s="3" t="s">
        <v>151</v>
      </c>
      <c r="E1934" s="1497">
        <v>7000</v>
      </c>
      <c r="F1934" s="1497"/>
      <c r="G1934" s="267" t="s">
        <v>27</v>
      </c>
      <c r="H1934" s="5"/>
    </row>
    <row r="1935" spans="1:8">
      <c r="A1935" s="270">
        <v>44879</v>
      </c>
      <c r="B1935" s="267"/>
      <c r="C1935" s="267" t="s">
        <v>79</v>
      </c>
      <c r="D1935" s="3" t="s">
        <v>151</v>
      </c>
      <c r="E1935" s="1497">
        <v>8000</v>
      </c>
      <c r="F1935" s="1497"/>
      <c r="G1935" s="267" t="s">
        <v>27</v>
      </c>
      <c r="H1935" s="3"/>
    </row>
    <row r="1936" spans="1:8">
      <c r="A1936" s="270">
        <v>44879</v>
      </c>
      <c r="B1936" s="267"/>
      <c r="C1936" s="267" t="s">
        <v>79</v>
      </c>
      <c r="D1936" s="3" t="s">
        <v>151</v>
      </c>
      <c r="E1936" s="1497">
        <v>14283</v>
      </c>
      <c r="F1936" s="1497"/>
      <c r="G1936" s="267" t="s">
        <v>27</v>
      </c>
      <c r="H1936" s="3"/>
    </row>
    <row r="1937" spans="1:8">
      <c r="A1937" s="270">
        <v>44879</v>
      </c>
      <c r="B1937" s="267"/>
      <c r="C1937" s="267" t="s">
        <v>77</v>
      </c>
      <c r="D1937" s="3" t="s">
        <v>674</v>
      </c>
      <c r="E1937" s="1497"/>
      <c r="F1937" s="1497">
        <v>209200.53</v>
      </c>
      <c r="G1937" s="267" t="s">
        <v>27</v>
      </c>
      <c r="H1937" s="3"/>
    </row>
    <row r="1938" spans="1:8">
      <c r="A1938" s="270">
        <v>44879</v>
      </c>
      <c r="B1938" s="267"/>
      <c r="C1938" s="267" t="s">
        <v>79</v>
      </c>
      <c r="D1938" s="3" t="s">
        <v>151</v>
      </c>
      <c r="E1938" s="1497">
        <v>5000</v>
      </c>
      <c r="F1938" s="1497"/>
      <c r="G1938" s="267" t="s">
        <v>27</v>
      </c>
      <c r="H1938" s="3"/>
    </row>
    <row r="1939" spans="1:8">
      <c r="A1939" s="270">
        <v>44879</v>
      </c>
      <c r="B1939" s="267"/>
      <c r="C1939" s="267" t="s">
        <v>79</v>
      </c>
      <c r="D1939" s="3" t="s">
        <v>151</v>
      </c>
      <c r="E1939" s="1497">
        <v>6000</v>
      </c>
      <c r="F1939" s="1497"/>
      <c r="G1939" s="267" t="s">
        <v>27</v>
      </c>
      <c r="H1939" s="3"/>
    </row>
    <row r="1940" spans="1:8">
      <c r="A1940" s="270">
        <v>44880</v>
      </c>
      <c r="B1940" s="267"/>
      <c r="C1940" s="267" t="s">
        <v>205</v>
      </c>
      <c r="D1940" s="3" t="s">
        <v>71</v>
      </c>
      <c r="E1940" s="1497">
        <v>65000</v>
      </c>
      <c r="F1940" s="1497"/>
      <c r="G1940" s="267" t="s">
        <v>27</v>
      </c>
      <c r="H1940" s="3"/>
    </row>
    <row r="1941" spans="1:8">
      <c r="A1941" s="270">
        <v>44880</v>
      </c>
      <c r="B1941" s="267"/>
      <c r="C1941" s="267" t="s">
        <v>79</v>
      </c>
      <c r="D1941" s="3" t="s">
        <v>277</v>
      </c>
      <c r="E1941" s="1497">
        <v>20000</v>
      </c>
      <c r="F1941" s="1497"/>
      <c r="G1941" s="267" t="s">
        <v>56</v>
      </c>
      <c r="H1941" s="3"/>
    </row>
    <row r="1942" spans="1:8">
      <c r="A1942" s="270">
        <v>44880</v>
      </c>
      <c r="B1942" s="267"/>
      <c r="C1942" s="267" t="s">
        <v>176</v>
      </c>
      <c r="D1942" s="3" t="s">
        <v>1235</v>
      </c>
      <c r="E1942" s="1497">
        <v>18110</v>
      </c>
      <c r="F1942" s="1497"/>
      <c r="G1942" s="267" t="s">
        <v>56</v>
      </c>
      <c r="H1942" s="3"/>
    </row>
    <row r="1943" spans="1:8">
      <c r="A1943" s="270">
        <v>44880</v>
      </c>
      <c r="B1943" s="267"/>
      <c r="C1943" s="267" t="s">
        <v>65</v>
      </c>
      <c r="D1943" s="15" t="s">
        <v>1245</v>
      </c>
      <c r="E1943" s="1497">
        <v>8500</v>
      </c>
      <c r="F1943" s="1497"/>
      <c r="G1943" s="267" t="s">
        <v>56</v>
      </c>
      <c r="H1943" s="3"/>
    </row>
    <row r="1944" spans="1:8">
      <c r="A1944" s="270">
        <v>44880</v>
      </c>
      <c r="B1944" s="267"/>
      <c r="C1944" s="267" t="s">
        <v>79</v>
      </c>
      <c r="D1944" s="3" t="s">
        <v>1246</v>
      </c>
      <c r="E1944" s="1497">
        <v>4000</v>
      </c>
      <c r="F1944" s="1497"/>
      <c r="G1944" s="267" t="s">
        <v>56</v>
      </c>
      <c r="H1944" s="3"/>
    </row>
    <row r="1945" spans="1:8">
      <c r="A1945" s="270">
        <v>44881</v>
      </c>
      <c r="B1945" s="267"/>
      <c r="C1945" s="267" t="s">
        <v>55</v>
      </c>
      <c r="D1945" s="3" t="s">
        <v>1247</v>
      </c>
      <c r="E1945" s="1497">
        <v>737</v>
      </c>
      <c r="F1945" s="1497"/>
      <c r="G1945" s="267" t="s">
        <v>56</v>
      </c>
      <c r="H1945" s="3"/>
    </row>
    <row r="1946" spans="1:8">
      <c r="A1946" s="270">
        <v>44881</v>
      </c>
      <c r="B1946" s="267"/>
      <c r="C1946" s="267" t="s">
        <v>94</v>
      </c>
      <c r="D1946" s="3" t="s">
        <v>17</v>
      </c>
      <c r="E1946" s="1497">
        <v>1690.32</v>
      </c>
      <c r="F1946" s="1497"/>
      <c r="G1946" s="267" t="s">
        <v>27</v>
      </c>
      <c r="H1946" s="3"/>
    </row>
    <row r="1947" spans="1:8">
      <c r="A1947" s="270">
        <v>44881</v>
      </c>
      <c r="B1947" s="267"/>
      <c r="C1947" s="267" t="s">
        <v>730</v>
      </c>
      <c r="D1947" s="15" t="s">
        <v>633</v>
      </c>
      <c r="E1947" s="1497">
        <v>800</v>
      </c>
      <c r="F1947" s="1497"/>
      <c r="G1947" s="267" t="s">
        <v>56</v>
      </c>
      <c r="H1947" s="3"/>
    </row>
    <row r="1948" spans="1:8">
      <c r="A1948" s="270">
        <v>44881</v>
      </c>
      <c r="B1948" s="267"/>
      <c r="C1948" s="267" t="s">
        <v>68</v>
      </c>
      <c r="D1948" s="3" t="s">
        <v>453</v>
      </c>
      <c r="E1948" s="1497">
        <v>2400</v>
      </c>
      <c r="F1948" s="1497"/>
      <c r="G1948" s="267" t="s">
        <v>56</v>
      </c>
      <c r="H1948" s="3"/>
    </row>
    <row r="1949" spans="1:8">
      <c r="A1949" s="270">
        <v>44881</v>
      </c>
      <c r="B1949" s="267"/>
      <c r="C1949" s="267" t="s">
        <v>77</v>
      </c>
      <c r="D1949" s="3" t="s">
        <v>1248</v>
      </c>
      <c r="E1949" s="1497"/>
      <c r="F1949" s="1497">
        <v>100000</v>
      </c>
      <c r="G1949" s="267" t="s">
        <v>27</v>
      </c>
      <c r="H1949" s="3"/>
    </row>
    <row r="1950" spans="1:8">
      <c r="A1950" s="270">
        <v>44881</v>
      </c>
      <c r="B1950" s="267"/>
      <c r="C1950" s="267" t="s">
        <v>77</v>
      </c>
      <c r="D1950" s="3" t="s">
        <v>1248</v>
      </c>
      <c r="E1950" s="1497"/>
      <c r="F1950" s="1497">
        <v>330000</v>
      </c>
      <c r="G1950" s="267" t="s">
        <v>27</v>
      </c>
      <c r="H1950" s="3"/>
    </row>
    <row r="1951" spans="1:8">
      <c r="A1951" s="270">
        <v>44881</v>
      </c>
      <c r="B1951" s="267"/>
      <c r="C1951" s="267" t="s">
        <v>55</v>
      </c>
      <c r="D1951" s="3" t="s">
        <v>38</v>
      </c>
      <c r="E1951" s="1497">
        <v>500</v>
      </c>
      <c r="F1951" s="1497"/>
      <c r="G1951" s="267" t="s">
        <v>56</v>
      </c>
      <c r="H1951" s="3"/>
    </row>
    <row r="1952" spans="1:8">
      <c r="A1952" s="270">
        <v>44881</v>
      </c>
      <c r="B1952" s="267"/>
      <c r="C1952" s="267" t="s">
        <v>205</v>
      </c>
      <c r="D1952" s="3" t="s">
        <v>1249</v>
      </c>
      <c r="E1952" s="1497">
        <v>200000</v>
      </c>
      <c r="F1952" s="1497"/>
      <c r="G1952" s="267" t="s">
        <v>27</v>
      </c>
      <c r="H1952" s="3"/>
    </row>
    <row r="1953" spans="1:8">
      <c r="A1953" s="270">
        <v>44881</v>
      </c>
      <c r="B1953" s="267"/>
      <c r="C1953" s="267" t="s">
        <v>55</v>
      </c>
      <c r="D1953" s="3" t="s">
        <v>613</v>
      </c>
      <c r="E1953" s="1497">
        <v>620</v>
      </c>
      <c r="F1953" s="1497"/>
      <c r="G1953" s="267" t="s">
        <v>56</v>
      </c>
      <c r="H1953" s="3"/>
    </row>
    <row r="1954" spans="1:8">
      <c r="A1954" s="270">
        <v>44881</v>
      </c>
      <c r="B1954" s="267"/>
      <c r="C1954" s="267" t="s">
        <v>86</v>
      </c>
      <c r="D1954" s="3" t="s">
        <v>195</v>
      </c>
      <c r="E1954" s="1497">
        <v>4000</v>
      </c>
      <c r="F1954" s="1497"/>
      <c r="G1954" s="267" t="s">
        <v>27</v>
      </c>
      <c r="H1954" s="3"/>
    </row>
    <row r="1955" spans="1:8">
      <c r="A1955" s="270">
        <v>44881</v>
      </c>
      <c r="B1955" s="267"/>
      <c r="C1955" s="267" t="s">
        <v>156</v>
      </c>
      <c r="D1955" s="3" t="s">
        <v>156</v>
      </c>
      <c r="E1955" s="1497">
        <v>19065.919999999998</v>
      </c>
      <c r="F1955" s="1497"/>
      <c r="G1955" s="267" t="s">
        <v>27</v>
      </c>
      <c r="H1955" s="3"/>
    </row>
    <row r="1956" spans="1:8">
      <c r="A1956" s="270">
        <v>44882</v>
      </c>
      <c r="B1956" s="267"/>
      <c r="C1956" s="267" t="s">
        <v>77</v>
      </c>
      <c r="D1956" s="15" t="s">
        <v>1248</v>
      </c>
      <c r="E1956" s="1497"/>
      <c r="F1956" s="1497">
        <v>100000</v>
      </c>
      <c r="G1956" s="267" t="s">
        <v>27</v>
      </c>
      <c r="H1956" s="3"/>
    </row>
    <row r="1957" spans="1:8">
      <c r="A1957" s="270">
        <v>44882</v>
      </c>
      <c r="B1957" s="267"/>
      <c r="C1957" s="267" t="s">
        <v>55</v>
      </c>
      <c r="D1957" s="15" t="s">
        <v>1250</v>
      </c>
      <c r="E1957" s="1497">
        <v>4678.33</v>
      </c>
      <c r="F1957" s="1497"/>
      <c r="G1957" s="267" t="s">
        <v>27</v>
      </c>
      <c r="H1957" s="3"/>
    </row>
    <row r="1958" spans="1:8">
      <c r="A1958" s="270">
        <v>44882</v>
      </c>
      <c r="B1958" s="267"/>
      <c r="C1958" s="267" t="s">
        <v>55</v>
      </c>
      <c r="D1958" s="3" t="s">
        <v>762</v>
      </c>
      <c r="E1958" s="1497">
        <v>3500</v>
      </c>
      <c r="F1958" s="1497"/>
      <c r="G1958" s="267" t="s">
        <v>27</v>
      </c>
      <c r="H1958" s="3"/>
    </row>
    <row r="1959" spans="1:8">
      <c r="A1959" s="270">
        <v>44882</v>
      </c>
      <c r="B1959" s="267"/>
      <c r="C1959" s="267" t="s">
        <v>205</v>
      </c>
      <c r="D1959" s="3" t="s">
        <v>1249</v>
      </c>
      <c r="E1959" s="1497">
        <v>219190</v>
      </c>
      <c r="F1959" s="1497"/>
      <c r="G1959" s="267" t="s">
        <v>27</v>
      </c>
      <c r="H1959" s="3"/>
    </row>
    <row r="1960" spans="1:8">
      <c r="A1960" s="270">
        <v>44882</v>
      </c>
      <c r="B1960" s="267"/>
      <c r="C1960" s="267" t="s">
        <v>730</v>
      </c>
      <c r="D1960" s="3" t="s">
        <v>9</v>
      </c>
      <c r="E1960" s="1497">
        <v>20570</v>
      </c>
      <c r="F1960" s="1497"/>
      <c r="G1960" s="267" t="s">
        <v>287</v>
      </c>
      <c r="H1960" s="3" t="s">
        <v>1251</v>
      </c>
    </row>
    <row r="1961" spans="1:8">
      <c r="A1961" s="270">
        <v>44882</v>
      </c>
      <c r="B1961" s="267"/>
      <c r="C1961" s="267" t="s">
        <v>55</v>
      </c>
      <c r="D1961" s="15" t="s">
        <v>38</v>
      </c>
      <c r="E1961" s="1497">
        <v>530</v>
      </c>
      <c r="F1961" s="1497"/>
      <c r="G1961" s="267" t="s">
        <v>56</v>
      </c>
      <c r="H1961" s="3"/>
    </row>
    <row r="1962" spans="1:8">
      <c r="A1962" s="270">
        <v>44882</v>
      </c>
      <c r="B1962" s="267"/>
      <c r="C1962" s="267" t="s">
        <v>92</v>
      </c>
      <c r="D1962" s="3" t="s">
        <v>360</v>
      </c>
      <c r="E1962" s="1497"/>
      <c r="F1962" s="1497">
        <v>9500</v>
      </c>
      <c r="G1962" s="267" t="s">
        <v>56</v>
      </c>
      <c r="H1962" s="3"/>
    </row>
    <row r="1963" spans="1:8">
      <c r="A1963" s="270">
        <v>44882</v>
      </c>
      <c r="B1963" s="267"/>
      <c r="C1963" s="267" t="s">
        <v>86</v>
      </c>
      <c r="D1963" s="3" t="s">
        <v>104</v>
      </c>
      <c r="E1963" s="1497">
        <v>2500</v>
      </c>
      <c r="F1963" s="1497"/>
      <c r="G1963" s="267" t="s">
        <v>56</v>
      </c>
      <c r="H1963" s="3"/>
    </row>
    <row r="1964" spans="1:8">
      <c r="A1964" s="270">
        <v>44882</v>
      </c>
      <c r="B1964" s="267"/>
      <c r="C1964" s="267" t="s">
        <v>205</v>
      </c>
      <c r="D1964" s="3" t="s">
        <v>38</v>
      </c>
      <c r="E1964" s="1497">
        <v>350</v>
      </c>
      <c r="F1964" s="1497"/>
      <c r="G1964" s="267" t="s">
        <v>56</v>
      </c>
      <c r="H1964" s="3"/>
    </row>
    <row r="1965" spans="1:8">
      <c r="A1965" s="270">
        <v>44883</v>
      </c>
      <c r="B1965" s="267"/>
      <c r="C1965" s="267" t="s">
        <v>55</v>
      </c>
      <c r="D1965" s="3" t="s">
        <v>1252</v>
      </c>
      <c r="E1965" s="1497">
        <v>500</v>
      </c>
      <c r="F1965" s="1497"/>
      <c r="G1965" s="267" t="s">
        <v>56</v>
      </c>
      <c r="H1965" s="3"/>
    </row>
    <row r="1966" spans="1:8">
      <c r="A1966" s="270">
        <v>44883</v>
      </c>
      <c r="B1966" s="267"/>
      <c r="C1966" s="267" t="s">
        <v>79</v>
      </c>
      <c r="D1966" s="3" t="s">
        <v>79</v>
      </c>
      <c r="E1966" s="1497">
        <v>2000</v>
      </c>
      <c r="F1966" s="1497"/>
      <c r="G1966" s="267" t="s">
        <v>56</v>
      </c>
      <c r="H1966" s="3"/>
    </row>
    <row r="1967" spans="1:8">
      <c r="A1967" s="270">
        <v>44883</v>
      </c>
      <c r="B1967" s="267"/>
      <c r="C1967" s="267" t="s">
        <v>76</v>
      </c>
      <c r="D1967" s="3" t="s">
        <v>1228</v>
      </c>
      <c r="E1967" s="1497"/>
      <c r="F1967" s="1497">
        <v>31500</v>
      </c>
      <c r="G1967" s="267" t="s">
        <v>56</v>
      </c>
      <c r="H1967" s="3"/>
    </row>
    <row r="1968" spans="1:8">
      <c r="A1968" s="270">
        <v>44883</v>
      </c>
      <c r="B1968" s="267"/>
      <c r="C1968" s="267"/>
      <c r="D1968" s="15" t="s">
        <v>1253</v>
      </c>
      <c r="E1968" s="1497">
        <v>2500</v>
      </c>
      <c r="F1968" s="1497"/>
      <c r="G1968" s="267" t="s">
        <v>56</v>
      </c>
      <c r="H1968" s="3"/>
    </row>
    <row r="1969" spans="1:8">
      <c r="A1969" s="270">
        <v>44883</v>
      </c>
      <c r="B1969" s="267"/>
      <c r="C1969" s="267" t="s">
        <v>77</v>
      </c>
      <c r="D1969" s="15" t="s">
        <v>1248</v>
      </c>
      <c r="E1969" s="1497"/>
      <c r="F1969" s="1497">
        <v>10000</v>
      </c>
      <c r="G1969" s="267" t="s">
        <v>27</v>
      </c>
      <c r="H1969" s="3"/>
    </row>
    <row r="1970" spans="1:8">
      <c r="A1970" s="270">
        <v>44883</v>
      </c>
      <c r="B1970" s="267"/>
      <c r="C1970" s="267" t="s">
        <v>92</v>
      </c>
      <c r="D1970" s="15" t="s">
        <v>1254</v>
      </c>
      <c r="E1970" s="1497"/>
      <c r="F1970" s="1497">
        <v>28300</v>
      </c>
      <c r="G1970" s="267" t="s">
        <v>27</v>
      </c>
      <c r="H1970" s="3"/>
    </row>
    <row r="1971" spans="1:8">
      <c r="A1971" s="270">
        <v>44883</v>
      </c>
      <c r="B1971" s="267"/>
      <c r="C1971" s="267" t="s">
        <v>55</v>
      </c>
      <c r="D1971" s="3" t="s">
        <v>63</v>
      </c>
      <c r="E1971" s="1497">
        <v>1483</v>
      </c>
      <c r="F1971" s="1497"/>
      <c r="G1971" s="267" t="s">
        <v>56</v>
      </c>
      <c r="H1971" s="3"/>
    </row>
    <row r="1972" spans="1:8">
      <c r="A1972" s="270">
        <v>44883</v>
      </c>
      <c r="B1972" s="267"/>
      <c r="C1972" s="267" t="s">
        <v>88</v>
      </c>
      <c r="D1972" s="3" t="s">
        <v>750</v>
      </c>
      <c r="E1972" s="1497">
        <v>27500</v>
      </c>
      <c r="F1972" s="1497"/>
      <c r="G1972" s="267" t="s">
        <v>56</v>
      </c>
      <c r="H1972" s="3"/>
    </row>
    <row r="1973" spans="1:8">
      <c r="A1973" s="270">
        <v>44883</v>
      </c>
      <c r="B1973" s="267"/>
      <c r="C1973" s="267" t="s">
        <v>88</v>
      </c>
      <c r="D1973" s="3" t="s">
        <v>220</v>
      </c>
      <c r="E1973" s="1497">
        <v>20000</v>
      </c>
      <c r="F1973" s="1497"/>
      <c r="G1973" s="267" t="s">
        <v>56</v>
      </c>
      <c r="H1973" s="3"/>
    </row>
    <row r="1974" spans="1:8">
      <c r="A1974" s="270">
        <v>44883</v>
      </c>
      <c r="B1974" s="267"/>
      <c r="C1974" s="267" t="s">
        <v>88</v>
      </c>
      <c r="D1974" s="15" t="s">
        <v>259</v>
      </c>
      <c r="E1974" s="1497">
        <v>33000</v>
      </c>
      <c r="F1974" s="1497"/>
      <c r="G1974" s="267" t="s">
        <v>27</v>
      </c>
      <c r="H1974" s="3"/>
    </row>
    <row r="1975" spans="1:8">
      <c r="A1975" s="270">
        <v>44883</v>
      </c>
      <c r="B1975" s="267"/>
      <c r="C1975" s="267" t="s">
        <v>88</v>
      </c>
      <c r="D1975" s="15" t="s">
        <v>259</v>
      </c>
      <c r="E1975" s="1497">
        <v>9500</v>
      </c>
      <c r="F1975" s="1497"/>
      <c r="G1975" s="267" t="s">
        <v>56</v>
      </c>
      <c r="H1975" s="3"/>
    </row>
    <row r="1976" spans="1:8">
      <c r="A1976" s="270">
        <v>44883</v>
      </c>
      <c r="B1976" s="267"/>
      <c r="C1976" s="267" t="s">
        <v>88</v>
      </c>
      <c r="D1976" s="3" t="s">
        <v>234</v>
      </c>
      <c r="E1976" s="1497">
        <v>18000</v>
      </c>
      <c r="F1976" s="1497"/>
      <c r="G1976" s="267" t="s">
        <v>56</v>
      </c>
      <c r="H1976" s="3"/>
    </row>
    <row r="1977" spans="1:8">
      <c r="A1977" s="270">
        <v>44883</v>
      </c>
      <c r="B1977" s="267"/>
      <c r="C1977" s="267" t="s">
        <v>79</v>
      </c>
      <c r="D1977" s="3" t="s">
        <v>166</v>
      </c>
      <c r="E1977" s="1497">
        <v>50000</v>
      </c>
      <c r="F1977" s="1497"/>
      <c r="G1977" s="267" t="s">
        <v>27</v>
      </c>
      <c r="H1977" s="3"/>
    </row>
    <row r="1978" spans="1:8">
      <c r="A1978" s="270">
        <v>44883</v>
      </c>
      <c r="B1978" s="267"/>
      <c r="C1978" s="267" t="s">
        <v>308</v>
      </c>
      <c r="D1978" s="3" t="s">
        <v>232</v>
      </c>
      <c r="E1978" s="1497">
        <v>14930</v>
      </c>
      <c r="F1978" s="1497"/>
      <c r="G1978" s="267" t="s">
        <v>27</v>
      </c>
      <c r="H1978" s="3"/>
    </row>
    <row r="1979" spans="1:8">
      <c r="A1979" s="270">
        <v>44883</v>
      </c>
      <c r="B1979" s="267"/>
      <c r="C1979" s="267" t="s">
        <v>150</v>
      </c>
      <c r="D1979" s="3" t="s">
        <v>1257</v>
      </c>
      <c r="E1979" s="1497"/>
      <c r="F1979" s="1497">
        <v>33000</v>
      </c>
      <c r="G1979" s="267" t="s">
        <v>108</v>
      </c>
      <c r="H1979" s="3"/>
    </row>
    <row r="1980" spans="1:8" ht="15.75" thickBot="1">
      <c r="A1980" s="270">
        <v>44883</v>
      </c>
      <c r="B1980" s="267"/>
      <c r="C1980" s="267" t="s">
        <v>1261</v>
      </c>
      <c r="D1980" s="3" t="s">
        <v>1260</v>
      </c>
      <c r="E1980" s="1497"/>
      <c r="F1980" s="1497">
        <v>2000</v>
      </c>
      <c r="G1980" s="267"/>
      <c r="H1980" s="85"/>
    </row>
    <row r="1981" spans="1:8">
      <c r="H1981" s="149" t="s">
        <v>1256</v>
      </c>
    </row>
    <row r="1982" spans="1:8">
      <c r="H1982" s="136" t="s">
        <v>1258</v>
      </c>
    </row>
    <row r="1983" spans="1:8">
      <c r="H1983" s="137" t="s">
        <v>1259</v>
      </c>
    </row>
    <row r="1984" spans="1:8">
      <c r="H1984" s="138" t="s">
        <v>1262</v>
      </c>
    </row>
    <row r="1985" spans="1:8">
      <c r="H1985" s="138" t="s">
        <v>1264</v>
      </c>
    </row>
    <row r="1986" spans="1:8">
      <c r="H1986" s="138" t="s">
        <v>1158</v>
      </c>
    </row>
    <row r="1987" spans="1:8">
      <c r="H1987" s="138" t="s">
        <v>1263</v>
      </c>
    </row>
    <row r="1988" spans="1:8" ht="15.75" thickBot="1">
      <c r="H1988" s="147" t="s">
        <v>1242</v>
      </c>
    </row>
    <row r="1989" spans="1:8">
      <c r="A1989" s="270">
        <v>44884</v>
      </c>
      <c r="B1989" s="267"/>
      <c r="C1989" s="267" t="s">
        <v>77</v>
      </c>
      <c r="D1989" s="3" t="s">
        <v>1265</v>
      </c>
      <c r="E1989" s="1497"/>
      <c r="F1989" s="1497">
        <v>35000</v>
      </c>
      <c r="G1989" s="267" t="s">
        <v>27</v>
      </c>
      <c r="H1989" s="5"/>
    </row>
    <row r="1990" spans="1:8">
      <c r="A1990" s="270">
        <v>44884</v>
      </c>
      <c r="B1990" s="267"/>
      <c r="C1990" s="267" t="s">
        <v>79</v>
      </c>
      <c r="D1990" s="3" t="s">
        <v>151</v>
      </c>
      <c r="E1990" s="1497">
        <v>9432.02</v>
      </c>
      <c r="F1990" s="1497"/>
      <c r="G1990" s="267" t="s">
        <v>27</v>
      </c>
      <c r="H1990" s="3"/>
    </row>
    <row r="1991" spans="1:8">
      <c r="A1991" s="270">
        <v>44887</v>
      </c>
      <c r="B1991" s="267"/>
      <c r="C1991" s="267" t="s">
        <v>122</v>
      </c>
      <c r="D1991" s="3" t="s">
        <v>1266</v>
      </c>
      <c r="E1991" s="1497">
        <v>67390</v>
      </c>
      <c r="F1991" s="1497"/>
      <c r="G1991" s="267" t="s">
        <v>27</v>
      </c>
      <c r="H1991" s="3"/>
    </row>
    <row r="1992" spans="1:8">
      <c r="A1992" s="270">
        <v>44887</v>
      </c>
      <c r="B1992" s="267"/>
      <c r="C1992" s="267" t="s">
        <v>76</v>
      </c>
      <c r="D1992" s="3" t="s">
        <v>423</v>
      </c>
      <c r="E1992" s="1497"/>
      <c r="F1992" s="1497">
        <v>105000</v>
      </c>
      <c r="G1992" s="267" t="s">
        <v>56</v>
      </c>
      <c r="H1992" s="3" t="s">
        <v>1267</v>
      </c>
    </row>
    <row r="1993" spans="1:8">
      <c r="A1993" s="270">
        <v>44887</v>
      </c>
      <c r="B1993" s="267"/>
      <c r="C1993" s="267" t="s">
        <v>55</v>
      </c>
      <c r="D1993" s="3" t="s">
        <v>1268</v>
      </c>
      <c r="E1993" s="1497">
        <v>10000</v>
      </c>
      <c r="F1993" s="1497"/>
      <c r="G1993" s="267" t="s">
        <v>584</v>
      </c>
      <c r="H1993" s="3"/>
    </row>
    <row r="1994" spans="1:8">
      <c r="A1994" s="270">
        <v>44887</v>
      </c>
      <c r="B1994" s="267"/>
      <c r="C1994" s="267" t="s">
        <v>871</v>
      </c>
      <c r="D1994" s="15" t="s">
        <v>1271</v>
      </c>
      <c r="E1994" s="1497">
        <v>906000</v>
      </c>
      <c r="F1994" s="1497"/>
      <c r="G1994" s="267" t="s">
        <v>781</v>
      </c>
      <c r="H1994" s="3" t="s">
        <v>1269</v>
      </c>
    </row>
    <row r="1995" spans="1:8">
      <c r="A1995" s="270">
        <v>44887</v>
      </c>
      <c r="B1995" s="267"/>
      <c r="C1995" s="267" t="s">
        <v>871</v>
      </c>
      <c r="D1995" s="15" t="s">
        <v>1271</v>
      </c>
      <c r="E1995" s="1497"/>
      <c r="F1995" s="1497">
        <v>906000</v>
      </c>
      <c r="G1995" s="267" t="s">
        <v>781</v>
      </c>
      <c r="H1995" s="3"/>
    </row>
    <row r="1996" spans="1:8">
      <c r="A1996" s="270">
        <v>44887</v>
      </c>
      <c r="B1996" s="267"/>
      <c r="C1996" s="267" t="s">
        <v>205</v>
      </c>
      <c r="D1996" s="3" t="s">
        <v>1270</v>
      </c>
      <c r="E1996" s="1497">
        <v>895000</v>
      </c>
      <c r="F1996" s="1497"/>
      <c r="G1996" s="267" t="s">
        <v>781</v>
      </c>
      <c r="H1996" s="71">
        <v>11000</v>
      </c>
    </row>
    <row r="1997" spans="1:8">
      <c r="A1997" s="270">
        <v>44887</v>
      </c>
      <c r="B1997" s="267"/>
      <c r="C1997" s="267" t="s">
        <v>1261</v>
      </c>
      <c r="D1997" s="3" t="s">
        <v>1272</v>
      </c>
      <c r="E1997" s="1497">
        <v>94280</v>
      </c>
      <c r="F1997" s="1497"/>
      <c r="G1997" s="267" t="s">
        <v>27</v>
      </c>
      <c r="H1997" s="3" t="s">
        <v>609</v>
      </c>
    </row>
    <row r="1998" spans="1:8">
      <c r="A1998" s="270">
        <v>44888</v>
      </c>
      <c r="B1998" s="267"/>
      <c r="C1998" s="267" t="s">
        <v>55</v>
      </c>
      <c r="D1998" s="3" t="s">
        <v>562</v>
      </c>
      <c r="E1998" s="1497">
        <v>500</v>
      </c>
      <c r="F1998" s="1497"/>
      <c r="G1998" s="267" t="s">
        <v>56</v>
      </c>
      <c r="H1998" s="3"/>
    </row>
    <row r="1999" spans="1:8">
      <c r="A1999" s="270">
        <v>44888</v>
      </c>
      <c r="B1999" s="267"/>
      <c r="C1999" s="267" t="s">
        <v>55</v>
      </c>
      <c r="D1999" s="3" t="s">
        <v>63</v>
      </c>
      <c r="E1999" s="1497">
        <v>207.14</v>
      </c>
      <c r="F1999" s="1497"/>
      <c r="G1999" s="267" t="s">
        <v>27</v>
      </c>
      <c r="H1999" s="3"/>
    </row>
    <row r="2000" spans="1:8">
      <c r="A2000" s="270">
        <v>44888</v>
      </c>
      <c r="B2000" s="267"/>
      <c r="C2000" s="267" t="s">
        <v>55</v>
      </c>
      <c r="D2000" s="3" t="s">
        <v>63</v>
      </c>
      <c r="E2000" s="1497">
        <v>5715.27</v>
      </c>
      <c r="F2000" s="1497"/>
      <c r="G2000" s="267" t="s">
        <v>56</v>
      </c>
      <c r="H2000" s="3"/>
    </row>
    <row r="2001" spans="1:8">
      <c r="A2001" s="270">
        <v>44888</v>
      </c>
      <c r="B2001" s="267"/>
      <c r="C2001" s="267" t="s">
        <v>77</v>
      </c>
      <c r="D2001" s="3" t="s">
        <v>423</v>
      </c>
      <c r="E2001" s="1497"/>
      <c r="F2001" s="1497">
        <v>100000</v>
      </c>
      <c r="G2001" s="267" t="s">
        <v>56</v>
      </c>
      <c r="H2001" s="3"/>
    </row>
    <row r="2002" spans="1:8">
      <c r="A2002" s="270">
        <v>44888</v>
      </c>
      <c r="B2002" s="267"/>
      <c r="C2002" s="267" t="s">
        <v>55</v>
      </c>
      <c r="D2002" s="3" t="s">
        <v>1273</v>
      </c>
      <c r="E2002" s="1497">
        <v>10000</v>
      </c>
      <c r="F2002" s="1497"/>
      <c r="G2002" s="267" t="s">
        <v>56</v>
      </c>
      <c r="H2002" s="3"/>
    </row>
    <row r="2003" spans="1:8">
      <c r="A2003" s="270">
        <v>44888</v>
      </c>
      <c r="B2003" s="267"/>
      <c r="C2003" s="267" t="s">
        <v>68</v>
      </c>
      <c r="D2003" s="3" t="s">
        <v>453</v>
      </c>
      <c r="E2003" s="1497">
        <v>2400</v>
      </c>
      <c r="F2003" s="1497"/>
      <c r="G2003" s="267" t="s">
        <v>56</v>
      </c>
      <c r="H2003" s="3"/>
    </row>
    <row r="2004" spans="1:8">
      <c r="A2004" s="270">
        <v>44888</v>
      </c>
      <c r="B2004" s="267"/>
      <c r="C2004" s="267" t="s">
        <v>77</v>
      </c>
      <c r="D2004" s="3" t="s">
        <v>497</v>
      </c>
      <c r="E2004" s="1497"/>
      <c r="F2004" s="1497">
        <v>123200</v>
      </c>
      <c r="G2004" s="267" t="s">
        <v>781</v>
      </c>
      <c r="H2004" s="45" t="s">
        <v>1274</v>
      </c>
    </row>
    <row r="2005" spans="1:8">
      <c r="A2005" s="270">
        <v>44888</v>
      </c>
      <c r="B2005" s="267"/>
      <c r="C2005" s="267" t="s">
        <v>205</v>
      </c>
      <c r="D2005" s="3" t="s">
        <v>319</v>
      </c>
      <c r="E2005" s="1497"/>
      <c r="F2005" s="1497">
        <v>135000</v>
      </c>
      <c r="G2005" s="267" t="s">
        <v>614</v>
      </c>
      <c r="H2005" s="3"/>
    </row>
    <row r="2006" spans="1:8">
      <c r="A2006" s="270">
        <v>44888</v>
      </c>
      <c r="B2006" s="267"/>
      <c r="C2006" s="267" t="s">
        <v>205</v>
      </c>
      <c r="D2006" s="15" t="s">
        <v>319</v>
      </c>
      <c r="E2006" s="1497"/>
      <c r="F2006" s="1497">
        <v>11000</v>
      </c>
      <c r="G2006" s="267" t="s">
        <v>781</v>
      </c>
      <c r="H2006" s="159" t="s">
        <v>1271</v>
      </c>
    </row>
    <row r="2007" spans="1:8">
      <c r="A2007" s="270">
        <v>44888</v>
      </c>
      <c r="B2007" s="267"/>
      <c r="C2007" s="267" t="s">
        <v>537</v>
      </c>
      <c r="D2007" s="3" t="s">
        <v>1275</v>
      </c>
      <c r="E2007" s="1497">
        <v>3300</v>
      </c>
      <c r="F2007" s="1497"/>
      <c r="G2007" s="267" t="s">
        <v>27</v>
      </c>
      <c r="H2007" s="3"/>
    </row>
    <row r="2008" spans="1:8">
      <c r="A2008" s="270">
        <v>44888</v>
      </c>
      <c r="B2008" s="267"/>
      <c r="C2008" s="267" t="s">
        <v>205</v>
      </c>
      <c r="D2008" s="3" t="s">
        <v>1276</v>
      </c>
      <c r="E2008" s="1497">
        <v>391424</v>
      </c>
      <c r="F2008" s="1497"/>
      <c r="G2008" s="267" t="s">
        <v>27</v>
      </c>
      <c r="H2008" s="3"/>
    </row>
    <row r="2009" spans="1:8">
      <c r="A2009" s="270">
        <v>44888</v>
      </c>
      <c r="B2009" s="267"/>
      <c r="C2009" s="267" t="s">
        <v>77</v>
      </c>
      <c r="D2009" s="3" t="s">
        <v>1277</v>
      </c>
      <c r="E2009" s="1497"/>
      <c r="F2009" s="1497">
        <v>120000</v>
      </c>
      <c r="G2009" s="267" t="s">
        <v>56</v>
      </c>
      <c r="H2009" s="3"/>
    </row>
    <row r="2010" spans="1:8">
      <c r="A2010" s="270">
        <v>44889</v>
      </c>
      <c r="B2010" s="267"/>
      <c r="C2010" s="267" t="s">
        <v>87</v>
      </c>
      <c r="D2010" s="3" t="s">
        <v>508</v>
      </c>
      <c r="E2010" s="1497">
        <v>55000</v>
      </c>
      <c r="F2010" s="1497"/>
      <c r="G2010" s="267" t="s">
        <v>1279</v>
      </c>
      <c r="H2010" s="3" t="s">
        <v>1278</v>
      </c>
    </row>
    <row r="2011" spans="1:8">
      <c r="A2011" s="270">
        <v>44889</v>
      </c>
      <c r="B2011" s="267"/>
      <c r="C2011" s="267" t="s">
        <v>87</v>
      </c>
      <c r="D2011" s="3" t="s">
        <v>508</v>
      </c>
      <c r="E2011" s="1497">
        <v>20000</v>
      </c>
      <c r="F2011" s="1497"/>
      <c r="G2011" s="267" t="s">
        <v>56</v>
      </c>
      <c r="H2011" s="71">
        <v>31729.02</v>
      </c>
    </row>
    <row r="2012" spans="1:8">
      <c r="A2012" s="270">
        <v>44889</v>
      </c>
      <c r="B2012" s="267"/>
      <c r="C2012" s="267" t="s">
        <v>77</v>
      </c>
      <c r="D2012" s="3" t="s">
        <v>1277</v>
      </c>
      <c r="E2012" s="1497"/>
      <c r="F2012" s="1497">
        <v>47000</v>
      </c>
      <c r="G2012" s="267" t="s">
        <v>56</v>
      </c>
      <c r="H2012" s="3"/>
    </row>
    <row r="2013" spans="1:8">
      <c r="A2013" s="270">
        <v>44889</v>
      </c>
      <c r="B2013" s="267"/>
      <c r="C2013" s="267" t="s">
        <v>94</v>
      </c>
      <c r="D2013" s="3" t="s">
        <v>1280</v>
      </c>
      <c r="E2013" s="1497">
        <v>3925</v>
      </c>
      <c r="F2013" s="1497"/>
      <c r="G2013" s="267" t="s">
        <v>27</v>
      </c>
      <c r="H2013" s="3"/>
    </row>
    <row r="2014" spans="1:8">
      <c r="A2014" s="270">
        <v>44889</v>
      </c>
      <c r="B2014" s="267"/>
      <c r="C2014" s="267" t="s">
        <v>79</v>
      </c>
      <c r="D2014" s="3" t="s">
        <v>79</v>
      </c>
      <c r="E2014" s="1497">
        <v>5000</v>
      </c>
      <c r="F2014" s="1497"/>
      <c r="G2014" s="267" t="s">
        <v>56</v>
      </c>
      <c r="H2014" s="3"/>
    </row>
    <row r="2015" spans="1:8">
      <c r="A2015" s="270">
        <v>44890</v>
      </c>
      <c r="B2015" s="267"/>
      <c r="C2015" s="267" t="s">
        <v>79</v>
      </c>
      <c r="D2015" s="3" t="s">
        <v>181</v>
      </c>
      <c r="E2015" s="1497">
        <v>4782.9799999999996</v>
      </c>
      <c r="F2015" s="1497"/>
      <c r="G2015" s="267" t="s">
        <v>27</v>
      </c>
      <c r="H2015" s="3"/>
    </row>
    <row r="2016" spans="1:8">
      <c r="A2016" s="270">
        <v>44890</v>
      </c>
      <c r="B2016" s="267"/>
      <c r="C2016" s="267" t="s">
        <v>79</v>
      </c>
      <c r="D2016" s="3" t="s">
        <v>271</v>
      </c>
      <c r="E2016" s="1497">
        <v>836.89</v>
      </c>
      <c r="F2016" s="1497"/>
      <c r="G2016" s="267" t="s">
        <v>27</v>
      </c>
      <c r="H2016" s="3"/>
    </row>
    <row r="2017" spans="1:8">
      <c r="A2017" s="270">
        <v>44890</v>
      </c>
      <c r="B2017" s="267"/>
      <c r="C2017" s="267" t="s">
        <v>79</v>
      </c>
      <c r="D2017" s="3" t="s">
        <v>271</v>
      </c>
      <c r="E2017" s="1497">
        <v>836.89</v>
      </c>
      <c r="F2017" s="1497"/>
      <c r="G2017" s="267" t="s">
        <v>27</v>
      </c>
      <c r="H2017" s="3"/>
    </row>
    <row r="2018" spans="1:8">
      <c r="A2018" s="270">
        <v>44890</v>
      </c>
      <c r="B2018" s="267"/>
      <c r="C2018" s="267" t="s">
        <v>205</v>
      </c>
      <c r="D2018" s="3" t="s">
        <v>1281</v>
      </c>
      <c r="E2018" s="1497">
        <v>43675</v>
      </c>
      <c r="F2018" s="1497"/>
      <c r="G2018" s="267" t="s">
        <v>287</v>
      </c>
      <c r="H2018" s="3"/>
    </row>
    <row r="2019" spans="1:8" ht="15.75" thickBot="1">
      <c r="A2019" s="270">
        <v>44890</v>
      </c>
      <c r="B2019" s="267"/>
      <c r="C2019" s="267" t="s">
        <v>88</v>
      </c>
      <c r="D2019" s="3" t="s">
        <v>167</v>
      </c>
      <c r="E2019" s="1497">
        <v>104350</v>
      </c>
      <c r="F2019" s="1497"/>
      <c r="G2019" s="267" t="s">
        <v>56</v>
      </c>
      <c r="H2019" s="85"/>
    </row>
    <row r="2020" spans="1:8">
      <c r="A2020" s="267"/>
      <c r="B2020" s="267"/>
      <c r="C2020" s="267"/>
      <c r="D2020" s="3"/>
      <c r="E2020" s="1497"/>
      <c r="F2020" s="1497"/>
      <c r="G2020" s="226"/>
      <c r="H2020" s="149" t="s">
        <v>1287</v>
      </c>
    </row>
    <row r="2021" spans="1:8">
      <c r="A2021" s="267"/>
      <c r="B2021" s="267"/>
      <c r="C2021" s="267"/>
      <c r="D2021" s="3"/>
      <c r="E2021" s="1497"/>
      <c r="F2021" s="1497"/>
      <c r="G2021" s="226"/>
      <c r="H2021" s="136" t="s">
        <v>1258</v>
      </c>
    </row>
    <row r="2022" spans="1:8">
      <c r="A2022" s="267"/>
      <c r="B2022" s="267"/>
      <c r="C2022" s="267"/>
      <c r="D2022" s="3"/>
      <c r="E2022" s="1497"/>
      <c r="F2022" s="1497"/>
      <c r="G2022" s="226"/>
      <c r="H2022" s="137" t="s">
        <v>1286</v>
      </c>
    </row>
    <row r="2023" spans="1:8">
      <c r="A2023" s="267"/>
      <c r="B2023" s="267"/>
      <c r="C2023" s="267"/>
      <c r="D2023" s="3"/>
      <c r="E2023" s="1497"/>
      <c r="F2023" s="1497"/>
      <c r="G2023" s="226"/>
      <c r="H2023" s="138" t="s">
        <v>1285</v>
      </c>
    </row>
    <row r="2024" spans="1:8">
      <c r="A2024" s="267"/>
      <c r="B2024" s="267"/>
      <c r="C2024" s="267"/>
      <c r="D2024" s="3"/>
      <c r="E2024" s="1497"/>
      <c r="F2024" s="1497"/>
      <c r="G2024" s="226"/>
      <c r="H2024" s="138" t="s">
        <v>841</v>
      </c>
    </row>
    <row r="2025" spans="1:8">
      <c r="H2025" s="138" t="s">
        <v>1284</v>
      </c>
    </row>
    <row r="2026" spans="1:8">
      <c r="H2026" s="138" t="s">
        <v>1283</v>
      </c>
    </row>
    <row r="2027" spans="1:8" ht="15.75" thickBot="1">
      <c r="H2027" s="147" t="s">
        <v>1282</v>
      </c>
    </row>
    <row r="2028" spans="1:8">
      <c r="A2028" s="270">
        <v>44891</v>
      </c>
      <c r="B2028" s="267"/>
      <c r="C2028" s="267" t="s">
        <v>308</v>
      </c>
      <c r="D2028" s="3" t="s">
        <v>232</v>
      </c>
      <c r="E2028" s="1497">
        <v>13000</v>
      </c>
      <c r="F2028" s="1497"/>
      <c r="G2028" s="267" t="s">
        <v>27</v>
      </c>
      <c r="H2028" s="5"/>
    </row>
    <row r="2029" spans="1:8">
      <c r="A2029" s="270">
        <v>44893</v>
      </c>
      <c r="B2029" s="267"/>
      <c r="C2029" s="267" t="s">
        <v>79</v>
      </c>
      <c r="D2029" s="3" t="s">
        <v>151</v>
      </c>
      <c r="E2029" s="1497">
        <v>10000</v>
      </c>
      <c r="F2029" s="1497"/>
      <c r="G2029" s="267" t="s">
        <v>56</v>
      </c>
      <c r="H2029" s="3"/>
    </row>
    <row r="2030" spans="1:8">
      <c r="A2030" s="270">
        <v>44893</v>
      </c>
      <c r="B2030" s="267"/>
      <c r="C2030" s="267" t="s">
        <v>205</v>
      </c>
      <c r="D2030" s="3" t="s">
        <v>1266</v>
      </c>
      <c r="E2030" s="1497">
        <v>67392</v>
      </c>
      <c r="F2030" s="1497"/>
      <c r="G2030" s="267" t="s">
        <v>27</v>
      </c>
      <c r="H2030" s="3"/>
    </row>
    <row r="2031" spans="1:8">
      <c r="A2031" s="270">
        <v>44893</v>
      </c>
      <c r="B2031" s="267"/>
      <c r="C2031" s="267" t="s">
        <v>205</v>
      </c>
      <c r="D2031" s="3" t="s">
        <v>12</v>
      </c>
      <c r="E2031" s="1497">
        <v>9962</v>
      </c>
      <c r="F2031" s="1497"/>
      <c r="G2031" s="267" t="s">
        <v>27</v>
      </c>
      <c r="H2031" s="3"/>
    </row>
    <row r="2032" spans="1:8">
      <c r="A2032" s="270">
        <v>44893</v>
      </c>
      <c r="B2032" s="267"/>
      <c r="C2032" s="267" t="s">
        <v>156</v>
      </c>
      <c r="D2032" s="3" t="s">
        <v>156</v>
      </c>
      <c r="E2032" s="1497">
        <v>20810.46</v>
      </c>
      <c r="F2032" s="1497"/>
      <c r="G2032" s="267" t="s">
        <v>27</v>
      </c>
      <c r="H2032" s="3"/>
    </row>
    <row r="2033" spans="1:8">
      <c r="A2033" s="270">
        <v>44893</v>
      </c>
      <c r="B2033" s="267"/>
      <c r="C2033" s="267" t="s">
        <v>76</v>
      </c>
      <c r="D2033" s="3" t="s">
        <v>497</v>
      </c>
      <c r="E2033" s="1497"/>
      <c r="F2033" s="1497">
        <v>32300</v>
      </c>
      <c r="G2033" s="267" t="s">
        <v>56</v>
      </c>
      <c r="H2033" s="3"/>
    </row>
    <row r="2034" spans="1:8">
      <c r="A2034" s="270">
        <v>44893</v>
      </c>
      <c r="B2034" s="267"/>
      <c r="C2034" s="70" t="s">
        <v>86</v>
      </c>
      <c r="D2034" s="113" t="s">
        <v>104</v>
      </c>
      <c r="E2034" s="70">
        <v>2500</v>
      </c>
      <c r="F2034" s="70"/>
      <c r="G2034" s="70" t="s">
        <v>56</v>
      </c>
      <c r="H2034" s="3"/>
    </row>
    <row r="2035" spans="1:8">
      <c r="A2035" s="270">
        <v>44893</v>
      </c>
      <c r="B2035" s="267"/>
      <c r="C2035" s="267" t="s">
        <v>205</v>
      </c>
      <c r="D2035" s="3" t="s">
        <v>1288</v>
      </c>
      <c r="E2035" s="1497">
        <v>5044</v>
      </c>
      <c r="F2035" s="1497"/>
      <c r="G2035" s="267" t="s">
        <v>56</v>
      </c>
      <c r="H2035" s="3"/>
    </row>
    <row r="2036" spans="1:8">
      <c r="A2036" s="270">
        <v>44893</v>
      </c>
      <c r="B2036" s="267"/>
      <c r="C2036" s="267" t="s">
        <v>92</v>
      </c>
      <c r="D2036" s="3" t="s">
        <v>1289</v>
      </c>
      <c r="E2036" s="1497"/>
      <c r="F2036" s="1497">
        <v>18000</v>
      </c>
      <c r="G2036" s="267" t="s">
        <v>27</v>
      </c>
      <c r="H2036" s="3"/>
    </row>
    <row r="2037" spans="1:8">
      <c r="A2037" s="269">
        <v>44893</v>
      </c>
      <c r="B2037" s="268"/>
      <c r="C2037" s="268" t="s">
        <v>205</v>
      </c>
      <c r="D2037" s="83" t="s">
        <v>1290</v>
      </c>
      <c r="E2037" s="1501">
        <v>5500</v>
      </c>
      <c r="F2037" s="1501"/>
      <c r="G2037" s="268" t="s">
        <v>56</v>
      </c>
      <c r="H2037" s="83"/>
    </row>
    <row r="2038" spans="1:8">
      <c r="A2038" s="270">
        <v>44893</v>
      </c>
      <c r="B2038" s="267"/>
      <c r="C2038" s="267" t="s">
        <v>79</v>
      </c>
      <c r="D2038" s="3" t="s">
        <v>1292</v>
      </c>
      <c r="E2038" s="1497" t="s">
        <v>1291</v>
      </c>
      <c r="F2038" s="1497"/>
      <c r="G2038" s="267" t="s">
        <v>27</v>
      </c>
      <c r="H2038" s="3"/>
    </row>
    <row r="2039" spans="1:8">
      <c r="A2039" s="270">
        <v>44894</v>
      </c>
      <c r="B2039" s="267"/>
      <c r="C2039" s="267" t="s">
        <v>55</v>
      </c>
      <c r="D2039" s="3" t="s">
        <v>1293</v>
      </c>
      <c r="E2039" s="1497">
        <v>100</v>
      </c>
      <c r="F2039" s="1497"/>
      <c r="G2039" s="267" t="s">
        <v>56</v>
      </c>
      <c r="H2039" s="3"/>
    </row>
    <row r="2040" spans="1:8">
      <c r="A2040" s="270">
        <v>44894</v>
      </c>
      <c r="B2040" s="267"/>
      <c r="C2040" s="267" t="s">
        <v>205</v>
      </c>
      <c r="D2040" s="3" t="s">
        <v>42</v>
      </c>
      <c r="E2040" s="1497">
        <v>9000</v>
      </c>
      <c r="F2040" s="1497"/>
      <c r="G2040" s="267" t="s">
        <v>27</v>
      </c>
      <c r="H2040" s="3"/>
    </row>
    <row r="2041" spans="1:8">
      <c r="A2041" s="270">
        <v>44895</v>
      </c>
      <c r="B2041" s="267"/>
      <c r="C2041" s="267" t="s">
        <v>205</v>
      </c>
      <c r="D2041" s="3" t="s">
        <v>1294</v>
      </c>
      <c r="E2041" s="1497">
        <v>1000</v>
      </c>
      <c r="F2041" s="1497"/>
      <c r="G2041" s="267" t="s">
        <v>56</v>
      </c>
      <c r="H2041" s="3" t="s">
        <v>1295</v>
      </c>
    </row>
    <row r="2042" spans="1:8">
      <c r="A2042" s="270">
        <v>44895</v>
      </c>
      <c r="B2042" s="267"/>
      <c r="C2042" s="267" t="s">
        <v>55</v>
      </c>
      <c r="D2042" s="3" t="s">
        <v>453</v>
      </c>
      <c r="E2042" s="1497">
        <v>2400</v>
      </c>
      <c r="F2042" s="1497"/>
      <c r="G2042" s="267" t="s">
        <v>56</v>
      </c>
      <c r="H2042" s="3"/>
    </row>
    <row r="2043" spans="1:8" ht="15.75" thickBot="1">
      <c r="A2043" s="270">
        <v>44895</v>
      </c>
      <c r="B2043" s="267"/>
      <c r="C2043" s="267" t="s">
        <v>55</v>
      </c>
      <c r="D2043" s="3" t="s">
        <v>1296</v>
      </c>
      <c r="E2043" s="1497">
        <v>700</v>
      </c>
      <c r="F2043" s="1497"/>
      <c r="G2043" s="267" t="s">
        <v>56</v>
      </c>
      <c r="H2043" s="85" t="s">
        <v>1297</v>
      </c>
    </row>
    <row r="2044" spans="1:8">
      <c r="A2044" s="270"/>
      <c r="B2044" s="267"/>
      <c r="C2044" s="267"/>
      <c r="D2044" s="3"/>
      <c r="E2044" s="1497"/>
      <c r="F2044" s="1497"/>
      <c r="G2044" s="226"/>
      <c r="H2044" s="149" t="s">
        <v>1300</v>
      </c>
    </row>
    <row r="2045" spans="1:8">
      <c r="A2045" s="270"/>
      <c r="B2045" s="267"/>
      <c r="C2045" s="267"/>
      <c r="D2045" s="3"/>
      <c r="E2045" s="1497"/>
      <c r="F2045" s="1497"/>
      <c r="G2045" s="226"/>
      <c r="H2045" s="136" t="s">
        <v>1302</v>
      </c>
    </row>
    <row r="2046" spans="1:8">
      <c r="A2046" s="270"/>
      <c r="B2046" s="267"/>
      <c r="C2046" s="267"/>
      <c r="D2046" s="3"/>
      <c r="E2046" s="1497"/>
      <c r="F2046" s="1497"/>
      <c r="G2046" s="226"/>
      <c r="H2046" s="137" t="s">
        <v>1303</v>
      </c>
    </row>
    <row r="2047" spans="1:8">
      <c r="A2047" s="270"/>
      <c r="B2047" s="267"/>
      <c r="C2047" s="267"/>
      <c r="D2047" s="3"/>
      <c r="E2047" s="1497"/>
      <c r="F2047" s="1497"/>
      <c r="G2047" s="226"/>
      <c r="H2047" s="138" t="s">
        <v>1301</v>
      </c>
    </row>
    <row r="2048" spans="1:8">
      <c r="A2048" s="270"/>
      <c r="B2048" s="267"/>
      <c r="C2048" s="267"/>
      <c r="D2048" s="3"/>
      <c r="E2048" s="1497"/>
      <c r="F2048" s="1497"/>
      <c r="G2048" s="226"/>
      <c r="H2048" s="138" t="s">
        <v>841</v>
      </c>
    </row>
    <row r="2049" spans="1:8">
      <c r="A2049" s="160"/>
      <c r="B2049" s="227"/>
      <c r="C2049" s="227"/>
      <c r="D2049" s="161"/>
      <c r="E2049" s="1503"/>
      <c r="F2049" s="1503"/>
      <c r="G2049" s="227"/>
      <c r="H2049" s="138" t="s">
        <v>1284</v>
      </c>
    </row>
    <row r="2050" spans="1:8">
      <c r="A2050" s="160"/>
      <c r="B2050" s="227"/>
      <c r="C2050" s="227"/>
      <c r="D2050" s="161"/>
      <c r="E2050" s="1503"/>
      <c r="F2050" s="1503"/>
      <c r="G2050" s="227"/>
      <c r="H2050" s="138" t="s">
        <v>1283</v>
      </c>
    </row>
    <row r="2051" spans="1:8" ht="15.75" thickBot="1">
      <c r="A2051" s="162"/>
      <c r="B2051" s="245"/>
      <c r="C2051" s="245"/>
      <c r="D2051" s="59"/>
      <c r="E2051" s="245"/>
      <c r="F2051" s="245"/>
      <c r="G2051" s="245"/>
      <c r="H2051" s="139" t="s">
        <v>1304</v>
      </c>
    </row>
    <row r="2052" spans="1:8" ht="15.75" thickBot="1">
      <c r="A2052" s="258" t="s">
        <v>1305</v>
      </c>
      <c r="B2052" s="259"/>
      <c r="C2052" s="259"/>
      <c r="D2052" s="259"/>
      <c r="E2052" s="259"/>
      <c r="F2052" s="259"/>
      <c r="G2052" s="259"/>
      <c r="H2052" s="259"/>
    </row>
    <row r="2053" spans="1:8">
      <c r="A2053" s="77">
        <v>44896</v>
      </c>
      <c r="B2053" s="62"/>
      <c r="C2053" s="62" t="s">
        <v>79</v>
      </c>
      <c r="D2053" s="5" t="s">
        <v>1299</v>
      </c>
      <c r="E2053" s="62">
        <v>71320</v>
      </c>
      <c r="F2053" s="62"/>
      <c r="G2053" s="62" t="s">
        <v>27</v>
      </c>
      <c r="H2053" s="5"/>
    </row>
    <row r="2054" spans="1:8">
      <c r="A2054" s="270">
        <v>44896</v>
      </c>
      <c r="B2054" s="267"/>
      <c r="C2054" s="267" t="s">
        <v>1298</v>
      </c>
      <c r="D2054" s="3" t="s">
        <v>776</v>
      </c>
      <c r="E2054" s="1497">
        <v>6470</v>
      </c>
      <c r="F2054" s="1497"/>
      <c r="G2054" s="267" t="s">
        <v>27</v>
      </c>
      <c r="H2054" s="3"/>
    </row>
    <row r="2055" spans="1:8">
      <c r="A2055" s="270">
        <v>44896</v>
      </c>
      <c r="B2055" s="267"/>
      <c r="C2055" s="267" t="s">
        <v>65</v>
      </c>
      <c r="D2055" s="3" t="s">
        <v>776</v>
      </c>
      <c r="E2055" s="1497">
        <v>3300</v>
      </c>
      <c r="F2055" s="1497"/>
      <c r="G2055" s="267" t="s">
        <v>27</v>
      </c>
      <c r="H2055" s="3"/>
    </row>
    <row r="2056" spans="1:8">
      <c r="A2056" s="270">
        <v>44896</v>
      </c>
      <c r="B2056" s="267"/>
      <c r="C2056" s="267" t="s">
        <v>94</v>
      </c>
      <c r="D2056" s="3" t="s">
        <v>727</v>
      </c>
      <c r="E2056" s="1497" t="s">
        <v>1306</v>
      </c>
      <c r="F2056" s="1497"/>
      <c r="G2056" s="267" t="s">
        <v>56</v>
      </c>
      <c r="H2056" s="3"/>
    </row>
    <row r="2057" spans="1:8">
      <c r="A2057" s="270">
        <v>44896</v>
      </c>
      <c r="B2057" s="267"/>
      <c r="C2057" s="267" t="s">
        <v>62</v>
      </c>
      <c r="D2057" s="3" t="s">
        <v>1307</v>
      </c>
      <c r="E2057" s="1497">
        <v>2090</v>
      </c>
      <c r="F2057" s="1497"/>
      <c r="G2057" s="267" t="s">
        <v>56</v>
      </c>
      <c r="H2057" s="3"/>
    </row>
    <row r="2058" spans="1:8">
      <c r="A2058" s="270">
        <v>44897</v>
      </c>
      <c r="B2058" s="267"/>
      <c r="C2058" s="267" t="s">
        <v>92</v>
      </c>
      <c r="D2058" s="3" t="s">
        <v>1308</v>
      </c>
      <c r="E2058" s="1497"/>
      <c r="F2058" s="1497">
        <v>17500</v>
      </c>
      <c r="G2058" s="267" t="s">
        <v>27</v>
      </c>
      <c r="H2058" s="3"/>
    </row>
    <row r="2059" spans="1:8">
      <c r="A2059" s="270">
        <v>44897</v>
      </c>
      <c r="B2059" s="267"/>
      <c r="C2059" s="267" t="s">
        <v>77</v>
      </c>
      <c r="D2059" s="3" t="s">
        <v>1309</v>
      </c>
      <c r="E2059" s="1497"/>
      <c r="F2059" s="1497">
        <v>132000</v>
      </c>
      <c r="G2059" s="267" t="s">
        <v>287</v>
      </c>
      <c r="H2059" s="3"/>
    </row>
    <row r="2060" spans="1:8">
      <c r="A2060" s="270">
        <v>44897</v>
      </c>
      <c r="B2060" s="267"/>
      <c r="C2060" s="267" t="s">
        <v>537</v>
      </c>
      <c r="D2060" s="3" t="s">
        <v>824</v>
      </c>
      <c r="E2060" s="1497">
        <v>20000</v>
      </c>
      <c r="F2060" s="1497"/>
      <c r="G2060" s="267" t="s">
        <v>56</v>
      </c>
      <c r="H2060" s="3"/>
    </row>
    <row r="2061" spans="1:8" ht="15.75" thickBot="1">
      <c r="A2061" s="270">
        <v>44897</v>
      </c>
      <c r="B2061" s="267"/>
      <c r="C2061" s="267" t="s">
        <v>537</v>
      </c>
      <c r="D2061" s="3" t="s">
        <v>88</v>
      </c>
      <c r="E2061" s="1497">
        <v>81600</v>
      </c>
      <c r="F2061" s="1497"/>
      <c r="G2061" s="267" t="s">
        <v>614</v>
      </c>
      <c r="H2061" s="3"/>
    </row>
    <row r="2062" spans="1:8">
      <c r="A2062" s="267"/>
      <c r="B2062" s="267"/>
      <c r="C2062" s="267"/>
      <c r="D2062" s="3"/>
      <c r="E2062" s="1497"/>
      <c r="F2062" s="1497"/>
      <c r="G2062" s="267"/>
      <c r="H2062" s="149" t="s">
        <v>1310</v>
      </c>
    </row>
    <row r="2063" spans="1:8">
      <c r="H2063" s="136" t="s">
        <v>1302</v>
      </c>
    </row>
    <row r="2064" spans="1:8">
      <c r="H2064" s="137" t="s">
        <v>1311</v>
      </c>
    </row>
    <row r="2065" spans="1:8">
      <c r="H2065" s="138" t="s">
        <v>1313</v>
      </c>
    </row>
    <row r="2066" spans="1:8">
      <c r="H2066" s="138" t="s">
        <v>704</v>
      </c>
    </row>
    <row r="2067" spans="1:8">
      <c r="H2067" s="138" t="s">
        <v>1284</v>
      </c>
    </row>
    <row r="2068" spans="1:8">
      <c r="H2068" s="138" t="s">
        <v>1283</v>
      </c>
    </row>
    <row r="2069" spans="1:8" ht="15.75" thickBot="1">
      <c r="H2069" s="147" t="s">
        <v>1312</v>
      </c>
    </row>
    <row r="2070" spans="1:8">
      <c r="A2070" s="270">
        <v>44900</v>
      </c>
      <c r="B2070" s="267"/>
      <c r="C2070" s="267" t="s">
        <v>55</v>
      </c>
      <c r="D2070" s="3" t="s">
        <v>1314</v>
      </c>
      <c r="E2070" s="1497">
        <v>13145.13</v>
      </c>
      <c r="F2070" s="1497"/>
      <c r="G2070" s="267" t="s">
        <v>27</v>
      </c>
      <c r="H2070" s="5"/>
    </row>
    <row r="2071" spans="1:8">
      <c r="A2071" s="270">
        <v>44900</v>
      </c>
      <c r="B2071" s="267"/>
      <c r="C2071" s="267" t="s">
        <v>29</v>
      </c>
      <c r="D2071" s="3" t="s">
        <v>1316</v>
      </c>
      <c r="E2071" s="1497">
        <v>1000</v>
      </c>
      <c r="F2071" s="1497"/>
      <c r="G2071" s="267" t="s">
        <v>27</v>
      </c>
      <c r="H2071" s="3"/>
    </row>
    <row r="2072" spans="1:8">
      <c r="A2072" s="270">
        <v>44900</v>
      </c>
      <c r="B2072" s="267"/>
      <c r="C2072" s="267" t="s">
        <v>287</v>
      </c>
      <c r="D2072" s="3" t="s">
        <v>1315</v>
      </c>
      <c r="E2072" s="1497">
        <v>5000</v>
      </c>
      <c r="F2072" s="1497"/>
      <c r="G2072" s="267" t="s">
        <v>287</v>
      </c>
      <c r="H2072" s="3"/>
    </row>
    <row r="2073" spans="1:8">
      <c r="A2073" s="270">
        <v>44901</v>
      </c>
      <c r="B2073" s="267"/>
      <c r="C2073" s="267" t="s">
        <v>77</v>
      </c>
      <c r="D2073" s="3" t="s">
        <v>786</v>
      </c>
      <c r="E2073" s="1497">
        <v>2310</v>
      </c>
      <c r="F2073" s="1497"/>
      <c r="G2073" s="267" t="s">
        <v>27</v>
      </c>
      <c r="H2073" s="3"/>
    </row>
    <row r="2074" spans="1:8">
      <c r="A2074" s="270">
        <v>44901</v>
      </c>
      <c r="B2074" s="267"/>
      <c r="C2074" s="267" t="s">
        <v>55</v>
      </c>
      <c r="D2074" s="3" t="s">
        <v>71</v>
      </c>
      <c r="E2074" s="1497">
        <v>26400</v>
      </c>
      <c r="F2074" s="1497"/>
      <c r="G2074" s="267" t="s">
        <v>287</v>
      </c>
      <c r="H2074" s="45" t="s">
        <v>1317</v>
      </c>
    </row>
    <row r="2075" spans="1:8">
      <c r="A2075" s="270">
        <v>44902</v>
      </c>
      <c r="B2075" s="267"/>
      <c r="C2075" s="267" t="s">
        <v>77</v>
      </c>
      <c r="D2075" s="3" t="s">
        <v>1318</v>
      </c>
      <c r="E2075" s="1497"/>
      <c r="F2075" s="1497">
        <v>1719281.76</v>
      </c>
      <c r="G2075" s="267" t="s">
        <v>27</v>
      </c>
      <c r="H2075" s="3"/>
    </row>
    <row r="2076" spans="1:8">
      <c r="A2076" s="270">
        <v>44902</v>
      </c>
      <c r="B2076" s="267"/>
      <c r="C2076" s="267" t="s">
        <v>77</v>
      </c>
      <c r="D2076" s="3" t="s">
        <v>1319</v>
      </c>
      <c r="E2076" s="1497">
        <v>31947.87</v>
      </c>
      <c r="F2076" s="1497"/>
      <c r="G2076" s="267" t="s">
        <v>27</v>
      </c>
      <c r="H2076" s="3"/>
    </row>
    <row r="2077" spans="1:8">
      <c r="A2077" s="270">
        <v>44902</v>
      </c>
      <c r="B2077" s="267"/>
      <c r="C2077" s="267" t="s">
        <v>77</v>
      </c>
      <c r="D2077" s="3" t="s">
        <v>1320</v>
      </c>
      <c r="E2077" s="1497">
        <v>10649.29</v>
      </c>
      <c r="F2077" s="1497"/>
      <c r="G2077" s="267" t="s">
        <v>27</v>
      </c>
      <c r="H2077" s="3"/>
    </row>
    <row r="2078" spans="1:8">
      <c r="A2078" s="270">
        <v>44902</v>
      </c>
      <c r="B2078" s="267"/>
      <c r="C2078" s="267" t="s">
        <v>92</v>
      </c>
      <c r="D2078" s="3" t="s">
        <v>1254</v>
      </c>
      <c r="E2078" s="1497"/>
      <c r="F2078" s="1497">
        <v>13500</v>
      </c>
      <c r="G2078" s="267" t="s">
        <v>27</v>
      </c>
      <c r="H2078" s="3"/>
    </row>
    <row r="2079" spans="1:8">
      <c r="A2079" s="270">
        <v>44902</v>
      </c>
      <c r="B2079" s="267"/>
      <c r="C2079" s="267" t="s">
        <v>205</v>
      </c>
      <c r="D2079" s="3" t="s">
        <v>71</v>
      </c>
      <c r="E2079" s="1497">
        <v>70000</v>
      </c>
      <c r="F2079" s="1497"/>
      <c r="G2079" s="267" t="s">
        <v>27</v>
      </c>
      <c r="H2079" s="3"/>
    </row>
    <row r="2080" spans="1:8">
      <c r="A2080" s="270">
        <v>44902</v>
      </c>
      <c r="B2080" s="267"/>
      <c r="C2080" s="267" t="s">
        <v>205</v>
      </c>
      <c r="D2080" s="3" t="s">
        <v>189</v>
      </c>
      <c r="E2080" s="1497">
        <v>15419</v>
      </c>
      <c r="F2080" s="1497"/>
      <c r="G2080" s="267" t="s">
        <v>27</v>
      </c>
      <c r="H2080" s="3"/>
    </row>
    <row r="2081" spans="1:8">
      <c r="A2081" s="270">
        <v>44902</v>
      </c>
      <c r="B2081" s="267"/>
      <c r="C2081" s="267" t="s">
        <v>79</v>
      </c>
      <c r="D2081" s="15" t="s">
        <v>246</v>
      </c>
      <c r="E2081" s="1497">
        <v>5713.5</v>
      </c>
      <c r="F2081" s="1497"/>
      <c r="G2081" s="267" t="s">
        <v>27</v>
      </c>
      <c r="H2081" s="3"/>
    </row>
    <row r="2082" spans="1:8">
      <c r="A2082" s="270">
        <v>44902</v>
      </c>
      <c r="B2082" s="267"/>
      <c r="C2082" s="267" t="s">
        <v>55</v>
      </c>
      <c r="D2082" s="3" t="s">
        <v>407</v>
      </c>
      <c r="E2082" s="1497">
        <v>420</v>
      </c>
      <c r="F2082" s="1497"/>
      <c r="G2082" s="267" t="s">
        <v>56</v>
      </c>
      <c r="H2082" s="3"/>
    </row>
    <row r="2083" spans="1:8">
      <c r="A2083" s="270">
        <v>44902</v>
      </c>
      <c r="B2083" s="267"/>
      <c r="C2083" s="267" t="s">
        <v>308</v>
      </c>
      <c r="D2083" s="3" t="s">
        <v>232</v>
      </c>
      <c r="E2083" s="1497">
        <v>47000</v>
      </c>
      <c r="F2083" s="1497"/>
      <c r="G2083" s="267" t="s">
        <v>27</v>
      </c>
      <c r="H2083" s="3"/>
    </row>
    <row r="2084" spans="1:8">
      <c r="A2084" s="270">
        <v>44902</v>
      </c>
      <c r="B2084" s="267"/>
      <c r="C2084" s="267" t="s">
        <v>88</v>
      </c>
      <c r="D2084" s="3" t="s">
        <v>750</v>
      </c>
      <c r="E2084" s="1497">
        <v>29000</v>
      </c>
      <c r="F2084" s="1497"/>
      <c r="G2084" s="267" t="s">
        <v>56</v>
      </c>
      <c r="H2084" s="3"/>
    </row>
    <row r="2085" spans="1:8">
      <c r="A2085" s="270">
        <v>44902</v>
      </c>
      <c r="B2085" s="267"/>
      <c r="C2085" s="267" t="s">
        <v>88</v>
      </c>
      <c r="D2085" s="3" t="s">
        <v>220</v>
      </c>
      <c r="E2085" s="1497">
        <v>17600</v>
      </c>
      <c r="F2085" s="1497"/>
      <c r="G2085" s="267" t="s">
        <v>56</v>
      </c>
      <c r="H2085" s="3"/>
    </row>
    <row r="2086" spans="1:8">
      <c r="A2086" s="270">
        <v>44902</v>
      </c>
      <c r="B2086" s="267"/>
      <c r="C2086" s="267" t="s">
        <v>88</v>
      </c>
      <c r="D2086" s="3" t="s">
        <v>364</v>
      </c>
      <c r="E2086" s="1497">
        <v>20000</v>
      </c>
      <c r="F2086" s="1497"/>
      <c r="G2086" s="267" t="s">
        <v>56</v>
      </c>
      <c r="H2086" s="3"/>
    </row>
    <row r="2087" spans="1:8">
      <c r="A2087" s="270">
        <v>44902</v>
      </c>
      <c r="B2087" s="267"/>
      <c r="C2087" s="267" t="s">
        <v>88</v>
      </c>
      <c r="D2087" s="3" t="s">
        <v>259</v>
      </c>
      <c r="E2087" s="1497">
        <v>38000</v>
      </c>
      <c r="F2087" s="1497"/>
      <c r="G2087" s="267" t="s">
        <v>56</v>
      </c>
      <c r="H2087" s="3"/>
    </row>
    <row r="2088" spans="1:8">
      <c r="A2088" s="270">
        <v>44902</v>
      </c>
      <c r="B2088" s="267"/>
      <c r="C2088" s="267" t="s">
        <v>88</v>
      </c>
      <c r="D2088" s="15" t="s">
        <v>175</v>
      </c>
      <c r="E2088" s="1497">
        <v>20000</v>
      </c>
      <c r="F2088" s="1497"/>
      <c r="G2088" s="267" t="s">
        <v>56</v>
      </c>
      <c r="H2088" s="3"/>
    </row>
    <row r="2089" spans="1:8" ht="15.75" thickBot="1">
      <c r="A2089" s="270">
        <v>44902</v>
      </c>
      <c r="B2089" s="267"/>
      <c r="C2089" s="267" t="s">
        <v>160</v>
      </c>
      <c r="D2089" s="3" t="s">
        <v>1321</v>
      </c>
      <c r="E2089" s="1497">
        <v>3000</v>
      </c>
      <c r="F2089" s="1497"/>
      <c r="G2089" s="267" t="s">
        <v>56</v>
      </c>
      <c r="H2089" s="3"/>
    </row>
    <row r="2090" spans="1:8">
      <c r="A2090" s="267"/>
      <c r="B2090" s="267"/>
      <c r="C2090" s="267"/>
      <c r="D2090" s="3"/>
      <c r="E2090" s="1497"/>
      <c r="F2090" s="1497"/>
      <c r="G2090" s="226"/>
      <c r="H2090" s="149" t="s">
        <v>1326</v>
      </c>
    </row>
    <row r="2091" spans="1:8">
      <c r="A2091" s="267"/>
      <c r="B2091" s="267"/>
      <c r="C2091" s="267"/>
      <c r="D2091" s="3"/>
      <c r="E2091" s="1497"/>
      <c r="F2091" s="1497"/>
      <c r="G2091" s="226"/>
      <c r="H2091" s="136" t="s">
        <v>1322</v>
      </c>
    </row>
    <row r="2092" spans="1:8">
      <c r="A2092" s="267"/>
      <c r="B2092" s="267"/>
      <c r="C2092" s="267"/>
      <c r="D2092" s="3"/>
      <c r="E2092" s="1497"/>
      <c r="F2092" s="1497"/>
      <c r="G2092" s="226"/>
      <c r="H2092" s="137" t="s">
        <v>1327</v>
      </c>
    </row>
    <row r="2093" spans="1:8">
      <c r="A2093" s="267"/>
      <c r="B2093" s="267"/>
      <c r="C2093" s="267"/>
      <c r="D2093" s="3"/>
      <c r="E2093" s="1497"/>
      <c r="F2093" s="1497"/>
      <c r="G2093" s="226"/>
      <c r="H2093" s="138" t="s">
        <v>1325</v>
      </c>
    </row>
    <row r="2094" spans="1:8">
      <c r="A2094" s="267"/>
      <c r="B2094" s="267"/>
      <c r="C2094" s="267"/>
      <c r="D2094" s="3"/>
      <c r="E2094" s="1497"/>
      <c r="F2094" s="1497"/>
      <c r="G2094" s="226"/>
      <c r="H2094" s="138" t="s">
        <v>1323</v>
      </c>
    </row>
    <row r="2095" spans="1:8">
      <c r="A2095" s="267"/>
      <c r="B2095" s="267"/>
      <c r="C2095" s="267"/>
      <c r="D2095" s="3"/>
      <c r="E2095" s="1497"/>
      <c r="F2095" s="1497"/>
      <c r="G2095" s="226"/>
      <c r="H2095" s="138" t="s">
        <v>1284</v>
      </c>
    </row>
    <row r="2096" spans="1:8">
      <c r="A2096" s="267"/>
      <c r="B2096" s="267"/>
      <c r="C2096" s="267"/>
      <c r="D2096" s="3"/>
      <c r="E2096" s="1497"/>
      <c r="F2096" s="1497"/>
      <c r="G2096" s="226"/>
      <c r="H2096" s="138" t="s">
        <v>1283</v>
      </c>
    </row>
    <row r="2097" spans="1:8" ht="15.75" thickBot="1">
      <c r="A2097" s="57"/>
      <c r="B2097" s="57"/>
      <c r="C2097" s="57"/>
      <c r="D2097" s="85"/>
      <c r="E2097" s="57"/>
      <c r="F2097" s="57"/>
      <c r="G2097" s="163"/>
      <c r="H2097" s="147" t="s">
        <v>1324</v>
      </c>
    </row>
    <row r="2098" spans="1:8">
      <c r="A2098" s="270">
        <v>44902</v>
      </c>
      <c r="B2098" s="267"/>
      <c r="C2098" s="267" t="s">
        <v>185</v>
      </c>
      <c r="D2098" s="3" t="s">
        <v>1328</v>
      </c>
      <c r="E2098" s="1497">
        <v>38975.51</v>
      </c>
      <c r="F2098" s="1497"/>
      <c r="G2098" s="267" t="s">
        <v>27</v>
      </c>
      <c r="H2098" s="5"/>
    </row>
    <row r="2099" spans="1:8">
      <c r="A2099" s="270">
        <v>44907</v>
      </c>
      <c r="B2099" s="267"/>
      <c r="C2099" s="267" t="s">
        <v>79</v>
      </c>
      <c r="D2099" s="3" t="s">
        <v>1329</v>
      </c>
      <c r="E2099" s="1497">
        <v>3617.35</v>
      </c>
      <c r="F2099" s="1497"/>
      <c r="G2099" s="267" t="s">
        <v>27</v>
      </c>
      <c r="H2099" s="3"/>
    </row>
    <row r="2100" spans="1:8">
      <c r="A2100" s="270">
        <v>44907</v>
      </c>
      <c r="B2100" s="267"/>
      <c r="C2100" s="267" t="s">
        <v>79</v>
      </c>
      <c r="D2100" s="3" t="s">
        <v>1329</v>
      </c>
      <c r="E2100" s="1497">
        <v>4085</v>
      </c>
      <c r="F2100" s="1497"/>
      <c r="G2100" s="267" t="s">
        <v>27</v>
      </c>
      <c r="H2100" s="3"/>
    </row>
    <row r="2101" spans="1:8">
      <c r="A2101" s="270">
        <v>44907</v>
      </c>
      <c r="B2101" s="267"/>
      <c r="C2101" s="267" t="s">
        <v>79</v>
      </c>
      <c r="D2101" s="3" t="s">
        <v>1329</v>
      </c>
      <c r="E2101" s="1497">
        <v>8116.69</v>
      </c>
      <c r="F2101" s="1497"/>
      <c r="G2101" s="267" t="s">
        <v>27</v>
      </c>
      <c r="H2101" s="3"/>
    </row>
    <row r="2102" spans="1:8">
      <c r="A2102" s="270">
        <v>44907</v>
      </c>
      <c r="B2102" s="267"/>
      <c r="C2102" s="267" t="s">
        <v>79</v>
      </c>
      <c r="D2102" s="3" t="s">
        <v>1329</v>
      </c>
      <c r="E2102" s="1497">
        <v>4900</v>
      </c>
      <c r="F2102" s="1497"/>
      <c r="G2102" s="267" t="s">
        <v>27</v>
      </c>
      <c r="H2102" s="3"/>
    </row>
    <row r="2103" spans="1:8">
      <c r="A2103" s="270">
        <v>44907</v>
      </c>
      <c r="B2103" s="267"/>
      <c r="C2103" s="267" t="s">
        <v>79</v>
      </c>
      <c r="D2103" s="3" t="s">
        <v>478</v>
      </c>
      <c r="E2103" s="1497">
        <v>400</v>
      </c>
      <c r="F2103" s="1497"/>
      <c r="G2103" s="267" t="s">
        <v>56</v>
      </c>
      <c r="H2103" s="3"/>
    </row>
    <row r="2104" spans="1:8">
      <c r="A2104" s="270">
        <v>44907</v>
      </c>
      <c r="B2104" s="267"/>
      <c r="C2104" s="267" t="s">
        <v>94</v>
      </c>
      <c r="D2104" s="3" t="s">
        <v>245</v>
      </c>
      <c r="E2104" s="1497">
        <v>6548.78</v>
      </c>
      <c r="F2104" s="1497"/>
      <c r="G2104" s="267" t="s">
        <v>27</v>
      </c>
      <c r="H2104" s="3"/>
    </row>
    <row r="2105" spans="1:8">
      <c r="A2105" s="270">
        <v>44907</v>
      </c>
      <c r="B2105" s="267"/>
      <c r="C2105" s="267" t="s">
        <v>94</v>
      </c>
      <c r="D2105" s="3" t="s">
        <v>17</v>
      </c>
      <c r="E2105" s="1497">
        <v>1755.36</v>
      </c>
      <c r="F2105" s="1497"/>
      <c r="G2105" s="267" t="s">
        <v>27</v>
      </c>
      <c r="H2105" s="3"/>
    </row>
    <row r="2106" spans="1:8">
      <c r="A2106" s="270">
        <v>44907</v>
      </c>
      <c r="B2106" s="267"/>
      <c r="C2106" s="267" t="s">
        <v>1331</v>
      </c>
      <c r="D2106" s="15" t="s">
        <v>3444</v>
      </c>
      <c r="E2106" s="1497"/>
      <c r="F2106" s="1497">
        <v>178580</v>
      </c>
      <c r="G2106" s="267" t="s">
        <v>72</v>
      </c>
      <c r="H2106" s="3" t="s">
        <v>1359</v>
      </c>
    </row>
    <row r="2107" spans="1:8">
      <c r="A2107" s="270">
        <v>44907</v>
      </c>
      <c r="B2107" s="267"/>
      <c r="C2107" s="267" t="s">
        <v>849</v>
      </c>
      <c r="D2107" s="15" t="s">
        <v>1330</v>
      </c>
      <c r="E2107" s="1497">
        <v>5970</v>
      </c>
      <c r="F2107" s="1497"/>
      <c r="G2107" s="267" t="s">
        <v>614</v>
      </c>
      <c r="H2107" s="3"/>
    </row>
    <row r="2108" spans="1:8">
      <c r="A2108" s="270">
        <v>44907</v>
      </c>
      <c r="B2108" s="267"/>
      <c r="C2108" s="267" t="s">
        <v>86</v>
      </c>
      <c r="D2108" s="15" t="s">
        <v>104</v>
      </c>
      <c r="E2108" s="1497">
        <v>2560</v>
      </c>
      <c r="F2108" s="1497"/>
      <c r="G2108" s="267" t="s">
        <v>614</v>
      </c>
      <c r="H2108" s="3"/>
    </row>
    <row r="2109" spans="1:8">
      <c r="A2109" s="270">
        <v>44907</v>
      </c>
      <c r="B2109" s="267"/>
      <c r="C2109" s="267" t="s">
        <v>205</v>
      </c>
      <c r="D2109" s="15" t="s">
        <v>113</v>
      </c>
      <c r="E2109" s="1497">
        <v>27811.65</v>
      </c>
      <c r="F2109" s="1497"/>
      <c r="G2109" s="267" t="s">
        <v>27</v>
      </c>
      <c r="H2109" s="3"/>
    </row>
    <row r="2110" spans="1:8">
      <c r="A2110" s="270">
        <v>44907</v>
      </c>
      <c r="B2110" s="267"/>
      <c r="C2110" s="267" t="s">
        <v>55</v>
      </c>
      <c r="D2110" s="3" t="s">
        <v>63</v>
      </c>
      <c r="E2110" s="1497">
        <v>16168.14</v>
      </c>
      <c r="F2110" s="1497"/>
      <c r="G2110" s="267" t="s">
        <v>72</v>
      </c>
      <c r="H2110" s="3"/>
    </row>
    <row r="2111" spans="1:8">
      <c r="A2111" s="270">
        <v>44907</v>
      </c>
      <c r="B2111" s="267"/>
      <c r="C2111" s="267" t="s">
        <v>849</v>
      </c>
      <c r="D2111" s="3" t="s">
        <v>1332</v>
      </c>
      <c r="E2111" s="1497">
        <v>10000</v>
      </c>
      <c r="F2111" s="1497"/>
      <c r="G2111" s="267" t="s">
        <v>27</v>
      </c>
      <c r="H2111" s="3"/>
    </row>
    <row r="2112" spans="1:8">
      <c r="A2112" s="270">
        <v>44907</v>
      </c>
      <c r="B2112" s="267"/>
      <c r="C2112" s="267" t="s">
        <v>849</v>
      </c>
      <c r="D2112" s="3" t="s">
        <v>1332</v>
      </c>
      <c r="E2112" s="1497">
        <v>17360</v>
      </c>
      <c r="F2112" s="1497"/>
      <c r="G2112" s="267" t="s">
        <v>287</v>
      </c>
      <c r="H2112" s="3"/>
    </row>
    <row r="2113" spans="1:8">
      <c r="A2113" s="270">
        <v>44908</v>
      </c>
      <c r="B2113" s="267"/>
      <c r="C2113" s="267" t="s">
        <v>730</v>
      </c>
      <c r="D2113" s="3" t="s">
        <v>1333</v>
      </c>
      <c r="E2113" s="1497">
        <v>3500</v>
      </c>
      <c r="F2113" s="1497"/>
      <c r="G2113" s="267" t="s">
        <v>27</v>
      </c>
      <c r="H2113" s="3"/>
    </row>
    <row r="2114" spans="1:8">
      <c r="A2114" s="270">
        <v>44908</v>
      </c>
      <c r="B2114" s="267"/>
      <c r="C2114" s="267" t="s">
        <v>55</v>
      </c>
      <c r="D2114" s="3" t="s">
        <v>1334</v>
      </c>
      <c r="E2114" s="1497">
        <v>2000</v>
      </c>
      <c r="F2114" s="1497"/>
      <c r="G2114" s="267" t="s">
        <v>27</v>
      </c>
      <c r="H2114" s="3"/>
    </row>
    <row r="2115" spans="1:8">
      <c r="A2115" s="270">
        <v>44908</v>
      </c>
      <c r="B2115" s="267"/>
      <c r="C2115" s="267" t="s">
        <v>86</v>
      </c>
      <c r="D2115" s="3" t="s">
        <v>107</v>
      </c>
      <c r="E2115" s="1497">
        <v>4085</v>
      </c>
      <c r="F2115" s="1497"/>
      <c r="G2115" s="267" t="s">
        <v>27</v>
      </c>
      <c r="H2115" s="3"/>
    </row>
    <row r="2116" spans="1:8">
      <c r="A2116" s="270">
        <v>44908</v>
      </c>
      <c r="B2116" s="267"/>
      <c r="C2116" s="267" t="s">
        <v>55</v>
      </c>
      <c r="D2116" s="3" t="s">
        <v>1341</v>
      </c>
      <c r="E2116" s="1497"/>
      <c r="F2116" s="1497">
        <v>30310.799999999999</v>
      </c>
      <c r="G2116" s="267" t="s">
        <v>27</v>
      </c>
      <c r="H2116" s="3"/>
    </row>
    <row r="2117" spans="1:8">
      <c r="A2117" s="270">
        <v>44909</v>
      </c>
      <c r="B2117" s="267"/>
      <c r="C2117" s="267" t="s">
        <v>205</v>
      </c>
      <c r="D2117" s="3" t="s">
        <v>63</v>
      </c>
      <c r="E2117" s="1497">
        <v>2628.05</v>
      </c>
      <c r="F2117" s="1497"/>
      <c r="G2117" s="267" t="s">
        <v>56</v>
      </c>
      <c r="H2117" s="3"/>
    </row>
    <row r="2118" spans="1:8">
      <c r="A2118" s="270">
        <v>44909</v>
      </c>
      <c r="B2118" s="267"/>
      <c r="C2118" s="267" t="s">
        <v>205</v>
      </c>
      <c r="D2118" s="3" t="s">
        <v>1296</v>
      </c>
      <c r="E2118" s="1497">
        <v>1822.4</v>
      </c>
      <c r="F2118" s="1497"/>
      <c r="G2118" s="267" t="s">
        <v>56</v>
      </c>
      <c r="H2118" s="3" t="s">
        <v>1335</v>
      </c>
    </row>
    <row r="2119" spans="1:8">
      <c r="A2119" s="270">
        <v>44909</v>
      </c>
      <c r="B2119" s="267"/>
      <c r="C2119" s="267" t="s">
        <v>88</v>
      </c>
      <c r="D2119" s="3" t="s">
        <v>1336</v>
      </c>
      <c r="E2119" s="1497">
        <v>2400</v>
      </c>
      <c r="F2119" s="1497"/>
      <c r="G2119" s="267" t="s">
        <v>56</v>
      </c>
      <c r="H2119" s="3"/>
    </row>
    <row r="2120" spans="1:8">
      <c r="A2120" s="270">
        <v>44909</v>
      </c>
      <c r="B2120" s="267"/>
      <c r="C2120" s="267" t="s">
        <v>92</v>
      </c>
      <c r="D2120" s="3" t="s">
        <v>1337</v>
      </c>
      <c r="E2120" s="1497"/>
      <c r="F2120" s="1497">
        <v>5100</v>
      </c>
      <c r="G2120" s="267" t="s">
        <v>56</v>
      </c>
      <c r="H2120" s="3"/>
    </row>
    <row r="2121" spans="1:8">
      <c r="A2121" s="270">
        <v>44909</v>
      </c>
      <c r="B2121" s="267"/>
      <c r="C2121" s="267" t="s">
        <v>77</v>
      </c>
      <c r="D2121" s="3" t="s">
        <v>1338</v>
      </c>
      <c r="E2121" s="1497"/>
      <c r="F2121" s="1497">
        <v>3150000</v>
      </c>
      <c r="G2121" s="267" t="s">
        <v>56</v>
      </c>
      <c r="H2121" s="3"/>
    </row>
    <row r="2122" spans="1:8">
      <c r="A2122" s="270">
        <v>44909</v>
      </c>
      <c r="B2122" s="267"/>
      <c r="C2122" s="267" t="s">
        <v>77</v>
      </c>
      <c r="D2122" s="3" t="s">
        <v>296</v>
      </c>
      <c r="E2122" s="1497"/>
      <c r="F2122" s="1497">
        <v>519100</v>
      </c>
      <c r="G2122" s="267" t="s">
        <v>72</v>
      </c>
      <c r="H2122" s="3" t="s">
        <v>1339</v>
      </c>
    </row>
    <row r="2123" spans="1:8">
      <c r="A2123" s="270">
        <v>44909</v>
      </c>
      <c r="B2123" s="267"/>
      <c r="C2123" s="267" t="s">
        <v>77</v>
      </c>
      <c r="D2123" s="15" t="s">
        <v>296</v>
      </c>
      <c r="E2123" s="1497"/>
      <c r="F2123" s="1497">
        <v>94100</v>
      </c>
      <c r="G2123" s="267" t="s">
        <v>72</v>
      </c>
      <c r="H2123" s="3"/>
    </row>
    <row r="2124" spans="1:8">
      <c r="A2124" s="270">
        <v>44909</v>
      </c>
      <c r="B2124" s="267" t="s">
        <v>1340</v>
      </c>
      <c r="C2124" s="267" t="s">
        <v>55</v>
      </c>
      <c r="D2124" s="3" t="s">
        <v>514</v>
      </c>
      <c r="E2124" s="1496">
        <v>1000</v>
      </c>
      <c r="F2124" s="1497"/>
      <c r="G2124" s="267" t="s">
        <v>56</v>
      </c>
      <c r="H2124" s="3"/>
    </row>
    <row r="2125" spans="1:8">
      <c r="A2125" s="270">
        <v>44910</v>
      </c>
      <c r="B2125" s="267"/>
      <c r="C2125" s="267" t="s">
        <v>205</v>
      </c>
      <c r="D2125" s="3" t="s">
        <v>1342</v>
      </c>
      <c r="E2125" s="1497">
        <v>1567500</v>
      </c>
      <c r="F2125" s="1497"/>
      <c r="G2125" s="267" t="s">
        <v>56</v>
      </c>
      <c r="H2125" s="3" t="s">
        <v>1343</v>
      </c>
    </row>
    <row r="2126" spans="1:8">
      <c r="A2126" s="270">
        <v>44910</v>
      </c>
      <c r="B2126" s="267"/>
      <c r="C2126" s="267" t="s">
        <v>205</v>
      </c>
      <c r="D2126" s="3" t="s">
        <v>738</v>
      </c>
      <c r="E2126" s="1497">
        <v>646200</v>
      </c>
      <c r="F2126" s="1497"/>
      <c r="G2126" s="267" t="s">
        <v>56</v>
      </c>
      <c r="H2126" s="3"/>
    </row>
    <row r="2127" spans="1:8">
      <c r="A2127" s="270">
        <v>44910</v>
      </c>
      <c r="B2127" s="267"/>
      <c r="C2127" s="267" t="s">
        <v>205</v>
      </c>
      <c r="D2127" s="3" t="s">
        <v>1344</v>
      </c>
      <c r="E2127" s="1497">
        <v>460</v>
      </c>
      <c r="F2127" s="1497"/>
      <c r="G2127" s="267" t="s">
        <v>56</v>
      </c>
      <c r="H2127" s="3"/>
    </row>
    <row r="2128" spans="1:8" s="164" customFormat="1" ht="30">
      <c r="A2128" s="116">
        <v>44910</v>
      </c>
      <c r="B2128" s="51"/>
      <c r="C2128" s="51" t="s">
        <v>77</v>
      </c>
      <c r="D2128" s="52" t="s">
        <v>1346</v>
      </c>
      <c r="E2128" s="51"/>
      <c r="F2128" s="51">
        <v>35600</v>
      </c>
      <c r="G2128" s="51" t="s">
        <v>72</v>
      </c>
      <c r="H2128" s="48" t="s">
        <v>1345</v>
      </c>
    </row>
    <row r="2129" spans="1:8">
      <c r="A2129" s="270">
        <v>44910</v>
      </c>
      <c r="B2129" s="267"/>
      <c r="C2129" s="267" t="s">
        <v>849</v>
      </c>
      <c r="D2129" s="15" t="s">
        <v>1347</v>
      </c>
      <c r="E2129" s="1497">
        <v>9980</v>
      </c>
      <c r="F2129" s="1497"/>
      <c r="G2129" s="267" t="s">
        <v>27</v>
      </c>
      <c r="H2129" s="3"/>
    </row>
    <row r="2130" spans="1:8">
      <c r="A2130" s="270">
        <v>44910</v>
      </c>
      <c r="B2130" s="267"/>
      <c r="C2130" s="267" t="s">
        <v>205</v>
      </c>
      <c r="D2130" s="3" t="s">
        <v>1348</v>
      </c>
      <c r="E2130" s="1497">
        <v>79200</v>
      </c>
      <c r="F2130" s="1497"/>
      <c r="G2130" s="267" t="s">
        <v>287</v>
      </c>
      <c r="H2130" s="3" t="s">
        <v>1349</v>
      </c>
    </row>
    <row r="2131" spans="1:8">
      <c r="A2131" s="270">
        <v>44910</v>
      </c>
      <c r="B2131" s="267"/>
      <c r="C2131" s="267" t="s">
        <v>205</v>
      </c>
      <c r="D2131" s="3" t="s">
        <v>1350</v>
      </c>
      <c r="E2131" s="1497">
        <v>26400</v>
      </c>
      <c r="F2131" s="1497"/>
      <c r="G2131" s="267" t="s">
        <v>287</v>
      </c>
      <c r="H2131" s="3" t="s">
        <v>1349</v>
      </c>
    </row>
    <row r="2132" spans="1:8">
      <c r="A2132" s="270">
        <v>44910</v>
      </c>
      <c r="B2132" s="267"/>
      <c r="C2132" s="267" t="s">
        <v>205</v>
      </c>
      <c r="D2132" s="3" t="s">
        <v>1350</v>
      </c>
      <c r="E2132" s="1497">
        <v>28100</v>
      </c>
      <c r="F2132" s="1497"/>
      <c r="G2132" s="267" t="s">
        <v>27</v>
      </c>
      <c r="H2132" s="3"/>
    </row>
    <row r="2133" spans="1:8">
      <c r="A2133" s="270">
        <v>44910</v>
      </c>
      <c r="B2133" s="267"/>
      <c r="C2133" s="267" t="s">
        <v>849</v>
      </c>
      <c r="D2133" s="3" t="s">
        <v>1351</v>
      </c>
      <c r="E2133" s="1497">
        <v>9180</v>
      </c>
      <c r="F2133" s="1497"/>
      <c r="G2133" s="267" t="s">
        <v>27</v>
      </c>
      <c r="H2133" s="3"/>
    </row>
    <row r="2134" spans="1:8">
      <c r="A2134" s="270">
        <v>44910</v>
      </c>
      <c r="B2134" s="267"/>
      <c r="C2134" s="267" t="s">
        <v>62</v>
      </c>
      <c r="D2134" s="3" t="s">
        <v>1307</v>
      </c>
      <c r="E2134" s="1497">
        <v>1350</v>
      </c>
      <c r="F2134" s="1497"/>
      <c r="G2134" s="267" t="s">
        <v>56</v>
      </c>
      <c r="H2134" s="3"/>
    </row>
    <row r="2135" spans="1:8">
      <c r="A2135" s="270">
        <v>44910</v>
      </c>
      <c r="B2135" s="267"/>
      <c r="C2135" s="267" t="s">
        <v>176</v>
      </c>
      <c r="D2135" s="3" t="s">
        <v>1352</v>
      </c>
      <c r="E2135" s="1497">
        <v>90000</v>
      </c>
      <c r="F2135" s="1497"/>
      <c r="G2135" s="267" t="s">
        <v>56</v>
      </c>
      <c r="H2135" s="3"/>
    </row>
    <row r="2136" spans="1:8">
      <c r="A2136" s="270">
        <v>44911</v>
      </c>
      <c r="B2136" s="267"/>
      <c r="C2136" s="267" t="s">
        <v>77</v>
      </c>
      <c r="D2136" s="3" t="s">
        <v>1353</v>
      </c>
      <c r="E2136" s="1497"/>
      <c r="F2136" s="1497">
        <v>166800</v>
      </c>
      <c r="G2136" s="267" t="s">
        <v>56</v>
      </c>
      <c r="H2136" s="3" t="s">
        <v>1355</v>
      </c>
    </row>
    <row r="2137" spans="1:8">
      <c r="A2137" s="270">
        <v>44911</v>
      </c>
      <c r="B2137" s="267"/>
      <c r="C2137" s="267" t="s">
        <v>77</v>
      </c>
      <c r="D2137" s="3" t="s">
        <v>1354</v>
      </c>
      <c r="E2137" s="1497"/>
      <c r="F2137" s="1497">
        <v>11450</v>
      </c>
      <c r="G2137" s="267" t="s">
        <v>56</v>
      </c>
      <c r="H2137" s="3" t="s">
        <v>1356</v>
      </c>
    </row>
    <row r="2138" spans="1:8" ht="30">
      <c r="A2138" s="270">
        <v>44911</v>
      </c>
      <c r="B2138" s="267"/>
      <c r="C2138" s="267" t="s">
        <v>205</v>
      </c>
      <c r="D2138" s="3" t="s">
        <v>1357</v>
      </c>
      <c r="E2138" s="1497">
        <v>257300</v>
      </c>
      <c r="F2138" s="1497"/>
      <c r="G2138" s="267" t="s">
        <v>72</v>
      </c>
      <c r="H2138" s="48" t="s">
        <v>1345</v>
      </c>
    </row>
    <row r="2139" spans="1:8">
      <c r="A2139" s="270">
        <v>44911</v>
      </c>
      <c r="B2139" s="267"/>
      <c r="C2139" s="267" t="s">
        <v>205</v>
      </c>
      <c r="D2139" s="3" t="s">
        <v>1358</v>
      </c>
      <c r="E2139" s="1497">
        <v>271880</v>
      </c>
      <c r="F2139" s="1497"/>
      <c r="G2139" s="267" t="s">
        <v>72</v>
      </c>
      <c r="H2139" s="3" t="s">
        <v>1359</v>
      </c>
    </row>
    <row r="2140" spans="1:8">
      <c r="A2140" s="270">
        <v>44911</v>
      </c>
      <c r="B2140" s="267"/>
      <c r="C2140" s="267" t="s">
        <v>150</v>
      </c>
      <c r="D2140" s="3" t="s">
        <v>1363</v>
      </c>
      <c r="E2140" s="1497">
        <v>70000</v>
      </c>
      <c r="F2140" s="1497"/>
      <c r="G2140" s="267" t="s">
        <v>27</v>
      </c>
      <c r="H2140" s="3"/>
    </row>
    <row r="2141" spans="1:8">
      <c r="A2141" s="270">
        <v>44911</v>
      </c>
      <c r="B2141" s="267"/>
      <c r="C2141" s="267" t="s">
        <v>150</v>
      </c>
      <c r="D2141" s="3" t="s">
        <v>1363</v>
      </c>
      <c r="E2141" s="1497"/>
      <c r="F2141" s="1497">
        <v>200</v>
      </c>
      <c r="G2141" s="267" t="s">
        <v>1364</v>
      </c>
      <c r="H2141" s="3"/>
    </row>
    <row r="2142" spans="1:8">
      <c r="A2142" s="270">
        <v>44911</v>
      </c>
      <c r="B2142" s="267"/>
      <c r="C2142" s="267" t="s">
        <v>92</v>
      </c>
      <c r="D2142" s="3" t="s">
        <v>1366</v>
      </c>
      <c r="E2142" s="1497"/>
      <c r="F2142" s="1497">
        <v>100600</v>
      </c>
      <c r="G2142" s="267" t="s">
        <v>27</v>
      </c>
      <c r="H2142" s="3"/>
    </row>
    <row r="2143" spans="1:8">
      <c r="A2143" s="270">
        <v>44911</v>
      </c>
      <c r="B2143" s="267"/>
      <c r="C2143" s="267" t="s">
        <v>92</v>
      </c>
      <c r="D2143" s="3" t="s">
        <v>1367</v>
      </c>
      <c r="E2143" s="1497"/>
      <c r="F2143" s="1497">
        <v>115839.67</v>
      </c>
      <c r="G2143" s="267" t="s">
        <v>27</v>
      </c>
      <c r="H2143" s="3"/>
    </row>
    <row r="2144" spans="1:8">
      <c r="A2144" s="270">
        <v>44881</v>
      </c>
      <c r="B2144" s="267"/>
      <c r="C2144" s="267" t="s">
        <v>205</v>
      </c>
      <c r="D2144" s="3" t="s">
        <v>790</v>
      </c>
      <c r="E2144" s="1497">
        <v>40200</v>
      </c>
      <c r="F2144" s="1497"/>
      <c r="G2144" s="267" t="s">
        <v>27</v>
      </c>
      <c r="H2144" s="3"/>
    </row>
    <row r="2145" spans="1:8">
      <c r="A2145" s="270">
        <v>44911</v>
      </c>
      <c r="B2145" s="267"/>
      <c r="C2145" s="267" t="s">
        <v>205</v>
      </c>
      <c r="D2145" s="3" t="s">
        <v>1368</v>
      </c>
      <c r="E2145" s="1497">
        <v>28992.5</v>
      </c>
      <c r="F2145" s="1497"/>
      <c r="G2145" s="267" t="s">
        <v>27</v>
      </c>
      <c r="H2145" s="3"/>
    </row>
    <row r="2146" spans="1:8">
      <c r="A2146" s="270">
        <v>44911</v>
      </c>
      <c r="B2146" s="267"/>
      <c r="C2146" s="267" t="s">
        <v>205</v>
      </c>
      <c r="D2146" s="3" t="s">
        <v>44</v>
      </c>
      <c r="E2146" s="1497">
        <v>16687</v>
      </c>
      <c r="F2146" s="1497"/>
      <c r="G2146" s="267" t="s">
        <v>27</v>
      </c>
      <c r="H2146" s="3"/>
    </row>
    <row r="2147" spans="1:8">
      <c r="A2147" s="270">
        <v>44911</v>
      </c>
      <c r="B2147" s="267"/>
      <c r="C2147" s="267" t="s">
        <v>205</v>
      </c>
      <c r="D2147" s="3" t="s">
        <v>35</v>
      </c>
      <c r="E2147" s="1497">
        <v>29261</v>
      </c>
      <c r="F2147" s="1497"/>
      <c r="G2147" s="267" t="s">
        <v>27</v>
      </c>
      <c r="H2147" s="3"/>
    </row>
    <row r="2148" spans="1:8">
      <c r="A2148" s="270">
        <v>44911</v>
      </c>
      <c r="B2148" s="267"/>
      <c r="C2148" s="267" t="s">
        <v>86</v>
      </c>
      <c r="D2148" s="15" t="s">
        <v>104</v>
      </c>
      <c r="E2148" s="1497">
        <v>2550</v>
      </c>
      <c r="F2148" s="1497"/>
      <c r="G2148" s="267" t="s">
        <v>56</v>
      </c>
      <c r="H2148" s="3"/>
    </row>
    <row r="2149" spans="1:8">
      <c r="A2149" s="270">
        <v>44911</v>
      </c>
      <c r="B2149" s="267"/>
      <c r="C2149" s="267" t="s">
        <v>309</v>
      </c>
      <c r="D2149" s="15" t="s">
        <v>1374</v>
      </c>
      <c r="E2149" s="1497">
        <v>19930</v>
      </c>
      <c r="F2149" s="1497"/>
      <c r="G2149" s="267" t="s">
        <v>27</v>
      </c>
      <c r="H2149" s="3"/>
    </row>
    <row r="2150" spans="1:8">
      <c r="A2150" s="270">
        <v>44911</v>
      </c>
      <c r="B2150" s="267"/>
      <c r="C2150" s="267" t="s">
        <v>92</v>
      </c>
      <c r="D2150" s="15" t="s">
        <v>1375</v>
      </c>
      <c r="E2150" s="1497"/>
      <c r="F2150" s="1497">
        <v>9750</v>
      </c>
      <c r="G2150" s="267" t="s">
        <v>27</v>
      </c>
      <c r="H2150" s="3"/>
    </row>
    <row r="2151" spans="1:8">
      <c r="A2151" s="270">
        <v>44911</v>
      </c>
      <c r="B2151" s="267"/>
      <c r="C2151" s="267" t="s">
        <v>88</v>
      </c>
      <c r="D2151" s="15" t="s">
        <v>1369</v>
      </c>
      <c r="E2151" s="1497">
        <v>46000</v>
      </c>
      <c r="F2151" s="1497"/>
      <c r="G2151" s="267" t="s">
        <v>56</v>
      </c>
      <c r="H2151" s="3"/>
    </row>
    <row r="2152" spans="1:8">
      <c r="A2152" s="270">
        <v>44911</v>
      </c>
      <c r="B2152" s="267"/>
      <c r="C2152" s="267" t="s">
        <v>88</v>
      </c>
      <c r="D2152" s="15" t="s">
        <v>1370</v>
      </c>
      <c r="E2152" s="1497">
        <v>31600</v>
      </c>
      <c r="F2152" s="1497"/>
      <c r="G2152" s="267" t="s">
        <v>56</v>
      </c>
      <c r="H2152" s="3"/>
    </row>
    <row r="2153" spans="1:8">
      <c r="A2153" s="270">
        <v>44911</v>
      </c>
      <c r="B2153" s="267"/>
      <c r="C2153" s="267" t="s">
        <v>88</v>
      </c>
      <c r="D2153" s="15" t="s">
        <v>1371</v>
      </c>
      <c r="E2153" s="1497">
        <v>47389.11</v>
      </c>
      <c r="F2153" s="1497"/>
      <c r="G2153" s="267" t="s">
        <v>27</v>
      </c>
      <c r="H2153" s="3"/>
    </row>
    <row r="2154" spans="1:8">
      <c r="A2154" s="270">
        <v>44911</v>
      </c>
      <c r="B2154" s="267"/>
      <c r="C2154" s="267" t="s">
        <v>88</v>
      </c>
      <c r="D2154" s="15" t="s">
        <v>1371</v>
      </c>
      <c r="E2154" s="1497">
        <v>14600</v>
      </c>
      <c r="F2154" s="1497"/>
      <c r="G2154" s="267" t="s">
        <v>56</v>
      </c>
      <c r="H2154" s="3"/>
    </row>
    <row r="2155" spans="1:8">
      <c r="A2155" s="270">
        <v>44911</v>
      </c>
      <c r="B2155" s="267"/>
      <c r="C2155" s="267" t="s">
        <v>88</v>
      </c>
      <c r="D2155" s="15" t="s">
        <v>1372</v>
      </c>
      <c r="E2155" s="1497">
        <v>20000</v>
      </c>
      <c r="F2155" s="1497"/>
      <c r="G2155" s="267" t="s">
        <v>56</v>
      </c>
      <c r="H2155" s="3"/>
    </row>
    <row r="2156" spans="1:8">
      <c r="A2156" s="270"/>
      <c r="B2156" s="267"/>
      <c r="C2156" s="267"/>
      <c r="D2156" s="15"/>
      <c r="E2156" s="1497"/>
      <c r="F2156" s="1497"/>
      <c r="G2156" s="267" t="s">
        <v>56</v>
      </c>
      <c r="H2156" s="3"/>
    </row>
    <row r="2157" spans="1:8">
      <c r="H2157" s="141" t="s">
        <v>1360</v>
      </c>
    </row>
    <row r="2158" spans="1:8">
      <c r="H2158" s="136" t="s">
        <v>1376</v>
      </c>
    </row>
    <row r="2159" spans="1:8">
      <c r="H2159" s="137" t="s">
        <v>1377</v>
      </c>
    </row>
    <row r="2160" spans="1:8">
      <c r="H2160" s="138" t="s">
        <v>1373</v>
      </c>
    </row>
    <row r="2161" spans="1:8">
      <c r="H2161" s="138" t="s">
        <v>1362</v>
      </c>
    </row>
    <row r="2162" spans="1:8">
      <c r="H2162" s="138" t="s">
        <v>1365</v>
      </c>
    </row>
    <row r="2163" spans="1:8">
      <c r="H2163" s="138" t="s">
        <v>1361</v>
      </c>
    </row>
    <row r="2164" spans="1:8">
      <c r="H2164" s="139" t="s">
        <v>287</v>
      </c>
    </row>
    <row r="2165" spans="1:8">
      <c r="A2165" s="270">
        <v>44914</v>
      </c>
      <c r="B2165" s="267"/>
      <c r="C2165" s="267" t="s">
        <v>205</v>
      </c>
      <c r="D2165" s="3" t="s">
        <v>1378</v>
      </c>
      <c r="E2165" s="1497">
        <v>67390</v>
      </c>
      <c r="F2165" s="1497"/>
      <c r="G2165" s="267" t="s">
        <v>287</v>
      </c>
      <c r="H2165" s="3"/>
    </row>
    <row r="2166" spans="1:8">
      <c r="A2166" s="270">
        <v>44914</v>
      </c>
      <c r="B2166" s="267"/>
      <c r="C2166" s="267" t="s">
        <v>287</v>
      </c>
      <c r="D2166" s="3" t="s">
        <v>1315</v>
      </c>
      <c r="E2166" s="1497">
        <v>5000</v>
      </c>
      <c r="F2166" s="1497"/>
      <c r="G2166" s="267" t="s">
        <v>27</v>
      </c>
      <c r="H2166" s="3"/>
    </row>
    <row r="2167" spans="1:8">
      <c r="A2167" s="270">
        <v>44914</v>
      </c>
      <c r="B2167" s="267"/>
      <c r="C2167" s="267" t="s">
        <v>77</v>
      </c>
      <c r="D2167" s="3" t="s">
        <v>1379</v>
      </c>
      <c r="E2167" s="1497"/>
      <c r="F2167" s="1497">
        <v>139000</v>
      </c>
      <c r="G2167" s="267" t="s">
        <v>56</v>
      </c>
      <c r="H2167" s="3"/>
    </row>
    <row r="2168" spans="1:8">
      <c r="A2168" s="270">
        <v>44914</v>
      </c>
      <c r="B2168" s="267"/>
      <c r="C2168" s="267" t="s">
        <v>79</v>
      </c>
      <c r="D2168" s="3" t="s">
        <v>79</v>
      </c>
      <c r="E2168" s="1497">
        <v>12000</v>
      </c>
      <c r="F2168" s="1497"/>
      <c r="G2168" s="267" t="s">
        <v>27</v>
      </c>
      <c r="H2168" s="3"/>
    </row>
    <row r="2169" spans="1:8">
      <c r="A2169" s="270">
        <v>44914</v>
      </c>
      <c r="B2169" s="267"/>
      <c r="C2169" s="267" t="s">
        <v>79</v>
      </c>
      <c r="D2169" s="3" t="s">
        <v>79</v>
      </c>
      <c r="E2169" s="1497">
        <v>5000</v>
      </c>
      <c r="F2169" s="1497"/>
      <c r="G2169" s="267" t="s">
        <v>56</v>
      </c>
      <c r="H2169" s="3"/>
    </row>
    <row r="2170" spans="1:8">
      <c r="A2170" s="270">
        <v>44914</v>
      </c>
      <c r="B2170" s="267"/>
      <c r="C2170" s="267" t="s">
        <v>55</v>
      </c>
      <c r="D2170" s="3" t="s">
        <v>1380</v>
      </c>
      <c r="E2170" s="1497">
        <v>6000</v>
      </c>
      <c r="F2170" s="1497"/>
      <c r="G2170" s="267" t="s">
        <v>27</v>
      </c>
      <c r="H2170" s="3"/>
    </row>
    <row r="2171" spans="1:8">
      <c r="A2171" s="269">
        <v>44914</v>
      </c>
      <c r="B2171" s="268"/>
      <c r="C2171" s="268" t="s">
        <v>55</v>
      </c>
      <c r="D2171" s="83" t="s">
        <v>1381</v>
      </c>
      <c r="E2171" s="1501">
        <v>8000</v>
      </c>
      <c r="F2171" s="1501"/>
      <c r="G2171" s="268" t="s">
        <v>56</v>
      </c>
      <c r="H2171" s="3"/>
    </row>
    <row r="2172" spans="1:8">
      <c r="A2172" s="270">
        <v>44915</v>
      </c>
      <c r="B2172" s="267"/>
      <c r="C2172" s="267" t="s">
        <v>176</v>
      </c>
      <c r="D2172" s="3" t="s">
        <v>175</v>
      </c>
      <c r="E2172" s="1497">
        <v>48700</v>
      </c>
      <c r="F2172" s="1497"/>
      <c r="G2172" s="267" t="s">
        <v>27</v>
      </c>
      <c r="H2172" s="3"/>
    </row>
    <row r="2173" spans="1:8">
      <c r="A2173" s="270">
        <v>44915</v>
      </c>
      <c r="B2173" s="267"/>
      <c r="C2173" s="267" t="s">
        <v>77</v>
      </c>
      <c r="D2173" s="3" t="s">
        <v>1074</v>
      </c>
      <c r="E2173" s="1497"/>
      <c r="F2173" s="1497">
        <v>228800</v>
      </c>
      <c r="G2173" s="267" t="s">
        <v>72</v>
      </c>
      <c r="H2173" s="3" t="s">
        <v>1382</v>
      </c>
    </row>
    <row r="2174" spans="1:8">
      <c r="A2174" s="270">
        <v>44915</v>
      </c>
      <c r="B2174" s="267"/>
      <c r="C2174" s="267" t="s">
        <v>537</v>
      </c>
      <c r="D2174" s="3" t="s">
        <v>1383</v>
      </c>
      <c r="E2174" s="1497">
        <v>2000</v>
      </c>
      <c r="F2174" s="1497"/>
      <c r="G2174" s="267" t="s">
        <v>27</v>
      </c>
      <c r="H2174" s="3"/>
    </row>
    <row r="2175" spans="1:8">
      <c r="A2175" s="270">
        <v>44915</v>
      </c>
      <c r="B2175" s="267"/>
      <c r="C2175" s="267" t="s">
        <v>849</v>
      </c>
      <c r="D2175" s="3" t="s">
        <v>560</v>
      </c>
      <c r="E2175" s="1497">
        <v>17000</v>
      </c>
      <c r="F2175" s="1497"/>
      <c r="G2175" s="267" t="s">
        <v>584</v>
      </c>
      <c r="H2175" s="3"/>
    </row>
    <row r="2176" spans="1:8">
      <c r="A2176" s="270">
        <v>44915</v>
      </c>
      <c r="B2176" s="267"/>
      <c r="C2176" s="267" t="s">
        <v>849</v>
      </c>
      <c r="D2176" s="15" t="s">
        <v>560</v>
      </c>
      <c r="E2176" s="1497">
        <v>12000</v>
      </c>
      <c r="F2176" s="1497"/>
      <c r="G2176" s="267" t="s">
        <v>676</v>
      </c>
      <c r="H2176" s="3"/>
    </row>
    <row r="2177" spans="1:8">
      <c r="A2177" s="270">
        <v>44915</v>
      </c>
      <c r="B2177" s="267"/>
      <c r="C2177" s="267" t="s">
        <v>1385</v>
      </c>
      <c r="D2177" s="3" t="s">
        <v>1384</v>
      </c>
      <c r="E2177" s="1497">
        <v>70000</v>
      </c>
      <c r="F2177" s="1497"/>
      <c r="G2177" s="267" t="s">
        <v>27</v>
      </c>
      <c r="H2177" s="3"/>
    </row>
    <row r="2178" spans="1:8">
      <c r="A2178" s="270">
        <v>44915</v>
      </c>
      <c r="B2178" s="267"/>
      <c r="C2178" s="267" t="s">
        <v>1385</v>
      </c>
      <c r="D2178" s="3" t="s">
        <v>1386</v>
      </c>
      <c r="E2178" s="1497">
        <v>90000</v>
      </c>
      <c r="F2178" s="1497"/>
      <c r="G2178" s="267" t="s">
        <v>56</v>
      </c>
      <c r="H2178" s="3" t="s">
        <v>1379</v>
      </c>
    </row>
    <row r="2179" spans="1:8">
      <c r="A2179" s="270">
        <v>44915</v>
      </c>
      <c r="B2179" s="267"/>
      <c r="C2179" s="267" t="s">
        <v>1385</v>
      </c>
      <c r="D2179" s="3" t="s">
        <v>1386</v>
      </c>
      <c r="E2179" s="1497"/>
      <c r="F2179" s="1497">
        <v>500</v>
      </c>
      <c r="G2179" s="267" t="s">
        <v>781</v>
      </c>
      <c r="H2179" s="3"/>
    </row>
    <row r="2180" spans="1:8">
      <c r="A2180" s="270">
        <v>44915</v>
      </c>
      <c r="B2180" s="267"/>
      <c r="C2180" s="267" t="s">
        <v>86</v>
      </c>
      <c r="D2180" s="3" t="s">
        <v>107</v>
      </c>
      <c r="E2180" s="1497">
        <v>5100</v>
      </c>
      <c r="F2180" s="1497"/>
      <c r="G2180" s="267" t="s">
        <v>27</v>
      </c>
      <c r="H2180" s="3"/>
    </row>
    <row r="2181" spans="1:8">
      <c r="A2181" s="270">
        <v>44915</v>
      </c>
      <c r="B2181" s="267"/>
      <c r="C2181" s="267" t="s">
        <v>86</v>
      </c>
      <c r="D2181" s="3" t="s">
        <v>104</v>
      </c>
      <c r="E2181" s="1497">
        <v>4085</v>
      </c>
      <c r="F2181" s="1497"/>
      <c r="G2181" s="267" t="s">
        <v>56</v>
      </c>
      <c r="H2181" s="3" t="s">
        <v>1388</v>
      </c>
    </row>
    <row r="2182" spans="1:8">
      <c r="A2182" s="270">
        <v>44915</v>
      </c>
      <c r="B2182" s="267"/>
      <c r="C2182" s="267" t="s">
        <v>831</v>
      </c>
      <c r="D2182" s="3" t="s">
        <v>1387</v>
      </c>
      <c r="E2182" s="1497">
        <v>3600</v>
      </c>
      <c r="F2182" s="1497"/>
      <c r="G2182" s="267" t="s">
        <v>56</v>
      </c>
      <c r="H2182" s="3" t="s">
        <v>1388</v>
      </c>
    </row>
    <row r="2183" spans="1:8">
      <c r="A2183" s="270">
        <v>44915</v>
      </c>
      <c r="B2183" s="267"/>
      <c r="C2183" s="267" t="s">
        <v>79</v>
      </c>
      <c r="D2183" s="3" t="s">
        <v>166</v>
      </c>
      <c r="E2183" s="1497">
        <v>50000</v>
      </c>
      <c r="F2183" s="1497"/>
      <c r="G2183" s="267" t="s">
        <v>27</v>
      </c>
      <c r="H2183" s="3"/>
    </row>
    <row r="2184" spans="1:8">
      <c r="A2184" s="270">
        <v>44915</v>
      </c>
      <c r="B2184" s="267"/>
      <c r="C2184" s="267" t="s">
        <v>92</v>
      </c>
      <c r="D2184" s="3" t="s">
        <v>1389</v>
      </c>
      <c r="E2184" s="1497"/>
      <c r="F2184" s="1497">
        <v>6890</v>
      </c>
      <c r="G2184" s="267" t="s">
        <v>27</v>
      </c>
      <c r="H2184" s="3"/>
    </row>
    <row r="2185" spans="1:8">
      <c r="A2185" s="270">
        <v>44916</v>
      </c>
      <c r="B2185" s="267"/>
      <c r="C2185" s="267" t="s">
        <v>55</v>
      </c>
      <c r="D2185" s="3" t="s">
        <v>70</v>
      </c>
      <c r="E2185" s="1497">
        <v>1500</v>
      </c>
      <c r="F2185" s="1497"/>
      <c r="G2185" s="267" t="s">
        <v>56</v>
      </c>
      <c r="H2185" s="3"/>
    </row>
    <row r="2186" spans="1:8">
      <c r="A2186" s="270">
        <v>44916</v>
      </c>
      <c r="B2186" s="267"/>
      <c r="C2186" s="267" t="s">
        <v>88</v>
      </c>
      <c r="D2186" s="3" t="s">
        <v>453</v>
      </c>
      <c r="E2186" s="1497">
        <v>2400</v>
      </c>
      <c r="F2186" s="1497"/>
      <c r="G2186" s="267" t="s">
        <v>56</v>
      </c>
      <c r="H2186" s="3"/>
    </row>
    <row r="2187" spans="1:8">
      <c r="A2187" s="270">
        <v>44916</v>
      </c>
      <c r="B2187" s="267"/>
      <c r="C2187" s="267" t="s">
        <v>79</v>
      </c>
      <c r="D2187" s="3" t="s">
        <v>79</v>
      </c>
      <c r="E2187" s="1497">
        <v>5370</v>
      </c>
      <c r="F2187" s="1497"/>
      <c r="G2187" s="267" t="s">
        <v>27</v>
      </c>
      <c r="H2187" s="3"/>
    </row>
    <row r="2188" spans="1:8">
      <c r="A2188" s="270">
        <v>44916</v>
      </c>
      <c r="B2188" s="267"/>
      <c r="C2188" s="267" t="s">
        <v>55</v>
      </c>
      <c r="D2188" s="3" t="s">
        <v>1390</v>
      </c>
      <c r="E2188" s="1497">
        <v>7156.6</v>
      </c>
      <c r="F2188" s="1497"/>
      <c r="G2188" s="267" t="s">
        <v>56</v>
      </c>
      <c r="H2188" s="3"/>
    </row>
    <row r="2189" spans="1:8">
      <c r="A2189" s="270">
        <v>44916</v>
      </c>
      <c r="B2189" s="267"/>
      <c r="C2189" s="267" t="s">
        <v>55</v>
      </c>
      <c r="D2189" s="3" t="s">
        <v>1391</v>
      </c>
      <c r="E2189" s="1497">
        <v>3790</v>
      </c>
      <c r="F2189" s="1497"/>
      <c r="G2189" s="267" t="s">
        <v>56</v>
      </c>
      <c r="H2189" s="3"/>
    </row>
    <row r="2190" spans="1:8">
      <c r="A2190" s="270">
        <v>44916</v>
      </c>
      <c r="B2190" s="267"/>
      <c r="C2190" s="267" t="s">
        <v>92</v>
      </c>
      <c r="D2190" s="3" t="s">
        <v>956</v>
      </c>
      <c r="E2190" s="1497"/>
      <c r="F2190" s="1497">
        <v>15650</v>
      </c>
      <c r="G2190" s="267" t="s">
        <v>27</v>
      </c>
      <c r="H2190" s="3"/>
    </row>
    <row r="2191" spans="1:8">
      <c r="A2191" s="270">
        <v>44916</v>
      </c>
      <c r="B2191" s="267"/>
      <c r="C2191" s="267"/>
      <c r="D2191" s="3" t="s">
        <v>104</v>
      </c>
      <c r="E2191" s="1497">
        <v>3070</v>
      </c>
      <c r="F2191" s="1497"/>
      <c r="G2191" s="267" t="s">
        <v>56</v>
      </c>
      <c r="H2191" s="3"/>
    </row>
    <row r="2192" spans="1:8">
      <c r="A2192" s="270">
        <v>44917</v>
      </c>
      <c r="B2192" s="267"/>
      <c r="C2192" s="267" t="s">
        <v>90</v>
      </c>
      <c r="D2192" s="3" t="s">
        <v>1392</v>
      </c>
      <c r="E2192" s="1497">
        <v>12650</v>
      </c>
      <c r="F2192" s="1497"/>
      <c r="G2192" s="267" t="s">
        <v>27</v>
      </c>
      <c r="H2192" s="3"/>
    </row>
    <row r="2193" spans="1:8">
      <c r="A2193" s="270">
        <v>44917</v>
      </c>
      <c r="B2193" s="267"/>
      <c r="C2193" s="267" t="s">
        <v>79</v>
      </c>
      <c r="D2193" s="3" t="s">
        <v>1393</v>
      </c>
      <c r="E2193" s="1497">
        <v>45000</v>
      </c>
      <c r="F2193" s="1497"/>
      <c r="G2193" s="267" t="s">
        <v>27</v>
      </c>
      <c r="H2193" s="3"/>
    </row>
    <row r="2194" spans="1:8">
      <c r="A2194" s="270">
        <v>44917</v>
      </c>
      <c r="B2194" s="267"/>
      <c r="C2194" s="267" t="s">
        <v>1385</v>
      </c>
      <c r="D2194" s="3" t="s">
        <v>1394</v>
      </c>
      <c r="E2194" s="1497">
        <v>100000</v>
      </c>
      <c r="F2194" s="1497"/>
      <c r="G2194" s="267" t="s">
        <v>27</v>
      </c>
      <c r="H2194" s="3"/>
    </row>
    <row r="2195" spans="1:8">
      <c r="A2195" s="270">
        <v>44917</v>
      </c>
      <c r="B2195" s="267"/>
      <c r="C2195" s="267"/>
      <c r="D2195" s="3" t="s">
        <v>1386</v>
      </c>
      <c r="E2195" s="1497"/>
      <c r="F2195" s="1497">
        <v>300</v>
      </c>
      <c r="G2195" s="267" t="s">
        <v>781</v>
      </c>
      <c r="H2195" s="3"/>
    </row>
    <row r="2196" spans="1:8">
      <c r="A2196" s="270">
        <v>44917</v>
      </c>
      <c r="B2196" s="267"/>
      <c r="C2196" s="267" t="s">
        <v>76</v>
      </c>
      <c r="D2196" s="3" t="s">
        <v>1395</v>
      </c>
      <c r="E2196" s="1497"/>
      <c r="F2196" s="1497">
        <v>34800</v>
      </c>
      <c r="G2196" s="267" t="s">
        <v>56</v>
      </c>
      <c r="H2196" s="3"/>
    </row>
    <row r="2197" spans="1:8">
      <c r="A2197" s="270">
        <v>44917</v>
      </c>
      <c r="B2197" s="267"/>
      <c r="C2197" s="267" t="s">
        <v>205</v>
      </c>
      <c r="D2197" s="3" t="s">
        <v>1396</v>
      </c>
      <c r="E2197" s="1497">
        <v>94100</v>
      </c>
      <c r="F2197" s="1497"/>
      <c r="G2197" s="267" t="s">
        <v>72</v>
      </c>
      <c r="H2197" s="3"/>
    </row>
    <row r="2198" spans="1:8">
      <c r="A2198" s="270">
        <v>44917</v>
      </c>
      <c r="B2198" s="267"/>
      <c r="C2198" s="267" t="s">
        <v>79</v>
      </c>
      <c r="D2198" s="3" t="s">
        <v>630</v>
      </c>
      <c r="E2198" s="1497">
        <v>14930</v>
      </c>
      <c r="F2198" s="1497"/>
      <c r="G2198" s="267" t="s">
        <v>27</v>
      </c>
      <c r="H2198" s="3"/>
    </row>
    <row r="2199" spans="1:8">
      <c r="A2199" s="270">
        <v>44917</v>
      </c>
      <c r="B2199" s="267"/>
      <c r="C2199" s="267" t="s">
        <v>79</v>
      </c>
      <c r="D2199" s="3" t="s">
        <v>1397</v>
      </c>
      <c r="E2199" s="1497">
        <v>10000</v>
      </c>
      <c r="F2199" s="1497"/>
      <c r="G2199" s="267" t="s">
        <v>56</v>
      </c>
      <c r="H2199" s="3"/>
    </row>
    <row r="2200" spans="1:8">
      <c r="A2200" s="270">
        <v>44917</v>
      </c>
      <c r="B2200" s="267"/>
      <c r="C2200" s="267" t="s">
        <v>205</v>
      </c>
      <c r="D2200" s="3" t="s">
        <v>38</v>
      </c>
      <c r="E2200" s="1497">
        <v>600</v>
      </c>
      <c r="F2200" s="1497"/>
      <c r="G2200" s="267" t="s">
        <v>56</v>
      </c>
      <c r="H2200" s="3"/>
    </row>
    <row r="2201" spans="1:8">
      <c r="A2201" s="270">
        <v>44918</v>
      </c>
      <c r="B2201" s="267"/>
      <c r="C2201" s="267" t="s">
        <v>537</v>
      </c>
      <c r="D2201" s="3" t="s">
        <v>219</v>
      </c>
      <c r="E2201" s="1497">
        <v>46000</v>
      </c>
      <c r="F2201" s="1497"/>
      <c r="G2201" s="267" t="s">
        <v>56</v>
      </c>
      <c r="H2201" s="3"/>
    </row>
    <row r="2202" spans="1:8">
      <c r="A2202" s="270">
        <v>44918</v>
      </c>
      <c r="B2202" s="267"/>
      <c r="C2202" s="267" t="s">
        <v>537</v>
      </c>
      <c r="D2202" s="3" t="s">
        <v>144</v>
      </c>
      <c r="E2202" s="1497">
        <v>52000</v>
      </c>
      <c r="F2202" s="1497"/>
      <c r="G2202" s="267" t="s">
        <v>56</v>
      </c>
      <c r="H2202" s="3"/>
    </row>
    <row r="2203" spans="1:8">
      <c r="A2203" s="270">
        <v>44918</v>
      </c>
      <c r="B2203" s="267"/>
      <c r="C2203" s="267" t="s">
        <v>537</v>
      </c>
      <c r="D2203" s="3" t="s">
        <v>208</v>
      </c>
      <c r="E2203" s="1497">
        <v>26700</v>
      </c>
      <c r="F2203" s="1497"/>
      <c r="G2203" s="267" t="s">
        <v>56</v>
      </c>
      <c r="H2203" s="3"/>
    </row>
    <row r="2204" spans="1:8">
      <c r="A2204" s="270">
        <v>44918</v>
      </c>
      <c r="B2204" s="267"/>
      <c r="C2204" s="267" t="s">
        <v>537</v>
      </c>
      <c r="D2204" s="15" t="s">
        <v>824</v>
      </c>
      <c r="E2204" s="1497">
        <v>20000</v>
      </c>
      <c r="F2204" s="1497"/>
      <c r="G2204" s="267" t="s">
        <v>56</v>
      </c>
      <c r="H2204" s="3"/>
    </row>
    <row r="2205" spans="1:8">
      <c r="A2205" s="270">
        <v>44918</v>
      </c>
      <c r="B2205" s="267"/>
      <c r="C2205" s="267" t="s">
        <v>537</v>
      </c>
      <c r="D2205" s="3" t="s">
        <v>144</v>
      </c>
      <c r="E2205" s="1497">
        <v>10000</v>
      </c>
      <c r="F2205" s="1497"/>
      <c r="G2205" s="267" t="s">
        <v>27</v>
      </c>
      <c r="H2205" s="3"/>
    </row>
    <row r="2206" spans="1:8">
      <c r="A2206" s="270">
        <v>44917</v>
      </c>
      <c r="B2206" s="267"/>
      <c r="C2206" s="267" t="s">
        <v>79</v>
      </c>
      <c r="D2206" s="3" t="s">
        <v>79</v>
      </c>
      <c r="E2206" s="1497">
        <v>100000</v>
      </c>
      <c r="F2206" s="1497"/>
      <c r="G2206" s="267" t="s">
        <v>614</v>
      </c>
      <c r="H2206" s="3"/>
    </row>
    <row r="2207" spans="1:8">
      <c r="A2207" s="270">
        <v>44918</v>
      </c>
      <c r="B2207" s="267"/>
      <c r="C2207" s="267" t="s">
        <v>205</v>
      </c>
      <c r="D2207" s="3" t="s">
        <v>190</v>
      </c>
      <c r="E2207" s="1497">
        <v>100000</v>
      </c>
      <c r="F2207" s="1497"/>
      <c r="G2207" s="267" t="s">
        <v>72</v>
      </c>
      <c r="H2207" s="45" t="s">
        <v>1074</v>
      </c>
    </row>
    <row r="2208" spans="1:8">
      <c r="A2208" s="270">
        <v>44918</v>
      </c>
      <c r="B2208" s="267"/>
      <c r="C2208" s="267" t="s">
        <v>76</v>
      </c>
      <c r="D2208" s="3" t="s">
        <v>1353</v>
      </c>
      <c r="E2208" s="1497"/>
      <c r="F2208" s="1497">
        <v>80000</v>
      </c>
      <c r="G2208" s="267" t="s">
        <v>56</v>
      </c>
      <c r="H2208" s="3"/>
    </row>
    <row r="2209" spans="1:8">
      <c r="A2209" s="270">
        <v>44918</v>
      </c>
      <c r="B2209" s="267"/>
      <c r="C2209" s="267" t="s">
        <v>55</v>
      </c>
      <c r="D2209" s="3" t="s">
        <v>395</v>
      </c>
      <c r="E2209" s="1497">
        <v>5076.01</v>
      </c>
      <c r="F2209" s="1497"/>
      <c r="G2209" s="267" t="s">
        <v>27</v>
      </c>
      <c r="H2209" s="85"/>
    </row>
    <row r="2210" spans="1:8" ht="15.75" thickBot="1">
      <c r="A2210" s="270">
        <v>44918</v>
      </c>
      <c r="B2210" s="267"/>
      <c r="C2210" s="267" t="s">
        <v>55</v>
      </c>
      <c r="D2210" s="3" t="s">
        <v>1401</v>
      </c>
      <c r="E2210" s="1497">
        <v>4062</v>
      </c>
      <c r="F2210" s="1497"/>
      <c r="G2210" s="267" t="s">
        <v>27</v>
      </c>
      <c r="H2210" s="115"/>
    </row>
    <row r="2211" spans="1:8">
      <c r="A2211" s="267"/>
      <c r="B2211" s="267"/>
      <c r="C2211" s="267"/>
      <c r="D2211" s="3"/>
      <c r="E2211" s="1497"/>
      <c r="F2211" s="1497"/>
      <c r="G2211" s="267"/>
      <c r="H2211" s="149" t="s">
        <v>1400</v>
      </c>
    </row>
    <row r="2212" spans="1:8">
      <c r="A2212" s="267"/>
      <c r="B2212" s="267"/>
      <c r="C2212" s="267"/>
      <c r="D2212" s="3"/>
      <c r="E2212" s="1497"/>
      <c r="F2212" s="1497"/>
      <c r="G2212" s="267"/>
      <c r="H2212" s="136" t="s">
        <v>876</v>
      </c>
    </row>
    <row r="2213" spans="1:8">
      <c r="A2213" s="267"/>
      <c r="B2213" s="267"/>
      <c r="C2213" s="267"/>
      <c r="D2213" s="3"/>
      <c r="E2213" s="1497"/>
      <c r="F2213" s="1497"/>
      <c r="G2213" s="267"/>
      <c r="H2213" s="137" t="s">
        <v>905</v>
      </c>
    </row>
    <row r="2214" spans="1:8">
      <c r="H2214" s="138" t="s">
        <v>1402</v>
      </c>
    </row>
    <row r="2215" spans="1:8">
      <c r="H2215" s="138" t="s">
        <v>1410</v>
      </c>
    </row>
    <row r="2216" spans="1:8">
      <c r="H2216" s="138" t="s">
        <v>1398</v>
      </c>
    </row>
    <row r="2217" spans="1:8">
      <c r="H2217" s="138" t="s">
        <v>1399</v>
      </c>
    </row>
    <row r="2218" spans="1:8">
      <c r="H2218" s="139" t="s">
        <v>287</v>
      </c>
    </row>
    <row r="2219" spans="1:8">
      <c r="A2219" s="270">
        <v>44918</v>
      </c>
      <c r="B2219" s="267"/>
      <c r="C2219" s="267" t="s">
        <v>730</v>
      </c>
      <c r="D2219" s="3" t="s">
        <v>1404</v>
      </c>
      <c r="E2219" s="1497">
        <v>5000</v>
      </c>
      <c r="F2219" s="1497"/>
      <c r="G2219" s="267" t="s">
        <v>27</v>
      </c>
      <c r="H2219" s="267"/>
    </row>
    <row r="2220" spans="1:8">
      <c r="A2220" s="270">
        <v>44921</v>
      </c>
      <c r="B2220" s="267"/>
      <c r="C2220" s="267" t="s">
        <v>156</v>
      </c>
      <c r="D2220" s="3" t="s">
        <v>156</v>
      </c>
      <c r="E2220" s="1497">
        <v>21861.46</v>
      </c>
      <c r="F2220" s="1497"/>
      <c r="G2220" s="267" t="s">
        <v>27</v>
      </c>
      <c r="H2220" s="267"/>
    </row>
    <row r="2221" spans="1:8">
      <c r="A2221" s="270">
        <v>44921</v>
      </c>
      <c r="B2221" s="267"/>
      <c r="C2221" s="267" t="s">
        <v>79</v>
      </c>
      <c r="D2221" s="3" t="s">
        <v>181</v>
      </c>
      <c r="E2221" s="1497">
        <v>4782.9799999999996</v>
      </c>
      <c r="F2221" s="1497"/>
      <c r="G2221" s="267" t="s">
        <v>27</v>
      </c>
      <c r="H2221" s="267"/>
    </row>
    <row r="2222" spans="1:8">
      <c r="A2222" s="270">
        <v>44921</v>
      </c>
      <c r="B2222" s="267"/>
      <c r="C2222" s="267" t="s">
        <v>79</v>
      </c>
      <c r="D2222" s="3" t="s">
        <v>1403</v>
      </c>
      <c r="E2222" s="1497">
        <v>1673.78</v>
      </c>
      <c r="F2222" s="1497"/>
      <c r="G2222" s="267" t="s">
        <v>27</v>
      </c>
      <c r="H2222" s="267"/>
    </row>
    <row r="2223" spans="1:8">
      <c r="A2223" s="270">
        <v>44921</v>
      </c>
      <c r="B2223" s="267"/>
      <c r="C2223" s="267" t="s">
        <v>92</v>
      </c>
      <c r="D2223" s="3" t="s">
        <v>1254</v>
      </c>
      <c r="E2223" s="1497"/>
      <c r="F2223" s="1497">
        <v>8100</v>
      </c>
      <c r="G2223" s="267" t="s">
        <v>27</v>
      </c>
      <c r="H2223" s="267"/>
    </row>
    <row r="2224" spans="1:8">
      <c r="A2224" s="270">
        <v>44923</v>
      </c>
      <c r="B2224" s="267"/>
      <c r="C2224" s="267" t="s">
        <v>205</v>
      </c>
      <c r="D2224" s="3" t="s">
        <v>1406</v>
      </c>
      <c r="E2224" s="1497" t="s">
        <v>1405</v>
      </c>
      <c r="F2224" s="1497"/>
      <c r="G2224" s="267"/>
      <c r="H2224" s="267"/>
    </row>
    <row r="2225" spans="1:8">
      <c r="A2225" s="270">
        <v>44923</v>
      </c>
      <c r="B2225" s="267"/>
      <c r="C2225" s="267" t="s">
        <v>92</v>
      </c>
      <c r="D2225" s="3" t="s">
        <v>422</v>
      </c>
      <c r="E2225" s="1497"/>
      <c r="F2225" s="1497">
        <v>8820</v>
      </c>
      <c r="G2225" s="267"/>
      <c r="H2225" s="267"/>
    </row>
    <row r="2226" spans="1:8">
      <c r="A2226" s="270">
        <v>44924</v>
      </c>
      <c r="B2226" s="267"/>
      <c r="C2226" s="267" t="s">
        <v>150</v>
      </c>
      <c r="D2226" s="3" t="s">
        <v>1407</v>
      </c>
      <c r="E2226" s="1497">
        <v>2625</v>
      </c>
      <c r="F2226" s="1497"/>
      <c r="G2226" s="267" t="s">
        <v>27</v>
      </c>
      <c r="H2226" s="267"/>
    </row>
    <row r="2227" spans="1:8">
      <c r="A2227" s="270">
        <v>44925</v>
      </c>
      <c r="B2227" s="267"/>
      <c r="C2227" s="267" t="s">
        <v>79</v>
      </c>
      <c r="D2227" s="3" t="s">
        <v>151</v>
      </c>
      <c r="E2227" s="1497">
        <v>78912.179999999993</v>
      </c>
      <c r="F2227" s="1497"/>
      <c r="G2227" s="267" t="s">
        <v>27</v>
      </c>
      <c r="H2227" s="267"/>
    </row>
    <row r="2228" spans="1:8">
      <c r="A2228" s="270">
        <v>44925</v>
      </c>
      <c r="B2228" s="267"/>
      <c r="C2228" s="267" t="s">
        <v>79</v>
      </c>
      <c r="D2228" s="3" t="s">
        <v>151</v>
      </c>
      <c r="E2228" s="1497">
        <v>30000</v>
      </c>
      <c r="F2228" s="1497"/>
      <c r="G2228" s="267" t="s">
        <v>56</v>
      </c>
      <c r="H2228" s="3"/>
    </row>
    <row r="2229" spans="1:8">
      <c r="A2229" s="270">
        <v>44925</v>
      </c>
      <c r="B2229" s="267"/>
      <c r="C2229" s="267" t="s">
        <v>79</v>
      </c>
      <c r="D2229" s="3" t="s">
        <v>1408</v>
      </c>
      <c r="E2229" s="1497">
        <v>109159.59</v>
      </c>
      <c r="F2229" s="1497"/>
      <c r="G2229" s="267" t="s">
        <v>27</v>
      </c>
      <c r="H2229" s="3"/>
    </row>
    <row r="2230" spans="1:8">
      <c r="A2230" s="270">
        <v>44925</v>
      </c>
      <c r="B2230" s="267"/>
      <c r="C2230" s="267" t="s">
        <v>88</v>
      </c>
      <c r="D2230" s="15" t="s">
        <v>144</v>
      </c>
      <c r="E2230" s="1497">
        <v>10000</v>
      </c>
      <c r="F2230" s="1497"/>
      <c r="G2230" s="267" t="s">
        <v>27</v>
      </c>
      <c r="H2230" s="3"/>
    </row>
    <row r="2231" spans="1:8">
      <c r="A2231" s="270">
        <v>44925</v>
      </c>
      <c r="B2231" s="267"/>
      <c r="C2231" s="267" t="s">
        <v>88</v>
      </c>
      <c r="D2231" s="15" t="s">
        <v>144</v>
      </c>
      <c r="E2231" s="1497">
        <v>51500</v>
      </c>
      <c r="F2231" s="1497"/>
      <c r="G2231" s="267" t="s">
        <v>56</v>
      </c>
      <c r="H2231" s="3"/>
    </row>
    <row r="2232" spans="1:8">
      <c r="A2232" s="270">
        <v>44925</v>
      </c>
      <c r="B2232" s="267"/>
      <c r="C2232" s="267" t="s">
        <v>88</v>
      </c>
      <c r="D2232" s="15" t="s">
        <v>193</v>
      </c>
      <c r="E2232" s="1497">
        <v>2000</v>
      </c>
      <c r="F2232" s="1497"/>
      <c r="G2232" s="267" t="s">
        <v>56</v>
      </c>
      <c r="H2232" s="3"/>
    </row>
    <row r="2233" spans="1:8">
      <c r="A2233" s="270">
        <v>44925</v>
      </c>
      <c r="B2233" s="267"/>
      <c r="C2233" s="267" t="s">
        <v>88</v>
      </c>
      <c r="D2233" s="15" t="s">
        <v>208</v>
      </c>
      <c r="E2233" s="1497">
        <v>27600</v>
      </c>
      <c r="F2233" s="1497"/>
      <c r="G2233" s="267" t="s">
        <v>56</v>
      </c>
      <c r="H2233" s="7"/>
    </row>
    <row r="2234" spans="1:8" ht="15.75" thickBot="1">
      <c r="A2234" s="270">
        <v>44925</v>
      </c>
      <c r="B2234" s="267"/>
      <c r="C2234" s="267" t="s">
        <v>88</v>
      </c>
      <c r="D2234" s="15" t="s">
        <v>219</v>
      </c>
      <c r="E2234" s="1497">
        <v>41000</v>
      </c>
      <c r="F2234" s="1497"/>
      <c r="G2234" s="267" t="s">
        <v>56</v>
      </c>
      <c r="H2234" s="165"/>
    </row>
    <row r="2235" spans="1:8">
      <c r="A2235" s="148"/>
      <c r="B2235" s="244"/>
      <c r="C2235" s="244"/>
      <c r="D2235" s="166"/>
      <c r="E2235" s="1492"/>
      <c r="F2235" s="1492"/>
      <c r="G2235" s="244"/>
      <c r="H2235" s="149" t="s">
        <v>1409</v>
      </c>
    </row>
    <row r="2236" spans="1:8">
      <c r="A2236" s="148"/>
      <c r="B2236" s="244"/>
      <c r="C2236" s="244"/>
      <c r="D2236" s="166"/>
      <c r="E2236" s="1492"/>
      <c r="F2236" s="1492"/>
      <c r="G2236" s="244"/>
      <c r="H2236" s="136" t="s">
        <v>1411</v>
      </c>
    </row>
    <row r="2237" spans="1:8">
      <c r="A2237" s="148"/>
      <c r="B2237" s="244"/>
      <c r="C2237" s="244"/>
      <c r="D2237" s="115"/>
      <c r="E2237" s="1492"/>
      <c r="F2237" s="1492"/>
      <c r="G2237" s="244"/>
      <c r="H2237" s="137" t="s">
        <v>1412</v>
      </c>
    </row>
    <row r="2238" spans="1:8">
      <c r="H2238" s="138" t="s">
        <v>1414</v>
      </c>
    </row>
    <row r="2239" spans="1:8">
      <c r="H2239" s="138" t="s">
        <v>1410</v>
      </c>
    </row>
    <row r="2240" spans="1:8">
      <c r="H2240" s="138" t="s">
        <v>1398</v>
      </c>
    </row>
    <row r="2241" spans="1:8">
      <c r="H2241" s="138" t="s">
        <v>1399</v>
      </c>
    </row>
    <row r="2242" spans="1:8" ht="15.75" thickBot="1">
      <c r="H2242" s="139" t="s">
        <v>1413</v>
      </c>
    </row>
    <row r="2243" spans="1:8" ht="15.75" thickBot="1">
      <c r="A2243" s="229">
        <v>44927</v>
      </c>
      <c r="B2243" s="230"/>
      <c r="C2243" s="230"/>
      <c r="D2243" s="230"/>
      <c r="E2243" s="1494"/>
      <c r="F2243" s="1494"/>
      <c r="G2243" s="230"/>
      <c r="H2243" s="230"/>
    </row>
    <row r="2244" spans="1:8">
      <c r="A2244" s="77">
        <v>44928</v>
      </c>
      <c r="B2244" s="62"/>
      <c r="C2244" s="62" t="s">
        <v>1415</v>
      </c>
      <c r="D2244" s="5" t="s">
        <v>186</v>
      </c>
      <c r="E2244" s="62">
        <v>1650</v>
      </c>
      <c r="F2244" s="62"/>
      <c r="G2244" s="62" t="s">
        <v>27</v>
      </c>
      <c r="H2244" s="5"/>
    </row>
    <row r="2245" spans="1:8">
      <c r="A2245" s="270">
        <v>44928</v>
      </c>
      <c r="B2245" s="267"/>
      <c r="C2245" s="267" t="s">
        <v>1415</v>
      </c>
      <c r="D2245" s="3" t="s">
        <v>186</v>
      </c>
      <c r="E2245" s="1497">
        <v>1650</v>
      </c>
      <c r="F2245" s="1497"/>
      <c r="G2245" s="267" t="s">
        <v>27</v>
      </c>
      <c r="H2245" s="3"/>
    </row>
    <row r="2246" spans="1:8">
      <c r="A2246" s="77">
        <v>44928</v>
      </c>
      <c r="B2246" s="267"/>
      <c r="C2246" s="267" t="s">
        <v>79</v>
      </c>
      <c r="D2246" s="3" t="s">
        <v>186</v>
      </c>
      <c r="E2246" s="1497">
        <v>6470</v>
      </c>
      <c r="F2246" s="1497"/>
      <c r="G2246" s="267" t="s">
        <v>27</v>
      </c>
      <c r="H2246" s="3"/>
    </row>
    <row r="2247" spans="1:8">
      <c r="A2247" s="270">
        <v>44928</v>
      </c>
      <c r="B2247" s="267"/>
      <c r="C2247" s="267" t="s">
        <v>122</v>
      </c>
      <c r="D2247" s="3" t="s">
        <v>1406</v>
      </c>
      <c r="E2247" s="1497">
        <v>71322</v>
      </c>
      <c r="F2247" s="1497"/>
      <c r="G2247" s="267" t="s">
        <v>27</v>
      </c>
      <c r="H2247" s="3"/>
    </row>
    <row r="2248" spans="1:8">
      <c r="A2248" s="77">
        <v>44928</v>
      </c>
      <c r="B2248" s="267"/>
      <c r="C2248" s="267" t="s">
        <v>62</v>
      </c>
      <c r="D2248" s="3" t="s">
        <v>38</v>
      </c>
      <c r="E2248" s="1497">
        <v>600</v>
      </c>
      <c r="F2248" s="1497"/>
      <c r="G2248" s="267" t="s">
        <v>56</v>
      </c>
      <c r="H2248" s="3"/>
    </row>
    <row r="2249" spans="1:8">
      <c r="A2249" s="270">
        <v>44928</v>
      </c>
      <c r="B2249" s="267"/>
      <c r="C2249" s="267" t="s">
        <v>86</v>
      </c>
      <c r="D2249" s="3" t="s">
        <v>104</v>
      </c>
      <c r="E2249" s="1497">
        <v>3063.74</v>
      </c>
      <c r="F2249" s="1497"/>
      <c r="G2249" s="267" t="s">
        <v>56</v>
      </c>
      <c r="H2249" s="3"/>
    </row>
    <row r="2250" spans="1:8">
      <c r="A2250" s="77">
        <v>44928</v>
      </c>
      <c r="B2250" s="267"/>
      <c r="C2250" s="267" t="s">
        <v>79</v>
      </c>
      <c r="D2250" s="3" t="s">
        <v>1417</v>
      </c>
      <c r="E2250" s="1497">
        <v>4000</v>
      </c>
      <c r="F2250" s="1497"/>
      <c r="G2250" s="267" t="s">
        <v>56</v>
      </c>
      <c r="H2250" s="3"/>
    </row>
    <row r="2251" spans="1:8">
      <c r="A2251" s="270">
        <v>44928</v>
      </c>
      <c r="B2251" s="267"/>
      <c r="C2251" s="267" t="s">
        <v>79</v>
      </c>
      <c r="D2251" s="3" t="s">
        <v>1002</v>
      </c>
      <c r="E2251" s="1497">
        <v>6690</v>
      </c>
      <c r="F2251" s="1497"/>
      <c r="G2251" s="267" t="s">
        <v>27</v>
      </c>
      <c r="H2251" s="3"/>
    </row>
    <row r="2252" spans="1:8">
      <c r="A2252" s="270">
        <v>44928</v>
      </c>
      <c r="B2252" s="267"/>
      <c r="C2252" s="267" t="s">
        <v>55</v>
      </c>
      <c r="D2252" s="3" t="s">
        <v>1430</v>
      </c>
      <c r="E2252" s="1497">
        <v>820</v>
      </c>
      <c r="F2252" s="1497"/>
      <c r="G2252" s="267" t="s">
        <v>56</v>
      </c>
      <c r="H2252" s="3"/>
    </row>
    <row r="2253" spans="1:8">
      <c r="A2253" s="270">
        <v>44929</v>
      </c>
      <c r="B2253" s="267"/>
      <c r="C2253" s="267" t="s">
        <v>122</v>
      </c>
      <c r="D2253" s="3" t="s">
        <v>1418</v>
      </c>
      <c r="E2253" s="1497">
        <v>8680</v>
      </c>
      <c r="F2253" s="1497"/>
      <c r="G2253" s="267" t="s">
        <v>27</v>
      </c>
      <c r="H2253" s="3"/>
    </row>
    <row r="2254" spans="1:8">
      <c r="A2254" s="270">
        <v>44929</v>
      </c>
      <c r="B2254" s="267"/>
      <c r="C2254" s="267" t="s">
        <v>92</v>
      </c>
      <c r="D2254" s="3" t="s">
        <v>1277</v>
      </c>
      <c r="E2254" s="1497"/>
      <c r="F2254" s="1497">
        <v>3300</v>
      </c>
      <c r="G2254" s="267" t="s">
        <v>27</v>
      </c>
      <c r="H2254" s="3"/>
    </row>
    <row r="2255" spans="1:8">
      <c r="A2255" s="270">
        <v>44929</v>
      </c>
      <c r="B2255" s="267"/>
      <c r="C2255" s="267" t="s">
        <v>92</v>
      </c>
      <c r="D2255" s="3" t="s">
        <v>1419</v>
      </c>
      <c r="E2255" s="1497"/>
      <c r="F2255" s="1497">
        <v>15500</v>
      </c>
      <c r="G2255" s="267" t="s">
        <v>56</v>
      </c>
      <c r="H2255" s="3"/>
    </row>
    <row r="2256" spans="1:8">
      <c r="A2256" s="270">
        <v>44929</v>
      </c>
      <c r="B2256" s="267"/>
      <c r="C2256" s="267" t="s">
        <v>205</v>
      </c>
      <c r="D2256" s="3" t="s">
        <v>1420</v>
      </c>
      <c r="E2256" s="1497">
        <v>2790</v>
      </c>
      <c r="F2256" s="1497"/>
      <c r="G2256" s="267" t="s">
        <v>56</v>
      </c>
      <c r="H2256" s="167" t="s">
        <v>1421</v>
      </c>
    </row>
    <row r="2257" spans="1:8">
      <c r="A2257" s="270">
        <v>44929</v>
      </c>
      <c r="B2257" s="267"/>
      <c r="C2257" s="267" t="s">
        <v>205</v>
      </c>
      <c r="D2257" s="3" t="s">
        <v>12</v>
      </c>
      <c r="E2257" s="1497">
        <v>92259.99</v>
      </c>
      <c r="F2257" s="1497"/>
      <c r="G2257" s="267" t="s">
        <v>287</v>
      </c>
      <c r="H2257" s="167" t="s">
        <v>1422</v>
      </c>
    </row>
    <row r="2258" spans="1:8">
      <c r="A2258" s="270">
        <v>44929</v>
      </c>
      <c r="B2258" s="267"/>
      <c r="C2258" s="267" t="s">
        <v>55</v>
      </c>
      <c r="D2258" s="3" t="s">
        <v>1423</v>
      </c>
      <c r="E2258" s="1497">
        <v>1560</v>
      </c>
      <c r="F2258" s="1497"/>
      <c r="G2258" s="267" t="s">
        <v>56</v>
      </c>
      <c r="H2258" s="3"/>
    </row>
    <row r="2259" spans="1:8">
      <c r="A2259" s="270">
        <v>44930</v>
      </c>
      <c r="B2259" s="267"/>
      <c r="C2259" s="267" t="s">
        <v>79</v>
      </c>
      <c r="D2259" s="3" t="s">
        <v>1424</v>
      </c>
      <c r="E2259" s="1497">
        <v>17045.05</v>
      </c>
      <c r="F2259" s="1497"/>
      <c r="G2259" s="267" t="s">
        <v>1218</v>
      </c>
      <c r="H2259" s="3"/>
    </row>
    <row r="2260" spans="1:8">
      <c r="A2260" s="270">
        <v>44930</v>
      </c>
      <c r="B2260" s="267"/>
      <c r="C2260" s="267" t="s">
        <v>205</v>
      </c>
      <c r="D2260" s="3" t="s">
        <v>63</v>
      </c>
      <c r="E2260" s="1497">
        <v>2566.17</v>
      </c>
      <c r="F2260" s="1497"/>
      <c r="G2260" s="267" t="s">
        <v>56</v>
      </c>
      <c r="H2260" s="3"/>
    </row>
    <row r="2261" spans="1:8">
      <c r="A2261" s="270">
        <v>44930</v>
      </c>
      <c r="B2261" s="267"/>
      <c r="C2261" s="267" t="s">
        <v>205</v>
      </c>
      <c r="D2261" s="3" t="s">
        <v>63</v>
      </c>
      <c r="E2261" s="1497">
        <v>212.84</v>
      </c>
      <c r="F2261" s="1497"/>
      <c r="G2261" s="267" t="s">
        <v>56</v>
      </c>
      <c r="H2261" s="3"/>
    </row>
    <row r="2262" spans="1:8">
      <c r="A2262" s="270">
        <v>44930</v>
      </c>
      <c r="B2262" s="267"/>
      <c r="C2262" s="267" t="s">
        <v>79</v>
      </c>
      <c r="D2262" s="3" t="s">
        <v>1425</v>
      </c>
      <c r="E2262" s="1497">
        <v>2000</v>
      </c>
      <c r="F2262" s="1497"/>
      <c r="G2262" s="267" t="s">
        <v>56</v>
      </c>
      <c r="H2262" s="3"/>
    </row>
    <row r="2263" spans="1:8">
      <c r="A2263" s="270">
        <v>44930</v>
      </c>
      <c r="B2263" s="267"/>
      <c r="C2263" s="267" t="s">
        <v>79</v>
      </c>
      <c r="D2263" s="3" t="s">
        <v>151</v>
      </c>
      <c r="E2263" s="1497">
        <v>1000</v>
      </c>
      <c r="F2263" s="1497"/>
      <c r="G2263" s="267" t="s">
        <v>56</v>
      </c>
      <c r="H2263" s="3"/>
    </row>
    <row r="2264" spans="1:8">
      <c r="A2264" s="270">
        <v>44931</v>
      </c>
      <c r="B2264" s="267" t="s">
        <v>1426</v>
      </c>
      <c r="C2264" s="267" t="s">
        <v>156</v>
      </c>
      <c r="D2264" s="3" t="s">
        <v>334</v>
      </c>
      <c r="E2264" s="1497">
        <v>10276.219999999999</v>
      </c>
      <c r="F2264" s="1497"/>
      <c r="G2264" s="267" t="s">
        <v>27</v>
      </c>
      <c r="H2264" s="3"/>
    </row>
    <row r="2265" spans="1:8">
      <c r="A2265" s="270">
        <v>44931</v>
      </c>
      <c r="B2265" s="267" t="s">
        <v>1428</v>
      </c>
      <c r="C2265" s="267" t="s">
        <v>156</v>
      </c>
      <c r="D2265" s="3" t="s">
        <v>1427</v>
      </c>
      <c r="E2265" s="1497">
        <v>2337.6799999999998</v>
      </c>
      <c r="F2265" s="1497"/>
      <c r="G2265" s="267" t="s">
        <v>27</v>
      </c>
      <c r="H2265" s="3"/>
    </row>
    <row r="2266" spans="1:8">
      <c r="A2266" s="270">
        <v>44931</v>
      </c>
      <c r="B2266" s="267"/>
      <c r="C2266" s="267" t="s">
        <v>79</v>
      </c>
      <c r="D2266" s="3" t="s">
        <v>151</v>
      </c>
      <c r="E2266" s="1497">
        <v>4180.16</v>
      </c>
      <c r="F2266" s="1497"/>
      <c r="G2266" s="267" t="s">
        <v>27</v>
      </c>
      <c r="H2266" s="3"/>
    </row>
    <row r="2267" spans="1:8">
      <c r="A2267" s="270">
        <v>44931</v>
      </c>
      <c r="B2267" s="267"/>
      <c r="C2267" s="267" t="s">
        <v>150</v>
      </c>
      <c r="D2267" s="3" t="s">
        <v>1429</v>
      </c>
      <c r="E2267" s="1497">
        <v>2125000</v>
      </c>
      <c r="F2267" s="1497"/>
      <c r="G2267" s="267" t="s">
        <v>1279</v>
      </c>
      <c r="H2267" s="3"/>
    </row>
    <row r="2268" spans="1:8">
      <c r="A2268" s="270">
        <v>44931</v>
      </c>
      <c r="B2268" s="267"/>
      <c r="C2268" s="267" t="s">
        <v>150</v>
      </c>
      <c r="D2268" s="3" t="s">
        <v>1429</v>
      </c>
      <c r="E2268" s="1497"/>
      <c r="F2268" s="1497">
        <v>212500</v>
      </c>
      <c r="G2268" s="267" t="s">
        <v>27</v>
      </c>
      <c r="H2268" s="3"/>
    </row>
    <row r="2269" spans="1:8">
      <c r="A2269" s="270">
        <v>44931</v>
      </c>
      <c r="B2269" s="267"/>
      <c r="C2269" s="267" t="s">
        <v>90</v>
      </c>
      <c r="D2269" s="3" t="s">
        <v>1431</v>
      </c>
      <c r="E2269" s="1497">
        <v>2400</v>
      </c>
      <c r="F2269" s="1497"/>
      <c r="G2269" s="267" t="s">
        <v>56</v>
      </c>
      <c r="H2269" s="3"/>
    </row>
    <row r="2270" spans="1:8">
      <c r="A2270" s="270">
        <v>44932</v>
      </c>
      <c r="B2270" s="267"/>
      <c r="C2270" s="267" t="s">
        <v>537</v>
      </c>
      <c r="D2270" s="3" t="s">
        <v>208</v>
      </c>
      <c r="E2270" s="1497">
        <v>25000</v>
      </c>
      <c r="F2270" s="1497"/>
      <c r="G2270" s="267" t="s">
        <v>56</v>
      </c>
      <c r="H2270" s="3"/>
    </row>
    <row r="2271" spans="1:8">
      <c r="A2271" s="270">
        <v>44932</v>
      </c>
      <c r="B2271" s="267"/>
      <c r="C2271" s="267" t="s">
        <v>537</v>
      </c>
      <c r="D2271" s="3" t="s">
        <v>144</v>
      </c>
      <c r="E2271" s="1497">
        <v>13500</v>
      </c>
      <c r="F2271" s="1497"/>
      <c r="G2271" s="267" t="s">
        <v>27</v>
      </c>
      <c r="H2271" s="3"/>
    </row>
    <row r="2272" spans="1:8">
      <c r="A2272" s="270">
        <v>44932</v>
      </c>
      <c r="B2272" s="267"/>
      <c r="C2272" s="267" t="s">
        <v>537</v>
      </c>
      <c r="D2272" s="3" t="s">
        <v>364</v>
      </c>
      <c r="E2272" s="1497">
        <v>20000</v>
      </c>
      <c r="F2272" s="1497"/>
      <c r="G2272" s="267" t="s">
        <v>27</v>
      </c>
      <c r="H2272" s="3"/>
    </row>
    <row r="2273" spans="1:8">
      <c r="A2273" s="270">
        <v>44932</v>
      </c>
      <c r="B2273" s="267"/>
      <c r="C2273" s="267" t="s">
        <v>537</v>
      </c>
      <c r="D2273" s="3" t="s">
        <v>259</v>
      </c>
      <c r="E2273" s="1497">
        <v>60000</v>
      </c>
      <c r="F2273" s="1497"/>
      <c r="G2273" s="267" t="s">
        <v>56</v>
      </c>
      <c r="H2273" s="3"/>
    </row>
    <row r="2274" spans="1:8" ht="15.75" thickBot="1">
      <c r="A2274" s="270">
        <v>44932</v>
      </c>
      <c r="B2274" s="267"/>
      <c r="C2274" s="267" t="s">
        <v>537</v>
      </c>
      <c r="D2274" s="3" t="s">
        <v>219</v>
      </c>
      <c r="E2274" s="1497">
        <v>48400</v>
      </c>
      <c r="F2274" s="1497"/>
      <c r="G2274" s="267" t="s">
        <v>56</v>
      </c>
      <c r="H2274" s="3"/>
    </row>
    <row r="2275" spans="1:8">
      <c r="H2275" s="149" t="s">
        <v>1437</v>
      </c>
    </row>
    <row r="2276" spans="1:8">
      <c r="H2276" s="136" t="s">
        <v>1411</v>
      </c>
    </row>
    <row r="2277" spans="1:8">
      <c r="H2277" s="137" t="s">
        <v>1435</v>
      </c>
    </row>
    <row r="2278" spans="1:8">
      <c r="H2278" s="138" t="s">
        <v>1434</v>
      </c>
    </row>
    <row r="2279" spans="1:8">
      <c r="H2279" s="138" t="s">
        <v>1433</v>
      </c>
    </row>
    <row r="2280" spans="1:8">
      <c r="H2280" s="138" t="s">
        <v>1398</v>
      </c>
    </row>
    <row r="2281" spans="1:8">
      <c r="H2281" s="138" t="s">
        <v>1432</v>
      </c>
    </row>
    <row r="2282" spans="1:8">
      <c r="H2282" s="139" t="s">
        <v>1436</v>
      </c>
    </row>
    <row r="2283" spans="1:8">
      <c r="A2283" s="270">
        <v>44935</v>
      </c>
      <c r="B2283" s="267"/>
      <c r="C2283" s="267" t="s">
        <v>122</v>
      </c>
      <c r="D2283" s="3" t="s">
        <v>1404</v>
      </c>
      <c r="E2283" s="1497">
        <v>5000</v>
      </c>
      <c r="F2283" s="1497"/>
      <c r="G2283" s="267" t="s">
        <v>27</v>
      </c>
      <c r="H2283" s="126"/>
    </row>
    <row r="2284" spans="1:8">
      <c r="A2284" s="270">
        <v>44935</v>
      </c>
      <c r="B2284" s="267"/>
      <c r="C2284" s="267" t="s">
        <v>55</v>
      </c>
      <c r="D2284" s="3" t="s">
        <v>562</v>
      </c>
      <c r="E2284" s="1497">
        <v>1139</v>
      </c>
      <c r="F2284" s="1497"/>
      <c r="G2284" s="267" t="s">
        <v>56</v>
      </c>
      <c r="H2284" s="3"/>
    </row>
    <row r="2285" spans="1:8">
      <c r="A2285" s="270">
        <v>44935</v>
      </c>
      <c r="B2285" s="267"/>
      <c r="C2285" s="9" t="s">
        <v>86</v>
      </c>
      <c r="D2285" s="173" t="s">
        <v>104</v>
      </c>
      <c r="E2285" s="9">
        <v>3064</v>
      </c>
      <c r="F2285" s="9"/>
      <c r="G2285" s="9" t="s">
        <v>56</v>
      </c>
      <c r="H2285" s="3"/>
    </row>
    <row r="2286" spans="1:8">
      <c r="A2286" s="270">
        <v>44935</v>
      </c>
      <c r="B2286" s="267"/>
      <c r="C2286" s="267" t="s">
        <v>122</v>
      </c>
      <c r="D2286" s="3" t="s">
        <v>1438</v>
      </c>
      <c r="E2286" s="1497">
        <v>71322</v>
      </c>
      <c r="F2286" s="1497"/>
      <c r="G2286" s="267" t="s">
        <v>27</v>
      </c>
      <c r="H2286" s="3"/>
    </row>
    <row r="2287" spans="1:8">
      <c r="A2287" s="270">
        <v>44935</v>
      </c>
      <c r="B2287" s="267"/>
      <c r="C2287" s="267" t="s">
        <v>79</v>
      </c>
      <c r="D2287" s="3" t="s">
        <v>1439</v>
      </c>
      <c r="E2287" s="1497">
        <v>5500</v>
      </c>
      <c r="F2287" s="1497"/>
      <c r="G2287" s="267" t="s">
        <v>27</v>
      </c>
      <c r="H2287" s="3"/>
    </row>
    <row r="2288" spans="1:8">
      <c r="A2288" s="270">
        <v>44935</v>
      </c>
      <c r="B2288" s="267"/>
      <c r="C2288" s="267" t="s">
        <v>62</v>
      </c>
      <c r="D2288" s="3" t="s">
        <v>38</v>
      </c>
      <c r="E2288" s="1497">
        <v>300</v>
      </c>
      <c r="F2288" s="1497"/>
      <c r="G2288" s="267" t="s">
        <v>56</v>
      </c>
      <c r="H2288" s="3"/>
    </row>
    <row r="2289" spans="1:8">
      <c r="A2289" s="270">
        <v>44935</v>
      </c>
      <c r="B2289" s="267"/>
      <c r="C2289" s="267" t="s">
        <v>62</v>
      </c>
      <c r="D2289" s="3" t="s">
        <v>38</v>
      </c>
      <c r="E2289" s="1497">
        <v>600</v>
      </c>
      <c r="F2289" s="1497"/>
      <c r="G2289" s="267" t="s">
        <v>56</v>
      </c>
      <c r="H2289" s="3"/>
    </row>
    <row r="2290" spans="1:8">
      <c r="A2290" s="270">
        <v>44935</v>
      </c>
      <c r="B2290" s="267"/>
      <c r="C2290" s="267" t="s">
        <v>86</v>
      </c>
      <c r="D2290" s="3" t="s">
        <v>107</v>
      </c>
      <c r="E2290" s="1497">
        <v>6133.32</v>
      </c>
      <c r="F2290" s="1497"/>
      <c r="G2290" s="267" t="s">
        <v>27</v>
      </c>
      <c r="H2290" s="3"/>
    </row>
    <row r="2291" spans="1:8">
      <c r="A2291" s="270">
        <v>44935</v>
      </c>
      <c r="B2291" s="267"/>
      <c r="C2291" s="267" t="s">
        <v>79</v>
      </c>
      <c r="D2291" s="3" t="s">
        <v>151</v>
      </c>
      <c r="E2291" s="1497">
        <v>3000</v>
      </c>
      <c r="F2291" s="1497"/>
      <c r="G2291" s="267" t="s">
        <v>56</v>
      </c>
      <c r="H2291" s="3"/>
    </row>
    <row r="2292" spans="1:8">
      <c r="A2292" s="270">
        <v>44936</v>
      </c>
      <c r="B2292" s="267"/>
      <c r="C2292" s="267" t="s">
        <v>185</v>
      </c>
      <c r="D2292" s="3" t="s">
        <v>1416</v>
      </c>
      <c r="E2292" s="1497">
        <v>38904.74</v>
      </c>
      <c r="F2292" s="1497"/>
      <c r="G2292" s="267" t="s">
        <v>27</v>
      </c>
      <c r="H2292" s="3"/>
    </row>
    <row r="2293" spans="1:8">
      <c r="A2293" s="270">
        <v>44936</v>
      </c>
      <c r="B2293" s="267"/>
      <c r="C2293" s="267" t="s">
        <v>94</v>
      </c>
      <c r="D2293" s="3" t="s">
        <v>17</v>
      </c>
      <c r="E2293" s="1497">
        <v>1722.27</v>
      </c>
      <c r="F2293" s="1497"/>
      <c r="G2293" s="267" t="s">
        <v>27</v>
      </c>
      <c r="H2293" s="3"/>
    </row>
    <row r="2294" spans="1:8">
      <c r="A2294" s="270">
        <v>44936</v>
      </c>
      <c r="B2294" s="267"/>
      <c r="C2294" s="267" t="s">
        <v>55</v>
      </c>
      <c r="D2294" s="3" t="s">
        <v>1440</v>
      </c>
      <c r="E2294" s="1497">
        <v>6000</v>
      </c>
      <c r="F2294" s="1497"/>
      <c r="G2294" s="267" t="s">
        <v>584</v>
      </c>
      <c r="H2294" s="174" t="s">
        <v>1441</v>
      </c>
    </row>
    <row r="2295" spans="1:8">
      <c r="A2295" s="270">
        <v>44936</v>
      </c>
      <c r="B2295" s="267"/>
      <c r="C2295" s="267" t="s">
        <v>77</v>
      </c>
      <c r="D2295" s="3" t="s">
        <v>1248</v>
      </c>
      <c r="E2295" s="1497"/>
      <c r="F2295" s="1497">
        <v>146000</v>
      </c>
      <c r="G2295" s="267" t="s">
        <v>56</v>
      </c>
      <c r="H2295" s="3" t="s">
        <v>76</v>
      </c>
    </row>
    <row r="2296" spans="1:8">
      <c r="A2296" s="270">
        <v>44936</v>
      </c>
      <c r="B2296" s="267"/>
      <c r="C2296" s="267" t="s">
        <v>831</v>
      </c>
      <c r="D2296" s="3" t="s">
        <v>1442</v>
      </c>
      <c r="E2296" s="1497">
        <v>3750</v>
      </c>
      <c r="F2296" s="1497"/>
      <c r="G2296" s="267" t="s">
        <v>56</v>
      </c>
      <c r="H2296" s="3" t="s">
        <v>1388</v>
      </c>
    </row>
    <row r="2297" spans="1:8">
      <c r="A2297" s="270">
        <v>44936</v>
      </c>
      <c r="B2297" s="267"/>
      <c r="C2297" s="267" t="s">
        <v>62</v>
      </c>
      <c r="D2297" s="3" t="s">
        <v>1443</v>
      </c>
      <c r="E2297" s="1497">
        <v>979</v>
      </c>
      <c r="F2297" s="1497"/>
      <c r="G2297" s="267" t="s">
        <v>56</v>
      </c>
      <c r="H2297" s="3" t="s">
        <v>1388</v>
      </c>
    </row>
    <row r="2298" spans="1:8">
      <c r="A2298" s="270">
        <v>44936</v>
      </c>
      <c r="B2298" s="267"/>
      <c r="C2298" s="267" t="s">
        <v>65</v>
      </c>
      <c r="D2298" s="3" t="s">
        <v>1444</v>
      </c>
      <c r="E2298" s="1497">
        <v>1180</v>
      </c>
      <c r="F2298" s="1497"/>
      <c r="G2298" s="267" t="s">
        <v>27</v>
      </c>
      <c r="H2298" s="3"/>
    </row>
    <row r="2299" spans="1:8">
      <c r="A2299" s="270">
        <v>44936</v>
      </c>
      <c r="B2299" s="267"/>
      <c r="C2299" s="267" t="s">
        <v>86</v>
      </c>
      <c r="D2299" s="15" t="s">
        <v>104</v>
      </c>
      <c r="E2299" s="1497">
        <v>3064.35</v>
      </c>
      <c r="F2299" s="1497"/>
      <c r="G2299" s="267" t="s">
        <v>27</v>
      </c>
      <c r="H2299" s="3"/>
    </row>
    <row r="2300" spans="1:8">
      <c r="A2300" s="270">
        <v>44937</v>
      </c>
      <c r="B2300" s="267"/>
      <c r="C2300" s="267" t="s">
        <v>76</v>
      </c>
      <c r="D2300" s="3" t="s">
        <v>834</v>
      </c>
      <c r="E2300" s="1497"/>
      <c r="F2300" s="1497">
        <v>41200</v>
      </c>
      <c r="G2300" s="267" t="s">
        <v>56</v>
      </c>
      <c r="H2300" s="3"/>
    </row>
    <row r="2301" spans="1:8">
      <c r="A2301" s="270">
        <v>44937</v>
      </c>
      <c r="B2301" s="267"/>
      <c r="C2301" s="267" t="s">
        <v>92</v>
      </c>
      <c r="D2301" s="3" t="s">
        <v>83</v>
      </c>
      <c r="E2301" s="1497"/>
      <c r="F2301" s="1497">
        <v>9750</v>
      </c>
      <c r="G2301" s="267" t="s">
        <v>27</v>
      </c>
      <c r="H2301" s="3"/>
    </row>
    <row r="2302" spans="1:8">
      <c r="A2302" s="270">
        <v>44937</v>
      </c>
      <c r="B2302" s="267"/>
      <c r="C2302" s="267" t="s">
        <v>55</v>
      </c>
      <c r="D2302" s="3" t="s">
        <v>1447</v>
      </c>
      <c r="E2302" s="1497">
        <v>290</v>
      </c>
      <c r="F2302" s="1497"/>
      <c r="G2302" s="267" t="s">
        <v>56</v>
      </c>
      <c r="H2302" s="3"/>
    </row>
    <row r="2303" spans="1:8">
      <c r="A2303" s="270">
        <v>44938</v>
      </c>
      <c r="B2303" s="267"/>
      <c r="C2303" s="267" t="s">
        <v>55</v>
      </c>
      <c r="D2303" s="3" t="s">
        <v>1448</v>
      </c>
      <c r="E2303" s="1497">
        <v>1000</v>
      </c>
      <c r="F2303" s="1497"/>
      <c r="G2303" s="267" t="s">
        <v>27</v>
      </c>
      <c r="H2303" s="3"/>
    </row>
    <row r="2304" spans="1:8">
      <c r="A2304" s="270">
        <v>44938</v>
      </c>
      <c r="B2304" s="267"/>
      <c r="C2304" s="267" t="s">
        <v>730</v>
      </c>
      <c r="D2304" s="3" t="s">
        <v>863</v>
      </c>
      <c r="E2304" s="1497">
        <v>1750</v>
      </c>
      <c r="F2304" s="1497"/>
      <c r="G2304" s="267" t="s">
        <v>27</v>
      </c>
      <c r="H2304" s="3"/>
    </row>
    <row r="2305" spans="1:8">
      <c r="A2305" s="270">
        <v>44938</v>
      </c>
      <c r="B2305" s="267"/>
      <c r="C2305" s="267" t="s">
        <v>94</v>
      </c>
      <c r="D2305" s="15" t="s">
        <v>1449</v>
      </c>
      <c r="E2305" s="1497">
        <v>9290.7199999999993</v>
      </c>
      <c r="F2305" s="1497"/>
      <c r="G2305" s="267" t="s">
        <v>27</v>
      </c>
      <c r="H2305" s="3"/>
    </row>
    <row r="2306" spans="1:8">
      <c r="A2306" s="270">
        <v>44938</v>
      </c>
      <c r="B2306" s="267"/>
      <c r="C2306" s="267" t="s">
        <v>55</v>
      </c>
      <c r="D2306" s="3" t="s">
        <v>60</v>
      </c>
      <c r="E2306" s="1497">
        <v>420</v>
      </c>
      <c r="F2306" s="1497"/>
      <c r="G2306" s="267" t="s">
        <v>56</v>
      </c>
      <c r="H2306" s="3"/>
    </row>
    <row r="2307" spans="1:8">
      <c r="A2307" s="270">
        <v>44938</v>
      </c>
      <c r="B2307" s="267"/>
      <c r="C2307" s="267" t="s">
        <v>55</v>
      </c>
      <c r="D2307" s="3" t="s">
        <v>862</v>
      </c>
      <c r="E2307" s="1497">
        <v>1150</v>
      </c>
      <c r="F2307" s="1497"/>
      <c r="G2307" s="267"/>
      <c r="H2307" s="3"/>
    </row>
    <row r="2308" spans="1:8">
      <c r="A2308" s="270">
        <v>44938</v>
      </c>
      <c r="B2308" s="267"/>
      <c r="C2308" s="267" t="s">
        <v>77</v>
      </c>
      <c r="D2308" s="3" t="s">
        <v>1181</v>
      </c>
      <c r="E2308" s="1497"/>
      <c r="F2308" s="1497">
        <v>6200</v>
      </c>
      <c r="G2308" s="267" t="s">
        <v>56</v>
      </c>
      <c r="H2308" s="3"/>
    </row>
    <row r="2309" spans="1:8">
      <c r="A2309" s="270">
        <v>44938</v>
      </c>
      <c r="B2309" s="267"/>
      <c r="C2309" s="267" t="s">
        <v>79</v>
      </c>
      <c r="D2309" s="15" t="s">
        <v>1451</v>
      </c>
      <c r="E2309" s="1497">
        <v>3100</v>
      </c>
      <c r="F2309" s="1497"/>
      <c r="G2309" s="267" t="s">
        <v>56</v>
      </c>
      <c r="H2309" s="3"/>
    </row>
    <row r="2310" spans="1:8">
      <c r="A2310" s="270">
        <v>44938</v>
      </c>
      <c r="B2310" s="267"/>
      <c r="C2310" s="267" t="s">
        <v>55</v>
      </c>
      <c r="D2310" s="3" t="s">
        <v>478</v>
      </c>
      <c r="E2310" s="1497">
        <v>2700</v>
      </c>
      <c r="F2310" s="1497"/>
      <c r="G2310" s="267" t="s">
        <v>56</v>
      </c>
      <c r="H2310" s="3"/>
    </row>
    <row r="2311" spans="1:8">
      <c r="A2311" s="270">
        <v>44938</v>
      </c>
      <c r="B2311" s="267"/>
      <c r="C2311" s="267" t="s">
        <v>68</v>
      </c>
      <c r="D2311" s="3" t="s">
        <v>1452</v>
      </c>
      <c r="E2311" s="1497">
        <v>2000</v>
      </c>
      <c r="F2311" s="1497"/>
      <c r="G2311" s="267" t="s">
        <v>56</v>
      </c>
      <c r="H2311" s="3"/>
    </row>
    <row r="2312" spans="1:8">
      <c r="A2312" s="270">
        <v>44938</v>
      </c>
      <c r="B2312" s="267"/>
      <c r="C2312" s="267" t="s">
        <v>94</v>
      </c>
      <c r="D2312" s="3" t="s">
        <v>395</v>
      </c>
      <c r="E2312" s="1497">
        <v>2176.5500000000002</v>
      </c>
      <c r="F2312" s="1497"/>
      <c r="G2312" s="267" t="s">
        <v>27</v>
      </c>
      <c r="H2312" s="3"/>
    </row>
    <row r="2313" spans="1:8">
      <c r="A2313" s="270">
        <v>44938</v>
      </c>
      <c r="B2313" s="267"/>
      <c r="C2313" s="267" t="s">
        <v>76</v>
      </c>
      <c r="D2313" s="3" t="s">
        <v>1453</v>
      </c>
      <c r="E2313" s="1497"/>
      <c r="F2313" s="1497">
        <v>20500</v>
      </c>
      <c r="G2313" s="267" t="s">
        <v>56</v>
      </c>
      <c r="H2313" s="3"/>
    </row>
    <row r="2314" spans="1:8">
      <c r="A2314" s="270">
        <v>44938</v>
      </c>
      <c r="B2314" s="267"/>
      <c r="C2314" s="267" t="s">
        <v>62</v>
      </c>
      <c r="D2314" s="3" t="s">
        <v>63</v>
      </c>
      <c r="E2314" s="1497">
        <v>6286.86</v>
      </c>
      <c r="F2314" s="1497"/>
      <c r="G2314" s="267" t="s">
        <v>27</v>
      </c>
      <c r="H2314" s="3"/>
    </row>
    <row r="2315" spans="1:8">
      <c r="A2315" s="270">
        <v>44939</v>
      </c>
      <c r="B2315" s="267"/>
      <c r="C2315" s="267" t="s">
        <v>205</v>
      </c>
      <c r="D2315" s="3" t="s">
        <v>42</v>
      </c>
      <c r="E2315" s="1497">
        <v>9000</v>
      </c>
      <c r="F2315" s="1497"/>
      <c r="G2315" s="267" t="s">
        <v>27</v>
      </c>
      <c r="H2315" s="3"/>
    </row>
    <row r="2316" spans="1:8">
      <c r="A2316" s="270">
        <v>44939</v>
      </c>
      <c r="B2316" s="267"/>
      <c r="C2316" s="267" t="s">
        <v>537</v>
      </c>
      <c r="D2316" s="15" t="s">
        <v>1454</v>
      </c>
      <c r="E2316" s="1497">
        <v>25000</v>
      </c>
      <c r="F2316" s="1497"/>
      <c r="G2316" s="267" t="s">
        <v>27</v>
      </c>
      <c r="H2316" s="3"/>
    </row>
    <row r="2317" spans="1:8">
      <c r="A2317" s="270">
        <v>44939</v>
      </c>
      <c r="B2317" s="267"/>
      <c r="C2317" s="267" t="s">
        <v>62</v>
      </c>
      <c r="D2317" s="3" t="s">
        <v>335</v>
      </c>
      <c r="E2317" s="1497">
        <v>750</v>
      </c>
      <c r="F2317" s="1497"/>
      <c r="G2317" s="267" t="s">
        <v>56</v>
      </c>
      <c r="H2317" s="3"/>
    </row>
    <row r="2318" spans="1:8">
      <c r="A2318" s="270">
        <v>44939</v>
      </c>
      <c r="B2318" s="267"/>
      <c r="C2318" s="267" t="s">
        <v>62</v>
      </c>
      <c r="D2318" s="3" t="s">
        <v>246</v>
      </c>
      <c r="E2318" s="1497">
        <v>1633.33</v>
      </c>
      <c r="F2318" s="1497"/>
      <c r="G2318" s="267" t="s">
        <v>27</v>
      </c>
      <c r="H2318" s="3"/>
    </row>
    <row r="2319" spans="1:8">
      <c r="A2319" s="270">
        <v>44939</v>
      </c>
      <c r="B2319" s="267"/>
      <c r="C2319" s="267" t="s">
        <v>205</v>
      </c>
      <c r="D2319" s="3" t="s">
        <v>45</v>
      </c>
      <c r="E2319" s="1497">
        <v>19700</v>
      </c>
      <c r="F2319" s="1497"/>
      <c r="G2319" s="267" t="s">
        <v>287</v>
      </c>
      <c r="H2319" s="3" t="s">
        <v>1455</v>
      </c>
    </row>
    <row r="2320" spans="1:8">
      <c r="A2320" s="270">
        <v>44939</v>
      </c>
      <c r="B2320" s="267"/>
      <c r="C2320" s="267" t="s">
        <v>160</v>
      </c>
      <c r="D2320" s="3" t="s">
        <v>1456</v>
      </c>
      <c r="E2320" s="1497"/>
      <c r="F2320" s="1497">
        <v>14000</v>
      </c>
      <c r="G2320" s="267" t="s">
        <v>56</v>
      </c>
      <c r="H2320" s="3"/>
    </row>
    <row r="2321" spans="1:8">
      <c r="A2321" s="270">
        <v>44939</v>
      </c>
      <c r="B2321" s="267"/>
      <c r="C2321" s="267" t="s">
        <v>88</v>
      </c>
      <c r="D2321" s="15" t="s">
        <v>750</v>
      </c>
      <c r="E2321" s="1497">
        <v>35425</v>
      </c>
      <c r="F2321" s="1497"/>
      <c r="G2321" s="267" t="s">
        <v>56</v>
      </c>
      <c r="H2321" s="3"/>
    </row>
    <row r="2322" spans="1:8">
      <c r="A2322" s="270">
        <v>44939</v>
      </c>
      <c r="B2322" s="267"/>
      <c r="C2322" s="267" t="s">
        <v>88</v>
      </c>
      <c r="D2322" s="3" t="s">
        <v>144</v>
      </c>
      <c r="E2322" s="1497">
        <v>25000</v>
      </c>
      <c r="F2322" s="1497"/>
      <c r="G2322" s="267" t="s">
        <v>56</v>
      </c>
      <c r="H2322" s="3"/>
    </row>
    <row r="2323" spans="1:8">
      <c r="A2323" s="270">
        <v>44939</v>
      </c>
      <c r="B2323" s="267"/>
      <c r="C2323" s="267" t="s">
        <v>88</v>
      </c>
      <c r="D2323" s="3" t="s">
        <v>824</v>
      </c>
      <c r="E2323" s="1497">
        <v>2000</v>
      </c>
      <c r="F2323" s="1497"/>
      <c r="G2323" s="267" t="s">
        <v>56</v>
      </c>
      <c r="H2323" s="3"/>
    </row>
    <row r="2324" spans="1:8" ht="15.75" thickBot="1">
      <c r="A2324" s="267"/>
      <c r="B2324" s="267"/>
      <c r="C2324" s="267"/>
      <c r="D2324" s="3"/>
      <c r="E2324" s="1497"/>
      <c r="F2324" s="1497"/>
      <c r="G2324" s="267"/>
      <c r="H2324" s="3"/>
    </row>
    <row r="2325" spans="1:8">
      <c r="A2325" s="267"/>
      <c r="B2325" s="267"/>
      <c r="C2325" s="267"/>
      <c r="D2325" s="3"/>
      <c r="E2325" s="1497"/>
      <c r="F2325" s="1497"/>
      <c r="G2325" s="226"/>
      <c r="H2325" s="149" t="s">
        <v>1461</v>
      </c>
    </row>
    <row r="2326" spans="1:8">
      <c r="A2326" s="267"/>
      <c r="B2326" s="267"/>
      <c r="C2326" s="267"/>
      <c r="D2326" s="3"/>
      <c r="E2326" s="1497"/>
      <c r="F2326" s="1497"/>
      <c r="G2326" s="226"/>
      <c r="H2326" s="136" t="s">
        <v>1460</v>
      </c>
    </row>
    <row r="2327" spans="1:8">
      <c r="H2327" s="137" t="s">
        <v>1459</v>
      </c>
    </row>
    <row r="2328" spans="1:8">
      <c r="H2328" s="138" t="s">
        <v>1457</v>
      </c>
    </row>
    <row r="2329" spans="1:8">
      <c r="H2329" s="138" t="s">
        <v>1410</v>
      </c>
    </row>
    <row r="2330" spans="1:8">
      <c r="H2330" s="138" t="s">
        <v>1458</v>
      </c>
    </row>
    <row r="2331" spans="1:8">
      <c r="H2331" s="138" t="s">
        <v>1432</v>
      </c>
    </row>
    <row r="2332" spans="1:8">
      <c r="A2332" s="270">
        <v>44939</v>
      </c>
      <c r="B2332" s="267"/>
      <c r="C2332" s="267" t="s">
        <v>76</v>
      </c>
      <c r="D2332" s="3" t="s">
        <v>1446</v>
      </c>
      <c r="E2332" s="1497"/>
      <c r="F2332" s="1497">
        <v>49850</v>
      </c>
      <c r="G2332" s="226" t="s">
        <v>27</v>
      </c>
      <c r="H2332" s="139" t="s">
        <v>1436</v>
      </c>
    </row>
    <row r="2333" spans="1:8">
      <c r="A2333" s="270">
        <v>44940</v>
      </c>
      <c r="B2333" s="267"/>
      <c r="C2333" s="267" t="s">
        <v>55</v>
      </c>
      <c r="D2333" s="3" t="s">
        <v>1462</v>
      </c>
      <c r="E2333" s="1497">
        <v>700</v>
      </c>
      <c r="F2333" s="1497"/>
      <c r="G2333" s="226" t="s">
        <v>56</v>
      </c>
      <c r="H2333" s="175"/>
    </row>
    <row r="2334" spans="1:8">
      <c r="A2334" s="270">
        <v>44940</v>
      </c>
      <c r="B2334" s="267"/>
      <c r="C2334" s="267" t="s">
        <v>79</v>
      </c>
      <c r="D2334" s="3" t="s">
        <v>151</v>
      </c>
      <c r="E2334" s="1497">
        <v>3000</v>
      </c>
      <c r="F2334" s="1497"/>
      <c r="G2334" s="267" t="s">
        <v>56</v>
      </c>
      <c r="H2334" s="3"/>
    </row>
    <row r="2335" spans="1:8">
      <c r="A2335" s="270">
        <v>44940</v>
      </c>
      <c r="B2335" s="267"/>
      <c r="C2335" s="267" t="s">
        <v>1467</v>
      </c>
      <c r="D2335" s="3" t="s">
        <v>1464</v>
      </c>
      <c r="E2335" s="1497">
        <v>37466.660000000003</v>
      </c>
      <c r="F2335" s="1497"/>
      <c r="G2335" s="267" t="s">
        <v>27</v>
      </c>
      <c r="H2335" s="3"/>
    </row>
    <row r="2336" spans="1:8">
      <c r="A2336" s="270">
        <v>44940</v>
      </c>
      <c r="B2336" s="267"/>
      <c r="C2336" s="267" t="s">
        <v>1467</v>
      </c>
      <c r="D2336" s="3" t="s">
        <v>1464</v>
      </c>
      <c r="E2336" s="1497">
        <v>23000</v>
      </c>
      <c r="F2336" s="1497"/>
      <c r="G2336" s="267" t="s">
        <v>1463</v>
      </c>
      <c r="H2336" s="3"/>
    </row>
    <row r="2337" spans="1:8">
      <c r="A2337" s="270">
        <v>44940</v>
      </c>
      <c r="B2337" s="267"/>
      <c r="C2337" s="267" t="s">
        <v>287</v>
      </c>
      <c r="D2337" s="3" t="s">
        <v>1465</v>
      </c>
      <c r="E2337" s="1497">
        <v>5570</v>
      </c>
      <c r="F2337" s="1497"/>
      <c r="G2337" s="267" t="s">
        <v>27</v>
      </c>
      <c r="H2337" s="3"/>
    </row>
    <row r="2338" spans="1:8">
      <c r="A2338" s="119">
        <v>44942</v>
      </c>
      <c r="B2338" s="57"/>
      <c r="C2338" s="57" t="s">
        <v>287</v>
      </c>
      <c r="D2338" s="85" t="s">
        <v>1466</v>
      </c>
      <c r="E2338" s="57">
        <v>8680</v>
      </c>
      <c r="F2338" s="57"/>
      <c r="G2338" s="57" t="s">
        <v>27</v>
      </c>
      <c r="H2338" s="3"/>
    </row>
    <row r="2339" spans="1:8">
      <c r="A2339" s="270">
        <v>44942</v>
      </c>
      <c r="B2339" s="267"/>
      <c r="C2339" s="267" t="s">
        <v>55</v>
      </c>
      <c r="D2339" s="15" t="s">
        <v>1468</v>
      </c>
      <c r="E2339" s="1497">
        <v>430</v>
      </c>
      <c r="F2339" s="1497"/>
      <c r="G2339" s="267" t="s">
        <v>56</v>
      </c>
      <c r="H2339" s="3"/>
    </row>
    <row r="2340" spans="1:8">
      <c r="A2340" s="270">
        <v>44942</v>
      </c>
      <c r="B2340" s="267"/>
      <c r="C2340" s="267" t="s">
        <v>92</v>
      </c>
      <c r="D2340" s="3" t="s">
        <v>1469</v>
      </c>
      <c r="E2340" s="1497"/>
      <c r="F2340" s="1497">
        <v>13288.1</v>
      </c>
      <c r="G2340" s="267" t="s">
        <v>27</v>
      </c>
      <c r="H2340" s="3"/>
    </row>
    <row r="2341" spans="1:8">
      <c r="A2341" s="270">
        <v>44942</v>
      </c>
      <c r="B2341" s="267"/>
      <c r="C2341" s="267" t="s">
        <v>79</v>
      </c>
      <c r="D2341" s="3" t="s">
        <v>1470</v>
      </c>
      <c r="E2341" s="176">
        <v>5678.25</v>
      </c>
      <c r="F2341" s="1497"/>
      <c r="G2341" s="267" t="s">
        <v>27</v>
      </c>
      <c r="H2341" s="3"/>
    </row>
    <row r="2342" spans="1:8">
      <c r="A2342" s="270">
        <v>44942</v>
      </c>
      <c r="B2342" s="267"/>
      <c r="C2342" s="267" t="s">
        <v>92</v>
      </c>
      <c r="D2342" s="3" t="s">
        <v>1472</v>
      </c>
      <c r="E2342" s="176"/>
      <c r="F2342" s="1497">
        <v>27980</v>
      </c>
      <c r="G2342" s="267" t="s">
        <v>27</v>
      </c>
      <c r="H2342" s="3"/>
    </row>
    <row r="2343" spans="1:8">
      <c r="A2343" s="270">
        <v>44943</v>
      </c>
      <c r="B2343" s="267"/>
      <c r="C2343" s="267" t="s">
        <v>86</v>
      </c>
      <c r="D2343" s="3" t="s">
        <v>104</v>
      </c>
      <c r="E2343" s="176">
        <v>4085</v>
      </c>
      <c r="F2343" s="1497"/>
      <c r="G2343" s="267" t="s">
        <v>56</v>
      </c>
      <c r="H2343" s="3" t="s">
        <v>1477</v>
      </c>
    </row>
    <row r="2344" spans="1:8">
      <c r="A2344" s="270">
        <v>44943</v>
      </c>
      <c r="B2344" s="267"/>
      <c r="C2344" s="267" t="s">
        <v>77</v>
      </c>
      <c r="D2344" s="3" t="s">
        <v>1471</v>
      </c>
      <c r="E2344" s="1497"/>
      <c r="F2344" s="1497">
        <v>158900</v>
      </c>
      <c r="G2344" s="267" t="s">
        <v>56</v>
      </c>
      <c r="H2344" s="3"/>
    </row>
    <row r="2345" spans="1:8">
      <c r="A2345" s="270">
        <v>44943</v>
      </c>
      <c r="B2345" s="267"/>
      <c r="C2345" s="267" t="s">
        <v>77</v>
      </c>
      <c r="D2345" s="3" t="s">
        <v>82</v>
      </c>
      <c r="E2345" s="1497"/>
      <c r="F2345" s="1497">
        <v>6000</v>
      </c>
      <c r="G2345" s="267" t="s">
        <v>56</v>
      </c>
      <c r="H2345" s="3"/>
    </row>
    <row r="2346" spans="1:8">
      <c r="A2346" s="270">
        <v>44943</v>
      </c>
      <c r="B2346" s="267"/>
      <c r="C2346" s="267" t="s">
        <v>77</v>
      </c>
      <c r="D2346" s="3" t="s">
        <v>232</v>
      </c>
      <c r="E2346" s="1497"/>
      <c r="F2346" s="1497">
        <v>70000</v>
      </c>
      <c r="G2346" s="267" t="s">
        <v>56</v>
      </c>
      <c r="H2346" s="3" t="s">
        <v>1475</v>
      </c>
    </row>
    <row r="2347" spans="1:8">
      <c r="A2347" s="270">
        <v>44943</v>
      </c>
      <c r="B2347" s="267"/>
      <c r="C2347" s="267" t="s">
        <v>205</v>
      </c>
      <c r="D2347" s="3" t="s">
        <v>48</v>
      </c>
      <c r="E2347" s="1497">
        <v>75000</v>
      </c>
      <c r="F2347" s="1497"/>
      <c r="G2347" s="267" t="s">
        <v>56</v>
      </c>
      <c r="H2347" s="3"/>
    </row>
    <row r="2348" spans="1:8">
      <c r="A2348" s="270">
        <v>44943</v>
      </c>
      <c r="B2348" s="267"/>
      <c r="C2348" s="267" t="s">
        <v>92</v>
      </c>
      <c r="D2348" s="3" t="s">
        <v>1473</v>
      </c>
      <c r="E2348" s="1497"/>
      <c r="F2348" s="1497">
        <v>39300</v>
      </c>
      <c r="G2348" s="267" t="s">
        <v>27</v>
      </c>
      <c r="H2348" s="3"/>
    </row>
    <row r="2349" spans="1:8">
      <c r="A2349" s="270">
        <v>44943</v>
      </c>
      <c r="B2349" s="267"/>
      <c r="C2349" s="267" t="s">
        <v>92</v>
      </c>
      <c r="D2349" s="3" t="s">
        <v>1445</v>
      </c>
      <c r="E2349" s="1497"/>
      <c r="F2349" s="1497">
        <v>61000</v>
      </c>
      <c r="G2349" s="267" t="s">
        <v>27</v>
      </c>
      <c r="H2349" s="3" t="s">
        <v>1474</v>
      </c>
    </row>
    <row r="2350" spans="1:8">
      <c r="A2350" s="270">
        <v>44943</v>
      </c>
      <c r="B2350" s="267"/>
      <c r="C2350" s="267" t="s">
        <v>205</v>
      </c>
      <c r="D2350" s="3" t="s">
        <v>689</v>
      </c>
      <c r="E2350" s="1497">
        <v>61000</v>
      </c>
      <c r="F2350" s="1497"/>
      <c r="G2350" s="267" t="s">
        <v>72</v>
      </c>
      <c r="H2350" s="3"/>
    </row>
    <row r="2351" spans="1:8">
      <c r="A2351" s="270">
        <v>44943</v>
      </c>
      <c r="B2351" s="267"/>
      <c r="C2351" s="267" t="s">
        <v>205</v>
      </c>
      <c r="D2351" s="3" t="s">
        <v>689</v>
      </c>
      <c r="E2351" s="1497">
        <v>11600</v>
      </c>
      <c r="F2351" s="1497"/>
      <c r="G2351" s="267" t="s">
        <v>56</v>
      </c>
      <c r="H2351" s="3"/>
    </row>
    <row r="2352" spans="1:8">
      <c r="A2352" s="270">
        <v>44943</v>
      </c>
      <c r="B2352" s="267"/>
      <c r="C2352" s="267" t="s">
        <v>205</v>
      </c>
      <c r="D2352" s="15" t="s">
        <v>689</v>
      </c>
      <c r="E2352" s="1497">
        <v>128800</v>
      </c>
      <c r="F2352" s="1497"/>
      <c r="G2352" s="267" t="s">
        <v>72</v>
      </c>
      <c r="H2352" s="3" t="s">
        <v>1476</v>
      </c>
    </row>
    <row r="2353" spans="1:8">
      <c r="A2353" s="270">
        <v>44944</v>
      </c>
      <c r="B2353" s="267"/>
      <c r="C2353" s="267" t="s">
        <v>730</v>
      </c>
      <c r="D2353" s="3" t="s">
        <v>1479</v>
      </c>
      <c r="E2353" s="1497">
        <v>24200</v>
      </c>
      <c r="F2353" s="1497"/>
      <c r="G2353" s="267" t="s">
        <v>287</v>
      </c>
      <c r="H2353" s="3"/>
    </row>
    <row r="2354" spans="1:8">
      <c r="A2354" s="270">
        <v>44944</v>
      </c>
      <c r="B2354" s="267"/>
      <c r="C2354" s="267" t="s">
        <v>79</v>
      </c>
      <c r="D2354" s="3" t="s">
        <v>79</v>
      </c>
      <c r="E2354" s="1497">
        <v>1500</v>
      </c>
      <c r="F2354" s="1497"/>
      <c r="G2354" s="267" t="s">
        <v>56</v>
      </c>
      <c r="H2354" s="3"/>
    </row>
    <row r="2355" spans="1:8">
      <c r="A2355" s="270">
        <v>44945</v>
      </c>
      <c r="B2355" s="267"/>
      <c r="C2355" s="267" t="s">
        <v>205</v>
      </c>
      <c r="D2355" s="3" t="s">
        <v>1480</v>
      </c>
      <c r="E2355" s="1497">
        <v>4520</v>
      </c>
      <c r="F2355" s="1497"/>
      <c r="G2355" s="267" t="s">
        <v>287</v>
      </c>
      <c r="H2355" s="3"/>
    </row>
    <row r="2356" spans="1:8">
      <c r="A2356" s="270">
        <v>44945</v>
      </c>
      <c r="B2356" s="267"/>
      <c r="C2356" s="267" t="s">
        <v>205</v>
      </c>
      <c r="D2356" s="3" t="s">
        <v>1480</v>
      </c>
      <c r="E2356" s="1497">
        <v>4000</v>
      </c>
      <c r="F2356" s="1497"/>
      <c r="G2356" s="267" t="s">
        <v>56</v>
      </c>
      <c r="H2356" s="3"/>
    </row>
    <row r="2357" spans="1:8">
      <c r="A2357" s="270">
        <v>44945</v>
      </c>
      <c r="B2357" s="267" t="s">
        <v>1481</v>
      </c>
      <c r="C2357" s="267" t="s">
        <v>55</v>
      </c>
      <c r="D2357" s="15" t="s">
        <v>369</v>
      </c>
      <c r="E2357" s="1497">
        <v>500</v>
      </c>
      <c r="F2357" s="1497"/>
      <c r="G2357" s="267" t="s">
        <v>56</v>
      </c>
      <c r="H2357" s="3"/>
    </row>
    <row r="2358" spans="1:8">
      <c r="A2358" s="270">
        <v>44945</v>
      </c>
      <c r="B2358" s="267"/>
      <c r="C2358" s="267" t="s">
        <v>150</v>
      </c>
      <c r="D2358" s="3" t="s">
        <v>1482</v>
      </c>
      <c r="E2358" s="1497">
        <v>306600</v>
      </c>
      <c r="F2358" s="1497"/>
      <c r="G2358" s="267" t="s">
        <v>72</v>
      </c>
      <c r="H2358" s="3"/>
    </row>
    <row r="2359" spans="1:8">
      <c r="A2359" s="270">
        <v>44945</v>
      </c>
      <c r="B2359" s="267"/>
      <c r="C2359" s="267" t="s">
        <v>62</v>
      </c>
      <c r="D2359" s="3" t="s">
        <v>63</v>
      </c>
      <c r="E2359" s="1497">
        <v>5040</v>
      </c>
      <c r="F2359" s="1497"/>
      <c r="G2359" s="267" t="s">
        <v>27</v>
      </c>
      <c r="H2359" s="3"/>
    </row>
    <row r="2360" spans="1:8">
      <c r="A2360" s="270">
        <v>44945</v>
      </c>
      <c r="B2360" s="267"/>
      <c r="C2360" s="267" t="s">
        <v>205</v>
      </c>
      <c r="D2360" s="3" t="s">
        <v>1483</v>
      </c>
      <c r="E2360" s="1497">
        <v>67390</v>
      </c>
      <c r="F2360" s="1497"/>
      <c r="G2360" s="267" t="s">
        <v>27</v>
      </c>
      <c r="H2360" s="3"/>
    </row>
    <row r="2361" spans="1:8">
      <c r="A2361" s="270">
        <v>44945</v>
      </c>
      <c r="B2361" s="267"/>
      <c r="C2361" s="267" t="s">
        <v>79</v>
      </c>
      <c r="D2361" s="3" t="s">
        <v>151</v>
      </c>
      <c r="E2361" s="1497">
        <v>5333.4</v>
      </c>
      <c r="F2361" s="1497"/>
      <c r="G2361" s="267" t="s">
        <v>27</v>
      </c>
      <c r="H2361" s="3"/>
    </row>
    <row r="2362" spans="1:8">
      <c r="A2362" s="270">
        <v>44945</v>
      </c>
      <c r="B2362" s="267"/>
      <c r="C2362" s="267" t="s">
        <v>79</v>
      </c>
      <c r="D2362" s="3" t="s">
        <v>151</v>
      </c>
      <c r="E2362" s="1497">
        <v>4190</v>
      </c>
      <c r="F2362" s="1497"/>
      <c r="G2362" s="267" t="s">
        <v>27</v>
      </c>
      <c r="H2362" s="3"/>
    </row>
    <row r="2363" spans="1:8">
      <c r="A2363" s="270">
        <v>44945</v>
      </c>
      <c r="B2363" s="267"/>
      <c r="C2363" s="267" t="s">
        <v>79</v>
      </c>
      <c r="D2363" s="3" t="s">
        <v>166</v>
      </c>
      <c r="E2363" s="1497">
        <v>50000</v>
      </c>
      <c r="F2363" s="1497"/>
      <c r="G2363" s="267" t="s">
        <v>27</v>
      </c>
      <c r="H2363" s="3"/>
    </row>
    <row r="2364" spans="1:8">
      <c r="A2364" s="270">
        <v>44946</v>
      </c>
      <c r="B2364" s="267"/>
      <c r="C2364" s="267" t="s">
        <v>537</v>
      </c>
      <c r="D2364" s="3" t="s">
        <v>1484</v>
      </c>
      <c r="E2364" s="1497">
        <v>20000</v>
      </c>
      <c r="F2364" s="1497"/>
      <c r="G2364" s="267" t="s">
        <v>56</v>
      </c>
      <c r="H2364" s="3" t="s">
        <v>1485</v>
      </c>
    </row>
    <row r="2365" spans="1:8">
      <c r="A2365" s="270">
        <v>44946</v>
      </c>
      <c r="B2365" s="267"/>
      <c r="C2365" s="267" t="s">
        <v>62</v>
      </c>
      <c r="D2365" s="3" t="s">
        <v>38</v>
      </c>
      <c r="E2365" s="1497">
        <v>980</v>
      </c>
      <c r="F2365" s="1497"/>
      <c r="G2365" s="267" t="s">
        <v>56</v>
      </c>
      <c r="H2365" s="3"/>
    </row>
    <row r="2366" spans="1:8">
      <c r="A2366" s="270">
        <v>44946</v>
      </c>
      <c r="B2366" s="267"/>
      <c r="C2366" s="267" t="s">
        <v>537</v>
      </c>
      <c r="D2366" s="3" t="s">
        <v>208</v>
      </c>
      <c r="E2366" s="1497">
        <v>11000</v>
      </c>
      <c r="F2366" s="1497"/>
      <c r="G2366" s="267" t="s">
        <v>56</v>
      </c>
      <c r="H2366" s="3"/>
    </row>
    <row r="2367" spans="1:8">
      <c r="A2367" s="270">
        <v>44946</v>
      </c>
      <c r="B2367" s="267"/>
      <c r="C2367" s="267" t="s">
        <v>205</v>
      </c>
      <c r="D2367" s="3" t="s">
        <v>1486</v>
      </c>
      <c r="E2367" s="1497">
        <v>4780</v>
      </c>
      <c r="F2367" s="1497"/>
      <c r="G2367" s="267" t="s">
        <v>27</v>
      </c>
      <c r="H2367" s="3"/>
    </row>
    <row r="2368" spans="1:8">
      <c r="A2368" s="270">
        <v>44946</v>
      </c>
      <c r="B2368" s="267"/>
      <c r="C2368" s="267" t="s">
        <v>86</v>
      </c>
      <c r="D2368" s="3" t="s">
        <v>104</v>
      </c>
      <c r="E2368" s="1497">
        <v>5106.12</v>
      </c>
      <c r="F2368" s="1497"/>
      <c r="G2368" s="267" t="s">
        <v>27</v>
      </c>
      <c r="H2368" s="3" t="s">
        <v>811</v>
      </c>
    </row>
    <row r="2369" spans="1:8">
      <c r="A2369" s="270">
        <v>44946</v>
      </c>
      <c r="B2369" s="267"/>
      <c r="C2369" s="267" t="s">
        <v>88</v>
      </c>
      <c r="D2369" s="3" t="s">
        <v>259</v>
      </c>
      <c r="E2369" s="1497">
        <v>3000</v>
      </c>
      <c r="F2369" s="1497"/>
      <c r="G2369" s="267" t="s">
        <v>27</v>
      </c>
      <c r="H2369" s="3"/>
    </row>
    <row r="2370" spans="1:8">
      <c r="A2370" s="270">
        <v>44946</v>
      </c>
      <c r="B2370" s="267"/>
      <c r="C2370" s="267" t="s">
        <v>55</v>
      </c>
      <c r="D2370" s="3" t="s">
        <v>63</v>
      </c>
      <c r="E2370" s="1497">
        <v>200</v>
      </c>
      <c r="F2370" s="1497"/>
      <c r="G2370" s="267" t="s">
        <v>56</v>
      </c>
      <c r="H2370" s="3"/>
    </row>
    <row r="2371" spans="1:8">
      <c r="A2371" s="270">
        <v>44946</v>
      </c>
      <c r="B2371" s="267"/>
      <c r="C2371" s="267" t="s">
        <v>88</v>
      </c>
      <c r="D2371" s="3" t="s">
        <v>144</v>
      </c>
      <c r="E2371" s="1497">
        <v>20000</v>
      </c>
      <c r="F2371" s="1497"/>
      <c r="G2371" s="267" t="s">
        <v>27</v>
      </c>
      <c r="H2371" s="3"/>
    </row>
    <row r="2372" spans="1:8">
      <c r="A2372" s="270">
        <v>44946</v>
      </c>
      <c r="B2372" s="267"/>
      <c r="C2372" s="267" t="s">
        <v>88</v>
      </c>
      <c r="D2372" s="3" t="s">
        <v>144</v>
      </c>
      <c r="E2372" s="1497">
        <v>15000</v>
      </c>
      <c r="F2372" s="1497"/>
      <c r="G2372" s="267" t="s">
        <v>27</v>
      </c>
      <c r="H2372" s="3"/>
    </row>
    <row r="2373" spans="1:8">
      <c r="A2373" s="270">
        <v>44946</v>
      </c>
      <c r="B2373" s="267"/>
      <c r="C2373" s="267" t="s">
        <v>88</v>
      </c>
      <c r="D2373" s="3" t="s">
        <v>144</v>
      </c>
      <c r="E2373" s="1497">
        <v>12000</v>
      </c>
      <c r="F2373" s="1497"/>
      <c r="G2373" s="267" t="s">
        <v>56</v>
      </c>
      <c r="H2373" s="3"/>
    </row>
    <row r="2374" spans="1:8">
      <c r="A2374" s="270">
        <v>44946</v>
      </c>
      <c r="B2374" s="267"/>
      <c r="C2374" s="267" t="s">
        <v>88</v>
      </c>
      <c r="D2374" s="15" t="s">
        <v>219</v>
      </c>
      <c r="E2374" s="1497">
        <v>32500</v>
      </c>
      <c r="F2374" s="1497"/>
      <c r="G2374" s="267" t="s">
        <v>56</v>
      </c>
      <c r="H2374" s="3"/>
    </row>
    <row r="2375" spans="1:8">
      <c r="A2375" s="270">
        <v>44946</v>
      </c>
      <c r="B2375" s="267"/>
      <c r="C2375" s="267" t="s">
        <v>88</v>
      </c>
      <c r="D2375" s="15" t="s">
        <v>1487</v>
      </c>
      <c r="E2375" s="1497">
        <v>20000</v>
      </c>
      <c r="F2375" s="1497"/>
      <c r="G2375" s="267" t="s">
        <v>56</v>
      </c>
      <c r="H2375" s="3"/>
    </row>
    <row r="2376" spans="1:8">
      <c r="A2376" s="270">
        <v>44946</v>
      </c>
      <c r="B2376" s="267"/>
      <c r="C2376" s="267" t="s">
        <v>92</v>
      </c>
      <c r="D2376" s="15" t="s">
        <v>1389</v>
      </c>
      <c r="E2376" s="1497"/>
      <c r="F2376" s="1497">
        <v>15650</v>
      </c>
      <c r="G2376" s="267" t="s">
        <v>56</v>
      </c>
      <c r="H2376" s="85"/>
    </row>
    <row r="2377" spans="1:8" ht="15.75" thickBot="1">
      <c r="A2377" s="270">
        <v>44946</v>
      </c>
      <c r="B2377" s="267"/>
      <c r="C2377" s="267" t="s">
        <v>65</v>
      </c>
      <c r="D2377" s="3" t="s">
        <v>51</v>
      </c>
      <c r="E2377" s="1497">
        <v>2700</v>
      </c>
      <c r="F2377" s="1497"/>
      <c r="G2377" s="267" t="s">
        <v>56</v>
      </c>
      <c r="H2377" s="85"/>
    </row>
    <row r="2378" spans="1:8">
      <c r="H2378" s="149" t="s">
        <v>1488</v>
      </c>
    </row>
    <row r="2379" spans="1:8">
      <c r="H2379" s="136" t="s">
        <v>1460</v>
      </c>
    </row>
    <row r="2380" spans="1:8">
      <c r="H2380" s="137" t="s">
        <v>1489</v>
      </c>
    </row>
    <row r="2381" spans="1:8">
      <c r="H2381" s="138" t="s">
        <v>1490</v>
      </c>
    </row>
    <row r="2382" spans="1:8">
      <c r="H2382" s="138" t="s">
        <v>1410</v>
      </c>
    </row>
    <row r="2383" spans="1:8">
      <c r="H2383" s="138" t="s">
        <v>1458</v>
      </c>
    </row>
    <row r="2384" spans="1:8">
      <c r="H2384" s="140" t="s">
        <v>1491</v>
      </c>
    </row>
    <row r="2385" spans="1:8" ht="15.75" thickBot="1">
      <c r="H2385" s="147" t="s">
        <v>1436</v>
      </c>
    </row>
    <row r="2386" spans="1:8">
      <c r="A2386" s="270">
        <v>44949</v>
      </c>
      <c r="B2386" s="267"/>
      <c r="C2386" s="267" t="s">
        <v>86</v>
      </c>
      <c r="D2386" s="3" t="s">
        <v>107</v>
      </c>
      <c r="E2386" s="1497">
        <v>5106.12</v>
      </c>
      <c r="F2386" s="1497"/>
      <c r="G2386" s="267" t="s">
        <v>27</v>
      </c>
      <c r="H2386" s="5"/>
    </row>
    <row r="2387" spans="1:8">
      <c r="A2387" s="270">
        <v>44949</v>
      </c>
      <c r="B2387" s="267"/>
      <c r="C2387" s="267" t="s">
        <v>831</v>
      </c>
      <c r="D2387" s="3" t="s">
        <v>1500</v>
      </c>
      <c r="E2387" s="1497">
        <v>3900</v>
      </c>
      <c r="F2387" s="1497"/>
      <c r="G2387" s="267" t="s">
        <v>56</v>
      </c>
      <c r="H2387" s="3"/>
    </row>
    <row r="2388" spans="1:8">
      <c r="A2388" s="270">
        <v>44949</v>
      </c>
      <c r="B2388" s="267"/>
      <c r="C2388" s="267" t="s">
        <v>79</v>
      </c>
      <c r="D2388" s="3" t="s">
        <v>79</v>
      </c>
      <c r="E2388" s="1497">
        <v>4500</v>
      </c>
      <c r="F2388" s="1497"/>
      <c r="G2388" s="267" t="s">
        <v>56</v>
      </c>
      <c r="H2388" s="3"/>
    </row>
    <row r="2389" spans="1:8">
      <c r="A2389" s="270">
        <v>44949</v>
      </c>
      <c r="B2389" s="267"/>
      <c r="C2389" s="267" t="s">
        <v>79</v>
      </c>
      <c r="D2389" s="3" t="s">
        <v>79</v>
      </c>
      <c r="E2389" s="1497">
        <v>5500</v>
      </c>
      <c r="F2389" s="1497"/>
      <c r="G2389" s="267" t="s">
        <v>56</v>
      </c>
      <c r="H2389" s="3"/>
    </row>
    <row r="2390" spans="1:8">
      <c r="A2390" s="270">
        <v>44949</v>
      </c>
      <c r="B2390" s="267"/>
      <c r="C2390" s="267" t="s">
        <v>76</v>
      </c>
      <c r="D2390" s="3" t="s">
        <v>1492</v>
      </c>
      <c r="E2390" s="1497"/>
      <c r="F2390" s="1497">
        <v>45400</v>
      </c>
      <c r="G2390" s="267" t="s">
        <v>56</v>
      </c>
      <c r="H2390" s="3"/>
    </row>
    <row r="2391" spans="1:8">
      <c r="A2391" s="270">
        <v>44949</v>
      </c>
      <c r="B2391" s="267"/>
      <c r="C2391" s="267" t="s">
        <v>55</v>
      </c>
      <c r="D2391" s="3" t="s">
        <v>232</v>
      </c>
      <c r="E2391" s="1497"/>
      <c r="F2391" s="1497">
        <v>20000</v>
      </c>
      <c r="G2391" s="267" t="s">
        <v>56</v>
      </c>
      <c r="H2391" s="86">
        <v>7720</v>
      </c>
    </row>
    <row r="2392" spans="1:8">
      <c r="A2392" s="270">
        <v>44949</v>
      </c>
      <c r="B2392" s="267"/>
      <c r="C2392" s="267" t="s">
        <v>79</v>
      </c>
      <c r="D2392" s="3" t="s">
        <v>633</v>
      </c>
      <c r="E2392" s="1497">
        <v>500</v>
      </c>
      <c r="F2392" s="1497"/>
      <c r="G2392" s="267" t="s">
        <v>56</v>
      </c>
      <c r="H2392" s="3"/>
    </row>
    <row r="2393" spans="1:8">
      <c r="A2393" s="270">
        <v>44949</v>
      </c>
      <c r="B2393" s="267"/>
      <c r="C2393" s="267" t="s">
        <v>79</v>
      </c>
      <c r="D2393" s="3" t="s">
        <v>347</v>
      </c>
      <c r="E2393" s="1497">
        <v>600</v>
      </c>
      <c r="F2393" s="1497"/>
      <c r="G2393" s="267" t="s">
        <v>56</v>
      </c>
      <c r="H2393" s="3"/>
    </row>
    <row r="2394" spans="1:8">
      <c r="A2394" s="270">
        <v>44949</v>
      </c>
      <c r="B2394" s="267"/>
      <c r="C2394" s="267" t="s">
        <v>122</v>
      </c>
      <c r="D2394" s="3" t="s">
        <v>1493</v>
      </c>
      <c r="E2394" s="1497">
        <v>67392</v>
      </c>
      <c r="F2394" s="1497"/>
      <c r="G2394" s="267" t="s">
        <v>27</v>
      </c>
      <c r="H2394" s="3"/>
    </row>
    <row r="2395" spans="1:8">
      <c r="A2395" s="270">
        <v>44949</v>
      </c>
      <c r="B2395" s="267"/>
      <c r="C2395" s="267" t="s">
        <v>55</v>
      </c>
      <c r="D2395" s="3" t="s">
        <v>1496</v>
      </c>
      <c r="E2395" s="1497">
        <v>2400</v>
      </c>
      <c r="F2395" s="1497"/>
      <c r="G2395" s="267" t="s">
        <v>56</v>
      </c>
      <c r="H2395" s="3"/>
    </row>
    <row r="2396" spans="1:8">
      <c r="A2396" s="270">
        <v>44949</v>
      </c>
      <c r="B2396" s="267"/>
      <c r="C2396" s="267" t="s">
        <v>205</v>
      </c>
      <c r="D2396" s="3" t="s">
        <v>1494</v>
      </c>
      <c r="E2396" s="1497">
        <v>14000</v>
      </c>
      <c r="F2396" s="1497"/>
      <c r="G2396" s="267" t="s">
        <v>27</v>
      </c>
      <c r="H2396" s="3"/>
    </row>
    <row r="2397" spans="1:8">
      <c r="A2397" s="270">
        <v>44949</v>
      </c>
      <c r="B2397" s="267"/>
      <c r="C2397" s="267" t="s">
        <v>1495</v>
      </c>
      <c r="D2397" s="15" t="s">
        <v>36</v>
      </c>
      <c r="E2397" s="1497">
        <v>20000</v>
      </c>
      <c r="F2397" s="1497"/>
      <c r="G2397" s="267" t="s">
        <v>27</v>
      </c>
      <c r="H2397" s="3"/>
    </row>
    <row r="2398" spans="1:8">
      <c r="A2398" s="14" t="s">
        <v>1497</v>
      </c>
      <c r="B2398" s="14"/>
      <c r="C2398" s="14" t="s">
        <v>205</v>
      </c>
      <c r="D2398" s="177" t="s">
        <v>71</v>
      </c>
      <c r="E2398" s="14">
        <v>45000</v>
      </c>
      <c r="F2398" s="14"/>
      <c r="G2398" s="14" t="s">
        <v>56</v>
      </c>
      <c r="H2398" s="126"/>
    </row>
    <row r="2399" spans="1:8">
      <c r="A2399" s="270">
        <v>44949</v>
      </c>
      <c r="B2399" s="267"/>
      <c r="C2399" s="267" t="s">
        <v>86</v>
      </c>
      <c r="D2399" s="3" t="s">
        <v>104</v>
      </c>
      <c r="E2399" s="1497">
        <v>4084.9</v>
      </c>
      <c r="F2399" s="1497"/>
      <c r="G2399" s="267" t="s">
        <v>56</v>
      </c>
      <c r="H2399" s="3"/>
    </row>
    <row r="2400" spans="1:8">
      <c r="A2400" s="270">
        <v>44949</v>
      </c>
      <c r="B2400" s="267"/>
      <c r="C2400" s="267" t="s">
        <v>160</v>
      </c>
      <c r="D2400" s="3" t="s">
        <v>1498</v>
      </c>
      <c r="E2400" s="1497"/>
      <c r="F2400" s="1497">
        <v>12160</v>
      </c>
      <c r="G2400" s="267" t="s">
        <v>27</v>
      </c>
      <c r="H2400" s="3" t="s">
        <v>1499</v>
      </c>
    </row>
    <row r="2401" spans="1:8">
      <c r="A2401" s="270">
        <v>44951</v>
      </c>
      <c r="B2401" s="267"/>
      <c r="C2401" s="267" t="s">
        <v>28</v>
      </c>
      <c r="D2401" s="3" t="s">
        <v>1501</v>
      </c>
      <c r="E2401" s="1497">
        <v>3443.9</v>
      </c>
      <c r="F2401" s="1497"/>
      <c r="G2401" s="267" t="s">
        <v>27</v>
      </c>
      <c r="H2401" s="3"/>
    </row>
    <row r="2402" spans="1:8">
      <c r="A2402" s="270">
        <v>44951</v>
      </c>
      <c r="B2402" s="267"/>
      <c r="C2402" s="267" t="s">
        <v>205</v>
      </c>
      <c r="D2402" s="3" t="s">
        <v>1502</v>
      </c>
      <c r="E2402" s="1497"/>
      <c r="F2402" s="1497">
        <v>15220.7</v>
      </c>
      <c r="G2402" s="267" t="s">
        <v>287</v>
      </c>
      <c r="H2402" s="3"/>
    </row>
    <row r="2403" spans="1:8">
      <c r="A2403" s="270">
        <v>44952</v>
      </c>
      <c r="B2403" s="267"/>
      <c r="C2403" s="267" t="s">
        <v>205</v>
      </c>
      <c r="D2403" s="3" t="s">
        <v>71</v>
      </c>
      <c r="E2403" s="1497">
        <v>15220.7</v>
      </c>
      <c r="F2403" s="1497"/>
      <c r="G2403" s="267" t="s">
        <v>287</v>
      </c>
      <c r="H2403" s="3"/>
    </row>
    <row r="2404" spans="1:8">
      <c r="A2404" s="270">
        <v>44952</v>
      </c>
      <c r="B2404" s="267"/>
      <c r="C2404" s="267" t="s">
        <v>122</v>
      </c>
      <c r="D2404" s="3" t="s">
        <v>287</v>
      </c>
      <c r="E2404" s="1497">
        <v>6600</v>
      </c>
      <c r="F2404" s="1497"/>
      <c r="G2404" s="267" t="s">
        <v>27</v>
      </c>
      <c r="H2404" s="3"/>
    </row>
    <row r="2405" spans="1:8">
      <c r="A2405" s="270">
        <v>44952</v>
      </c>
      <c r="B2405" s="267"/>
      <c r="C2405" s="267" t="s">
        <v>122</v>
      </c>
      <c r="D2405" s="15" t="s">
        <v>1503</v>
      </c>
      <c r="E2405" s="1497">
        <v>71322</v>
      </c>
      <c r="F2405" s="1497"/>
      <c r="G2405" s="267" t="s">
        <v>27</v>
      </c>
      <c r="H2405" s="3"/>
    </row>
    <row r="2406" spans="1:8">
      <c r="A2406" s="270">
        <v>44952</v>
      </c>
      <c r="B2406" s="267"/>
      <c r="C2406" s="267" t="s">
        <v>156</v>
      </c>
      <c r="D2406" s="15" t="s">
        <v>156</v>
      </c>
      <c r="E2406" s="1497">
        <v>21069.31</v>
      </c>
      <c r="F2406" s="1497"/>
      <c r="G2406" s="267" t="s">
        <v>27</v>
      </c>
      <c r="H2406" s="3"/>
    </row>
    <row r="2407" spans="1:8">
      <c r="A2407" s="270">
        <v>44952</v>
      </c>
      <c r="B2407" s="267"/>
      <c r="C2407" s="267" t="s">
        <v>94</v>
      </c>
      <c r="D2407" s="3" t="s">
        <v>1504</v>
      </c>
      <c r="E2407" s="1497">
        <v>5300</v>
      </c>
      <c r="F2407" s="1497"/>
      <c r="G2407" s="267" t="s">
        <v>27</v>
      </c>
      <c r="H2407" s="3"/>
    </row>
    <row r="2408" spans="1:8">
      <c r="A2408" s="270">
        <v>44952</v>
      </c>
      <c r="B2408" s="267"/>
      <c r="C2408" s="267" t="s">
        <v>79</v>
      </c>
      <c r="D2408" s="3" t="s">
        <v>1505</v>
      </c>
      <c r="E2408" s="1497">
        <v>48500</v>
      </c>
      <c r="F2408" s="1497"/>
      <c r="G2408" s="267" t="s">
        <v>27</v>
      </c>
      <c r="H2408" s="3"/>
    </row>
    <row r="2409" spans="1:8">
      <c r="A2409" s="270">
        <v>44952</v>
      </c>
      <c r="B2409" s="267"/>
      <c r="C2409" s="267" t="s">
        <v>79</v>
      </c>
      <c r="D2409" s="15" t="s">
        <v>1506</v>
      </c>
      <c r="E2409" s="1497">
        <v>5600</v>
      </c>
      <c r="F2409" s="1497"/>
      <c r="G2409" s="267" t="s">
        <v>27</v>
      </c>
      <c r="H2409" s="3"/>
    </row>
    <row r="2410" spans="1:8">
      <c r="A2410" s="270">
        <v>44952</v>
      </c>
      <c r="B2410" s="267"/>
      <c r="C2410" s="267" t="s">
        <v>79</v>
      </c>
      <c r="D2410" s="3" t="s">
        <v>885</v>
      </c>
      <c r="E2410" s="1497">
        <v>1500</v>
      </c>
      <c r="F2410" s="1497"/>
      <c r="G2410" s="267" t="s">
        <v>56</v>
      </c>
      <c r="H2410" s="3"/>
    </row>
    <row r="2411" spans="1:8">
      <c r="A2411" s="270">
        <v>44953</v>
      </c>
      <c r="B2411" s="267"/>
      <c r="C2411" s="267" t="s">
        <v>77</v>
      </c>
      <c r="D2411" s="3" t="s">
        <v>1510</v>
      </c>
      <c r="E2411" s="1497"/>
      <c r="F2411" s="1497">
        <v>162000</v>
      </c>
      <c r="G2411" s="267" t="s">
        <v>56</v>
      </c>
      <c r="H2411" s="3"/>
    </row>
    <row r="2412" spans="1:8">
      <c r="A2412" s="270">
        <v>44953</v>
      </c>
      <c r="B2412" s="267"/>
      <c r="C2412" s="267" t="s">
        <v>79</v>
      </c>
      <c r="D2412" s="3" t="s">
        <v>653</v>
      </c>
      <c r="E2412" s="1497">
        <v>75400</v>
      </c>
      <c r="F2412" s="1497"/>
      <c r="G2412" s="267" t="s">
        <v>27</v>
      </c>
      <c r="H2412" s="3" t="s">
        <v>1511</v>
      </c>
    </row>
    <row r="2413" spans="1:8">
      <c r="A2413" s="270">
        <v>44953</v>
      </c>
      <c r="B2413" s="267"/>
      <c r="C2413" s="267" t="s">
        <v>205</v>
      </c>
      <c r="D2413" s="3" t="s">
        <v>495</v>
      </c>
      <c r="E2413" s="1497">
        <v>68500</v>
      </c>
      <c r="F2413" s="1497"/>
      <c r="G2413" s="267" t="s">
        <v>27</v>
      </c>
      <c r="H2413" s="3"/>
    </row>
    <row r="2414" spans="1:8">
      <c r="A2414" s="270">
        <v>44953</v>
      </c>
      <c r="B2414" s="267"/>
      <c r="C2414" s="267" t="s">
        <v>65</v>
      </c>
      <c r="D2414" s="3" t="s">
        <v>1512</v>
      </c>
      <c r="E2414" s="1497">
        <v>10000</v>
      </c>
      <c r="F2414" s="1497"/>
      <c r="G2414" s="267" t="s">
        <v>56</v>
      </c>
      <c r="H2414" s="3"/>
    </row>
    <row r="2415" spans="1:8">
      <c r="A2415" s="270">
        <v>44953</v>
      </c>
      <c r="B2415" s="267"/>
      <c r="C2415" s="267" t="s">
        <v>160</v>
      </c>
      <c r="D2415" s="3" t="s">
        <v>1513</v>
      </c>
      <c r="E2415" s="1497">
        <v>2965</v>
      </c>
      <c r="F2415" s="1497"/>
      <c r="G2415" s="267" t="s">
        <v>56</v>
      </c>
      <c r="H2415" s="3"/>
    </row>
    <row r="2416" spans="1:8">
      <c r="H2416" s="141" t="s">
        <v>1509</v>
      </c>
    </row>
    <row r="2417" spans="1:8">
      <c r="H2417" s="136" t="s">
        <v>1460</v>
      </c>
    </row>
    <row r="2418" spans="1:8">
      <c r="H2418" s="137" t="s">
        <v>1539</v>
      </c>
    </row>
    <row r="2419" spans="1:8">
      <c r="H2419" s="138" t="s">
        <v>1538</v>
      </c>
    </row>
    <row r="2420" spans="1:8">
      <c r="H2420" s="138" t="s">
        <v>1410</v>
      </c>
    </row>
    <row r="2421" spans="1:8">
      <c r="H2421" s="138" t="s">
        <v>1508</v>
      </c>
    </row>
    <row r="2422" spans="1:8">
      <c r="H2422" s="140" t="s">
        <v>809</v>
      </c>
    </row>
    <row r="2423" spans="1:8">
      <c r="H2423" s="139" t="s">
        <v>1436</v>
      </c>
    </row>
    <row r="2424" spans="1:8">
      <c r="A2424" s="270">
        <v>44956</v>
      </c>
      <c r="B2424" s="267"/>
      <c r="C2424" s="267" t="s">
        <v>79</v>
      </c>
      <c r="D2424" s="3" t="s">
        <v>163</v>
      </c>
      <c r="E2424" s="1497">
        <v>95500.65</v>
      </c>
      <c r="F2424" s="1497"/>
      <c r="G2424" s="267" t="s">
        <v>27</v>
      </c>
      <c r="H2424" s="3"/>
    </row>
    <row r="2425" spans="1:8">
      <c r="A2425" s="270">
        <v>44956</v>
      </c>
      <c r="B2425" s="267"/>
      <c r="C2425" s="267" t="s">
        <v>79</v>
      </c>
      <c r="D2425" s="3" t="s">
        <v>1517</v>
      </c>
      <c r="E2425" s="1497">
        <v>2387.52</v>
      </c>
      <c r="F2425" s="1497"/>
      <c r="G2425" s="267" t="s">
        <v>27</v>
      </c>
      <c r="H2425" s="3"/>
    </row>
    <row r="2426" spans="1:8">
      <c r="A2426" s="270">
        <v>44956</v>
      </c>
      <c r="B2426" s="267"/>
      <c r="C2426" s="267" t="s">
        <v>79</v>
      </c>
      <c r="D2426" s="3" t="s">
        <v>1516</v>
      </c>
      <c r="E2426" s="1497">
        <v>20055.14</v>
      </c>
      <c r="F2426" s="1497"/>
      <c r="G2426" s="267" t="s">
        <v>27</v>
      </c>
      <c r="H2426" s="3"/>
    </row>
    <row r="2427" spans="1:8">
      <c r="A2427" s="270">
        <v>44956</v>
      </c>
      <c r="B2427" s="267"/>
      <c r="C2427" s="267" t="s">
        <v>287</v>
      </c>
      <c r="D2427" s="3" t="s">
        <v>1518</v>
      </c>
      <c r="E2427" s="1497">
        <v>6050</v>
      </c>
      <c r="F2427" s="1497"/>
      <c r="G2427" s="267" t="s">
        <v>27</v>
      </c>
      <c r="H2427" s="3"/>
    </row>
    <row r="2428" spans="1:8">
      <c r="A2428" s="270">
        <v>44956</v>
      </c>
      <c r="B2428" s="267"/>
      <c r="C2428" s="267" t="s">
        <v>79</v>
      </c>
      <c r="D2428" s="3" t="s">
        <v>151</v>
      </c>
      <c r="E2428" s="1497">
        <v>9276</v>
      </c>
      <c r="F2428" s="1497"/>
      <c r="G2428" s="267" t="s">
        <v>27</v>
      </c>
      <c r="H2428" s="3"/>
    </row>
    <row r="2429" spans="1:8">
      <c r="A2429" s="270">
        <v>44956</v>
      </c>
      <c r="B2429" s="267"/>
      <c r="C2429" s="267" t="s">
        <v>174</v>
      </c>
      <c r="D2429" s="3" t="s">
        <v>181</v>
      </c>
      <c r="E2429" s="1497">
        <v>4782.9799999999996</v>
      </c>
      <c r="F2429" s="1497"/>
      <c r="G2429" s="267" t="s">
        <v>27</v>
      </c>
      <c r="H2429" s="3"/>
    </row>
    <row r="2430" spans="1:8">
      <c r="A2430" s="270">
        <v>44956</v>
      </c>
      <c r="B2430" s="267"/>
      <c r="C2430" s="267" t="s">
        <v>174</v>
      </c>
      <c r="D2430" s="3" t="s">
        <v>1514</v>
      </c>
      <c r="E2430" s="1497">
        <v>1238.4100000000001</v>
      </c>
      <c r="F2430" s="1497"/>
      <c r="G2430" s="267" t="s">
        <v>27</v>
      </c>
      <c r="H2430" s="3"/>
    </row>
    <row r="2431" spans="1:8">
      <c r="A2431" s="270">
        <v>44956</v>
      </c>
      <c r="B2431" s="267"/>
      <c r="C2431" s="267" t="s">
        <v>174</v>
      </c>
      <c r="D2431" s="3" t="s">
        <v>1514</v>
      </c>
      <c r="E2431" s="1497">
        <v>1238.4100000000001</v>
      </c>
      <c r="F2431" s="1497"/>
      <c r="G2431" s="267" t="s">
        <v>27</v>
      </c>
      <c r="H2431" s="3"/>
    </row>
    <row r="2432" spans="1:8">
      <c r="A2432" s="270">
        <v>44956</v>
      </c>
      <c r="B2432" s="267"/>
      <c r="C2432" s="267" t="s">
        <v>287</v>
      </c>
      <c r="D2432" s="3" t="s">
        <v>1406</v>
      </c>
      <c r="E2432" s="1497">
        <v>71322</v>
      </c>
      <c r="F2432" s="1497"/>
      <c r="G2432" s="267" t="s">
        <v>27</v>
      </c>
      <c r="H2432" s="3"/>
    </row>
    <row r="2433" spans="1:8">
      <c r="A2433" s="270">
        <v>44956</v>
      </c>
      <c r="B2433" s="267"/>
      <c r="C2433" s="267" t="s">
        <v>150</v>
      </c>
      <c r="D2433" s="3" t="s">
        <v>1407</v>
      </c>
      <c r="E2433" s="1497">
        <v>3680</v>
      </c>
      <c r="F2433" s="1497"/>
      <c r="G2433" s="267" t="s">
        <v>27</v>
      </c>
      <c r="H2433" s="3"/>
    </row>
    <row r="2434" spans="1:8">
      <c r="A2434" s="270">
        <v>44956</v>
      </c>
      <c r="B2434" s="267"/>
      <c r="C2434" s="267" t="s">
        <v>150</v>
      </c>
      <c r="D2434" s="3" t="s">
        <v>1515</v>
      </c>
      <c r="E2434" s="1497">
        <v>975.2</v>
      </c>
      <c r="F2434" s="1497"/>
      <c r="G2434" s="267" t="s">
        <v>27</v>
      </c>
      <c r="H2434" s="3"/>
    </row>
    <row r="2435" spans="1:8">
      <c r="A2435" s="270">
        <v>44956</v>
      </c>
      <c r="B2435" s="267"/>
      <c r="C2435" s="267" t="s">
        <v>79</v>
      </c>
      <c r="D2435" s="3" t="s">
        <v>151</v>
      </c>
      <c r="E2435" s="1497">
        <v>5000</v>
      </c>
      <c r="F2435" s="1497"/>
      <c r="G2435" s="267" t="s">
        <v>56</v>
      </c>
      <c r="H2435" s="3"/>
    </row>
    <row r="2436" spans="1:8">
      <c r="A2436" s="270">
        <v>44957</v>
      </c>
      <c r="B2436" s="267"/>
      <c r="C2436" s="267" t="s">
        <v>68</v>
      </c>
      <c r="D2436" s="3" t="s">
        <v>1431</v>
      </c>
      <c r="E2436" s="1497">
        <v>2400</v>
      </c>
      <c r="F2436" s="1497"/>
      <c r="G2436" s="267" t="s">
        <v>56</v>
      </c>
      <c r="H2436" s="3"/>
    </row>
    <row r="2437" spans="1:8">
      <c r="A2437" s="270">
        <v>44957</v>
      </c>
      <c r="B2437" s="267"/>
      <c r="C2437" s="267" t="s">
        <v>55</v>
      </c>
      <c r="D2437" s="3" t="s">
        <v>1519</v>
      </c>
      <c r="E2437" s="1497">
        <v>1000</v>
      </c>
      <c r="F2437" s="1497"/>
      <c r="G2437" s="267" t="s">
        <v>56</v>
      </c>
      <c r="H2437" s="3"/>
    </row>
    <row r="2438" spans="1:8" ht="15.75" thickBot="1">
      <c r="A2438" s="270">
        <v>44957</v>
      </c>
      <c r="B2438" s="267"/>
      <c r="C2438" s="267" t="s">
        <v>79</v>
      </c>
      <c r="D2438" s="3" t="s">
        <v>653</v>
      </c>
      <c r="E2438" s="1497">
        <v>93006.720000000001</v>
      </c>
      <c r="F2438" s="1497"/>
      <c r="G2438" s="267" t="s">
        <v>56</v>
      </c>
      <c r="H2438" s="85"/>
    </row>
    <row r="2439" spans="1:8">
      <c r="A2439" s="267"/>
      <c r="B2439" s="267"/>
      <c r="C2439" s="267"/>
      <c r="D2439" s="3"/>
      <c r="E2439" s="1497"/>
      <c r="F2439" s="1497"/>
      <c r="G2439" s="226"/>
      <c r="H2439" s="149" t="s">
        <v>1521</v>
      </c>
    </row>
    <row r="2440" spans="1:8">
      <c r="A2440" s="267"/>
      <c r="B2440" s="267"/>
      <c r="C2440" s="267"/>
      <c r="D2440" s="3"/>
      <c r="E2440" s="1497"/>
      <c r="F2440" s="1497"/>
      <c r="G2440" s="226"/>
      <c r="H2440" s="136" t="s">
        <v>1460</v>
      </c>
    </row>
    <row r="2441" spans="1:8">
      <c r="A2441" s="267"/>
      <c r="B2441" s="267"/>
      <c r="C2441" s="267"/>
      <c r="D2441" s="3"/>
      <c r="E2441" s="1497"/>
      <c r="F2441" s="1497"/>
      <c r="G2441" s="226"/>
      <c r="H2441" s="137" t="s">
        <v>1541</v>
      </c>
    </row>
    <row r="2442" spans="1:8">
      <c r="H2442" s="138" t="s">
        <v>1540</v>
      </c>
    </row>
    <row r="2443" spans="1:8">
      <c r="H2443" s="138" t="s">
        <v>1542</v>
      </c>
    </row>
    <row r="2444" spans="1:8">
      <c r="H2444" s="138" t="s">
        <v>1508</v>
      </c>
    </row>
    <row r="2445" spans="1:8">
      <c r="H2445" s="140" t="s">
        <v>809</v>
      </c>
    </row>
    <row r="2446" spans="1:8" ht="15.75" thickBot="1">
      <c r="H2446" s="147" t="s">
        <v>1436</v>
      </c>
    </row>
    <row r="2447" spans="1:8">
      <c r="A2447" s="270">
        <v>44958</v>
      </c>
      <c r="B2447" s="267"/>
      <c r="C2447" s="267" t="s">
        <v>92</v>
      </c>
      <c r="D2447" s="3" t="s">
        <v>1522</v>
      </c>
      <c r="E2447" s="1497"/>
      <c r="F2447" s="1497">
        <v>4150</v>
      </c>
      <c r="G2447" s="267" t="s">
        <v>27</v>
      </c>
      <c r="H2447" s="5"/>
    </row>
    <row r="2448" spans="1:8">
      <c r="A2448" s="270">
        <v>44958</v>
      </c>
      <c r="B2448" s="267"/>
      <c r="C2448" s="267" t="s">
        <v>97</v>
      </c>
      <c r="D2448" s="3" t="s">
        <v>1524</v>
      </c>
      <c r="E2448" s="1497">
        <v>8500</v>
      </c>
      <c r="F2448" s="1497"/>
      <c r="G2448" s="267" t="s">
        <v>27</v>
      </c>
      <c r="H2448" s="3"/>
    </row>
    <row r="2449" spans="1:8">
      <c r="A2449" s="270">
        <v>44958</v>
      </c>
      <c r="B2449" s="267"/>
      <c r="C2449" s="267" t="s">
        <v>97</v>
      </c>
      <c r="D2449" s="3" t="s">
        <v>1523</v>
      </c>
      <c r="E2449" s="1497">
        <v>91904</v>
      </c>
      <c r="F2449" s="1497"/>
      <c r="G2449" s="267" t="s">
        <v>27</v>
      </c>
      <c r="H2449" s="3"/>
    </row>
    <row r="2450" spans="1:8">
      <c r="A2450" s="270">
        <v>44958</v>
      </c>
      <c r="B2450" s="267"/>
      <c r="C2450" s="267" t="s">
        <v>65</v>
      </c>
      <c r="D2450" s="3" t="s">
        <v>435</v>
      </c>
      <c r="E2450" s="1497">
        <v>7098.95</v>
      </c>
      <c r="F2450" s="1497"/>
      <c r="G2450" s="267" t="s">
        <v>27</v>
      </c>
      <c r="H2450" s="3"/>
    </row>
    <row r="2451" spans="1:8">
      <c r="A2451" s="270">
        <v>44958</v>
      </c>
      <c r="B2451" s="267"/>
      <c r="C2451" s="267" t="s">
        <v>65</v>
      </c>
      <c r="D2451" s="3" t="s">
        <v>436</v>
      </c>
      <c r="E2451" s="1497">
        <v>1954.99</v>
      </c>
      <c r="F2451" s="1497"/>
      <c r="G2451" s="267" t="s">
        <v>27</v>
      </c>
      <c r="H2451" s="3"/>
    </row>
    <row r="2452" spans="1:8">
      <c r="A2452" s="270">
        <v>44958</v>
      </c>
      <c r="B2452" s="267"/>
      <c r="C2452" s="267" t="s">
        <v>65</v>
      </c>
      <c r="D2452" s="3" t="s">
        <v>437</v>
      </c>
      <c r="E2452" s="1497">
        <v>1954.99</v>
      </c>
      <c r="F2452" s="1497"/>
      <c r="G2452" s="267" t="s">
        <v>27</v>
      </c>
      <c r="H2452" s="3"/>
    </row>
    <row r="2453" spans="1:8">
      <c r="A2453" s="270">
        <v>44958</v>
      </c>
      <c r="B2453" s="267"/>
      <c r="C2453" s="267" t="s">
        <v>92</v>
      </c>
      <c r="D2453" s="3" t="s">
        <v>1525</v>
      </c>
      <c r="E2453" s="1497"/>
      <c r="F2453" s="1497">
        <v>3100</v>
      </c>
      <c r="G2453" s="267" t="s">
        <v>27</v>
      </c>
      <c r="H2453" s="3"/>
    </row>
    <row r="2454" spans="1:8">
      <c r="A2454" s="270">
        <v>44958</v>
      </c>
      <c r="B2454" s="267"/>
      <c r="C2454" s="267" t="s">
        <v>79</v>
      </c>
      <c r="D2454" s="3" t="s">
        <v>151</v>
      </c>
      <c r="E2454" s="1497" t="s">
        <v>1526</v>
      </c>
      <c r="F2454" s="1497"/>
      <c r="G2454" s="267" t="s">
        <v>27</v>
      </c>
      <c r="H2454" s="3"/>
    </row>
    <row r="2455" spans="1:8">
      <c r="A2455" s="270">
        <v>44958</v>
      </c>
      <c r="B2455" s="267"/>
      <c r="C2455" s="267" t="s">
        <v>1218</v>
      </c>
      <c r="D2455" s="3" t="s">
        <v>1002</v>
      </c>
      <c r="E2455" s="1497" t="s">
        <v>1527</v>
      </c>
      <c r="F2455" s="1497"/>
      <c r="G2455" s="267" t="s">
        <v>27</v>
      </c>
      <c r="H2455" s="3"/>
    </row>
    <row r="2456" spans="1:8">
      <c r="A2456" s="270">
        <v>44958</v>
      </c>
      <c r="B2456" s="267"/>
      <c r="C2456" s="267" t="s">
        <v>287</v>
      </c>
      <c r="D2456" s="3" t="s">
        <v>1528</v>
      </c>
      <c r="E2456" s="1497">
        <v>4520</v>
      </c>
      <c r="F2456" s="1497"/>
      <c r="G2456" s="267" t="s">
        <v>27</v>
      </c>
      <c r="H2456" s="3"/>
    </row>
    <row r="2457" spans="1:8">
      <c r="A2457" s="270">
        <v>44959</v>
      </c>
      <c r="B2457" s="267"/>
      <c r="C2457" s="267" t="s">
        <v>92</v>
      </c>
      <c r="D2457" s="3" t="s">
        <v>1530</v>
      </c>
      <c r="E2457" s="1497"/>
      <c r="F2457" s="1497" t="s">
        <v>1529</v>
      </c>
      <c r="G2457" s="267" t="s">
        <v>27</v>
      </c>
      <c r="H2457" s="3"/>
    </row>
    <row r="2458" spans="1:8">
      <c r="A2458" s="270">
        <v>44959</v>
      </c>
      <c r="B2458" s="267"/>
      <c r="C2458" s="267" t="s">
        <v>199</v>
      </c>
      <c r="D2458" s="3" t="s">
        <v>1531</v>
      </c>
      <c r="E2458" s="1497"/>
      <c r="F2458" s="1497">
        <v>49900</v>
      </c>
      <c r="G2458" s="267" t="s">
        <v>56</v>
      </c>
      <c r="H2458" s="3"/>
    </row>
    <row r="2459" spans="1:8">
      <c r="A2459" s="270">
        <v>44960</v>
      </c>
      <c r="B2459" s="267"/>
      <c r="C2459" s="267" t="s">
        <v>849</v>
      </c>
      <c r="D2459" s="15" t="s">
        <v>1534</v>
      </c>
      <c r="E2459" s="1497">
        <v>8500</v>
      </c>
      <c r="F2459" s="1497"/>
      <c r="G2459" s="267" t="s">
        <v>27</v>
      </c>
      <c r="H2459" s="3"/>
    </row>
    <row r="2460" spans="1:8">
      <c r="A2460" s="270">
        <v>44960</v>
      </c>
      <c r="B2460" s="267"/>
      <c r="C2460" s="267" t="s">
        <v>205</v>
      </c>
      <c r="D2460" s="3" t="s">
        <v>1535</v>
      </c>
      <c r="E2460" s="1497">
        <v>29200</v>
      </c>
      <c r="F2460" s="1497"/>
      <c r="G2460" s="267" t="s">
        <v>56</v>
      </c>
      <c r="H2460" s="3"/>
    </row>
    <row r="2461" spans="1:8">
      <c r="A2461" s="270">
        <v>44960</v>
      </c>
      <c r="B2461" s="267"/>
      <c r="C2461" s="267" t="s">
        <v>88</v>
      </c>
      <c r="D2461" s="3" t="s">
        <v>259</v>
      </c>
      <c r="E2461" s="1497">
        <v>57500</v>
      </c>
      <c r="F2461" s="1497"/>
      <c r="G2461" s="267" t="s">
        <v>56</v>
      </c>
      <c r="H2461" s="3"/>
    </row>
    <row r="2462" spans="1:8">
      <c r="A2462" s="270">
        <v>44960</v>
      </c>
      <c r="B2462" s="267"/>
      <c r="C2462" s="267" t="s">
        <v>88</v>
      </c>
      <c r="D2462" s="15" t="s">
        <v>750</v>
      </c>
      <c r="E2462" s="1497">
        <v>37500</v>
      </c>
      <c r="F2462" s="1497"/>
      <c r="G2462" s="267" t="s">
        <v>56</v>
      </c>
      <c r="H2462" s="3"/>
    </row>
    <row r="2463" spans="1:8">
      <c r="A2463" s="270">
        <v>44960</v>
      </c>
      <c r="B2463" s="267"/>
      <c r="C2463" s="267" t="s">
        <v>88</v>
      </c>
      <c r="D2463" s="15" t="s">
        <v>208</v>
      </c>
      <c r="E2463" s="1497">
        <v>23500</v>
      </c>
      <c r="F2463" s="1497"/>
      <c r="G2463" s="267" t="s">
        <v>56</v>
      </c>
      <c r="H2463" s="3"/>
    </row>
    <row r="2464" spans="1:8">
      <c r="A2464" s="270">
        <v>44960</v>
      </c>
      <c r="B2464" s="267"/>
      <c r="C2464" s="267" t="s">
        <v>88</v>
      </c>
      <c r="D2464" s="15" t="s">
        <v>364</v>
      </c>
      <c r="E2464" s="1497">
        <v>23000</v>
      </c>
      <c r="F2464" s="1497"/>
      <c r="G2464" s="267" t="s">
        <v>56</v>
      </c>
      <c r="H2464" s="3"/>
    </row>
    <row r="2465" spans="1:8">
      <c r="A2465" s="270">
        <v>44960</v>
      </c>
      <c r="B2465" s="267"/>
      <c r="C2465" s="267" t="s">
        <v>92</v>
      </c>
      <c r="D2465" s="15" t="s">
        <v>1445</v>
      </c>
      <c r="E2465" s="1497"/>
      <c r="F2465" s="1497">
        <v>28580</v>
      </c>
      <c r="G2465" s="267" t="s">
        <v>72</v>
      </c>
      <c r="H2465" s="3"/>
    </row>
    <row r="2466" spans="1:8">
      <c r="H2466" s="122" t="s">
        <v>1545</v>
      </c>
    </row>
    <row r="2467" spans="1:8">
      <c r="H2467" s="133" t="s">
        <v>1460</v>
      </c>
    </row>
    <row r="2468" spans="1:8">
      <c r="H2468" s="132" t="s">
        <v>1543</v>
      </c>
    </row>
    <row r="2469" spans="1:8">
      <c r="H2469" s="117" t="s">
        <v>1544</v>
      </c>
    </row>
    <row r="2470" spans="1:8">
      <c r="H2470" s="117" t="s">
        <v>1537</v>
      </c>
    </row>
    <row r="2471" spans="1:8">
      <c r="H2471" s="117" t="s">
        <v>1508</v>
      </c>
    </row>
    <row r="2472" spans="1:8">
      <c r="H2472" s="117" t="s">
        <v>1536</v>
      </c>
    </row>
    <row r="2473" spans="1:8">
      <c r="H2473" s="118" t="s">
        <v>1436</v>
      </c>
    </row>
    <row r="2474" spans="1:8">
      <c r="A2474" s="270">
        <v>44963</v>
      </c>
      <c r="B2474" s="267"/>
      <c r="C2474" s="267" t="s">
        <v>1547</v>
      </c>
      <c r="D2474" s="3" t="s">
        <v>1315</v>
      </c>
      <c r="E2474" s="1497">
        <v>6050</v>
      </c>
      <c r="F2474" s="1497"/>
      <c r="G2474" s="267" t="s">
        <v>27</v>
      </c>
      <c r="H2474" s="3"/>
    </row>
    <row r="2475" spans="1:8">
      <c r="A2475" s="270">
        <v>44963</v>
      </c>
      <c r="B2475" s="267"/>
      <c r="C2475" s="267" t="s">
        <v>205</v>
      </c>
      <c r="D2475" s="3" t="s">
        <v>11</v>
      </c>
      <c r="E2475" s="1497">
        <v>91904</v>
      </c>
      <c r="F2475" s="1497"/>
      <c r="G2475" s="267" t="s">
        <v>27</v>
      </c>
      <c r="H2475" s="3"/>
    </row>
    <row r="2476" spans="1:8">
      <c r="A2476" s="270">
        <v>44963</v>
      </c>
      <c r="B2476" s="267"/>
      <c r="C2476" s="267" t="s">
        <v>79</v>
      </c>
      <c r="D2476" s="3" t="s">
        <v>918</v>
      </c>
      <c r="E2476" s="1497">
        <v>8301.9</v>
      </c>
      <c r="F2476" s="1497"/>
      <c r="G2476" s="267" t="s">
        <v>27</v>
      </c>
      <c r="H2476" s="3"/>
    </row>
    <row r="2477" spans="1:8">
      <c r="A2477" s="270">
        <v>44963</v>
      </c>
      <c r="B2477" s="267"/>
      <c r="C2477" s="267" t="s">
        <v>92</v>
      </c>
      <c r="D2477" s="3" t="s">
        <v>1548</v>
      </c>
      <c r="E2477" s="1497"/>
      <c r="F2477" s="1497">
        <v>14900</v>
      </c>
      <c r="G2477" s="267" t="s">
        <v>56</v>
      </c>
      <c r="H2477" s="3"/>
    </row>
    <row r="2478" spans="1:8">
      <c r="A2478" s="270">
        <v>44963</v>
      </c>
      <c r="B2478" s="267"/>
      <c r="C2478" s="267" t="s">
        <v>92</v>
      </c>
      <c r="D2478" s="3" t="s">
        <v>46</v>
      </c>
      <c r="E2478" s="1497"/>
      <c r="F2478" s="1497">
        <v>9750</v>
      </c>
      <c r="G2478" s="267" t="s">
        <v>27</v>
      </c>
      <c r="H2478" s="3"/>
    </row>
    <row r="2479" spans="1:8">
      <c r="A2479" s="270">
        <v>44963</v>
      </c>
      <c r="B2479" s="267"/>
      <c r="C2479" s="267" t="s">
        <v>79</v>
      </c>
      <c r="D2479" s="3" t="s">
        <v>151</v>
      </c>
      <c r="E2479" s="1497">
        <v>100000</v>
      </c>
      <c r="F2479" s="1497"/>
      <c r="G2479" s="267" t="s">
        <v>56</v>
      </c>
      <c r="H2479" s="3"/>
    </row>
    <row r="2480" spans="1:8">
      <c r="A2480" s="270">
        <v>44964</v>
      </c>
      <c r="B2480" s="267"/>
      <c r="C2480" s="267" t="s">
        <v>55</v>
      </c>
      <c r="D2480" s="3" t="s">
        <v>1549</v>
      </c>
      <c r="E2480" s="1497">
        <v>1078</v>
      </c>
      <c r="F2480" s="1497"/>
      <c r="G2480" s="267" t="s">
        <v>56</v>
      </c>
      <c r="H2480" s="3"/>
    </row>
    <row r="2481" spans="1:8">
      <c r="A2481" s="270">
        <v>44964</v>
      </c>
      <c r="B2481" s="267"/>
      <c r="C2481" s="267" t="s">
        <v>150</v>
      </c>
      <c r="D2481" s="3" t="s">
        <v>221</v>
      </c>
      <c r="E2481" s="1497">
        <v>8170.16</v>
      </c>
      <c r="F2481" s="1497"/>
      <c r="G2481" s="267" t="s">
        <v>108</v>
      </c>
      <c r="H2481" s="3"/>
    </row>
    <row r="2482" spans="1:8">
      <c r="A2482" s="270">
        <v>44964</v>
      </c>
      <c r="B2482" s="267"/>
      <c r="C2482" s="267" t="s">
        <v>150</v>
      </c>
      <c r="D2482" s="15" t="s">
        <v>155</v>
      </c>
      <c r="E2482" s="1497">
        <v>1715.73</v>
      </c>
      <c r="F2482" s="1497"/>
      <c r="G2482" s="267" t="s">
        <v>108</v>
      </c>
      <c r="H2482" s="3"/>
    </row>
    <row r="2483" spans="1:8">
      <c r="A2483" s="270">
        <v>44964</v>
      </c>
      <c r="B2483" s="267"/>
      <c r="C2483" s="267" t="s">
        <v>150</v>
      </c>
      <c r="D2483" s="15" t="s">
        <v>1550</v>
      </c>
      <c r="E2483" s="1497">
        <v>115.34</v>
      </c>
      <c r="F2483" s="1497"/>
      <c r="G2483" s="267" t="s">
        <v>108</v>
      </c>
      <c r="H2483" s="3"/>
    </row>
    <row r="2484" spans="1:8">
      <c r="A2484" s="270">
        <v>44964</v>
      </c>
      <c r="B2484" s="267"/>
      <c r="C2484" s="267" t="s">
        <v>77</v>
      </c>
      <c r="D2484" s="3" t="s">
        <v>1551</v>
      </c>
      <c r="E2484" s="1497"/>
      <c r="F2484" s="1497">
        <v>500000</v>
      </c>
      <c r="G2484" s="267" t="s">
        <v>72</v>
      </c>
      <c r="H2484" s="3"/>
    </row>
    <row r="2485" spans="1:8">
      <c r="A2485" s="270">
        <v>44964</v>
      </c>
      <c r="B2485" s="267"/>
      <c r="C2485" s="267" t="s">
        <v>77</v>
      </c>
      <c r="D2485" s="3" t="s">
        <v>1551</v>
      </c>
      <c r="E2485" s="1497">
        <v>133000</v>
      </c>
      <c r="F2485" s="1497"/>
      <c r="G2485" s="267" t="s">
        <v>72</v>
      </c>
      <c r="H2485" s="3" t="s">
        <v>1261</v>
      </c>
    </row>
    <row r="2486" spans="1:8">
      <c r="A2486" s="270">
        <v>44964</v>
      </c>
      <c r="B2486" s="267"/>
      <c r="C2486" s="267" t="s">
        <v>308</v>
      </c>
      <c r="D2486" s="3" t="s">
        <v>232</v>
      </c>
      <c r="E2486" s="1497">
        <v>40000</v>
      </c>
      <c r="F2486" s="1497"/>
      <c r="G2486" s="267" t="s">
        <v>56</v>
      </c>
      <c r="H2486" s="3" t="s">
        <v>614</v>
      </c>
    </row>
    <row r="2487" spans="1:8">
      <c r="A2487" s="270">
        <v>44964</v>
      </c>
      <c r="B2487" s="267"/>
      <c r="C2487" s="267" t="s">
        <v>65</v>
      </c>
      <c r="D2487" s="3" t="s">
        <v>560</v>
      </c>
      <c r="E2487" s="1497">
        <v>13500</v>
      </c>
      <c r="F2487" s="1497"/>
      <c r="G2487" s="267" t="s">
        <v>56</v>
      </c>
      <c r="H2487" s="3"/>
    </row>
    <row r="2488" spans="1:8">
      <c r="A2488" s="270">
        <v>44964</v>
      </c>
      <c r="B2488" s="267"/>
      <c r="C2488" s="267" t="s">
        <v>92</v>
      </c>
      <c r="D2488" s="3" t="s">
        <v>1552</v>
      </c>
      <c r="E2488" s="1497"/>
      <c r="F2488" s="1497">
        <v>7200</v>
      </c>
      <c r="G2488" s="267" t="s">
        <v>56</v>
      </c>
      <c r="H2488" s="71">
        <v>5000</v>
      </c>
    </row>
    <row r="2489" spans="1:8">
      <c r="A2489" s="270">
        <v>44965</v>
      </c>
      <c r="B2489" s="267"/>
      <c r="C2489" s="267" t="s">
        <v>150</v>
      </c>
      <c r="D2489" s="3" t="s">
        <v>1507</v>
      </c>
      <c r="E2489" s="1497">
        <v>38700</v>
      </c>
      <c r="F2489" s="1497"/>
      <c r="G2489" s="267" t="s">
        <v>27</v>
      </c>
      <c r="H2489" s="3"/>
    </row>
    <row r="2490" spans="1:8">
      <c r="A2490" s="270">
        <v>44965</v>
      </c>
      <c r="B2490" s="267"/>
      <c r="C2490" s="267" t="s">
        <v>160</v>
      </c>
      <c r="D2490" s="3" t="s">
        <v>695</v>
      </c>
      <c r="E2490" s="1497"/>
      <c r="F2490" s="1497">
        <v>5000</v>
      </c>
      <c r="G2490" s="267" t="s">
        <v>56</v>
      </c>
      <c r="H2490" s="3"/>
    </row>
    <row r="2491" spans="1:8">
      <c r="A2491" s="270">
        <v>44965</v>
      </c>
      <c r="B2491" s="267"/>
      <c r="C2491" s="267" t="s">
        <v>92</v>
      </c>
      <c r="D2491" s="15" t="s">
        <v>299</v>
      </c>
      <c r="E2491" s="1497"/>
      <c r="F2491" s="1497">
        <v>12500</v>
      </c>
      <c r="G2491" s="267" t="s">
        <v>56</v>
      </c>
      <c r="H2491" s="3"/>
    </row>
    <row r="2492" spans="1:8">
      <c r="A2492" s="270">
        <v>44965</v>
      </c>
      <c r="B2492" s="267"/>
      <c r="C2492" s="267" t="s">
        <v>92</v>
      </c>
      <c r="D2492" s="3" t="s">
        <v>1554</v>
      </c>
      <c r="E2492" s="1497"/>
      <c r="F2492" s="1497">
        <v>59000</v>
      </c>
      <c r="G2492" s="267" t="s">
        <v>56</v>
      </c>
      <c r="H2492" s="3"/>
    </row>
    <row r="2493" spans="1:8" ht="30">
      <c r="A2493" s="116">
        <v>44965</v>
      </c>
      <c r="B2493" s="51"/>
      <c r="C2493" s="51" t="s">
        <v>77</v>
      </c>
      <c r="D2493" s="52" t="s">
        <v>1556</v>
      </c>
      <c r="E2493" s="51"/>
      <c r="F2493" s="51">
        <v>273500</v>
      </c>
      <c r="G2493" s="51" t="s">
        <v>72</v>
      </c>
      <c r="H2493" s="178" t="s">
        <v>1555</v>
      </c>
    </row>
    <row r="2494" spans="1:8">
      <c r="A2494" s="270">
        <v>44966</v>
      </c>
      <c r="B2494" s="267"/>
      <c r="C2494" s="267" t="s">
        <v>77</v>
      </c>
      <c r="D2494" s="3" t="s">
        <v>272</v>
      </c>
      <c r="E2494" s="1497"/>
      <c r="F2494" s="1497">
        <v>20500</v>
      </c>
      <c r="G2494" s="267" t="s">
        <v>56</v>
      </c>
      <c r="H2494" s="3"/>
    </row>
    <row r="2495" spans="1:8">
      <c r="A2495" s="270">
        <v>44966</v>
      </c>
      <c r="B2495" s="267"/>
      <c r="C2495" s="267" t="s">
        <v>55</v>
      </c>
      <c r="D2495" s="3" t="s">
        <v>1553</v>
      </c>
      <c r="E2495" s="1497">
        <v>3250</v>
      </c>
      <c r="F2495" s="1497"/>
      <c r="G2495" s="267" t="s">
        <v>56</v>
      </c>
      <c r="H2495" s="3"/>
    </row>
    <row r="2496" spans="1:8">
      <c r="A2496" s="270">
        <v>44967</v>
      </c>
      <c r="B2496" s="267"/>
      <c r="C2496" s="267" t="s">
        <v>77</v>
      </c>
      <c r="D2496" s="3" t="s">
        <v>1557</v>
      </c>
      <c r="E2496" s="1497"/>
      <c r="F2496" s="1497">
        <v>74650</v>
      </c>
      <c r="G2496" s="267" t="s">
        <v>27</v>
      </c>
      <c r="H2496" s="3"/>
    </row>
    <row r="2497" spans="1:8">
      <c r="A2497" s="270">
        <v>44967</v>
      </c>
      <c r="B2497" s="267"/>
      <c r="C2497" s="267" t="s">
        <v>92</v>
      </c>
      <c r="D2497" s="3" t="s">
        <v>1520</v>
      </c>
      <c r="E2497" s="1497"/>
      <c r="F2497" s="1497">
        <v>34500</v>
      </c>
      <c r="G2497" s="267" t="s">
        <v>56</v>
      </c>
      <c r="H2497" s="3"/>
    </row>
    <row r="2498" spans="1:8">
      <c r="A2498" s="270">
        <v>44967</v>
      </c>
      <c r="B2498" s="267"/>
      <c r="C2498" s="267" t="s">
        <v>537</v>
      </c>
      <c r="D2498" s="3" t="s">
        <v>208</v>
      </c>
      <c r="E2498" s="1497">
        <v>23500</v>
      </c>
      <c r="F2498" s="1497"/>
      <c r="G2498" s="267" t="s">
        <v>56</v>
      </c>
      <c r="H2498" s="3"/>
    </row>
    <row r="2499" spans="1:8">
      <c r="A2499" s="270">
        <v>44967</v>
      </c>
      <c r="B2499" s="267"/>
      <c r="C2499" s="267" t="s">
        <v>537</v>
      </c>
      <c r="D2499" s="15" t="s">
        <v>219</v>
      </c>
      <c r="E2499" s="1497">
        <v>37500</v>
      </c>
      <c r="F2499" s="1497"/>
      <c r="G2499" s="267" t="s">
        <v>56</v>
      </c>
      <c r="H2499" s="3"/>
    </row>
    <row r="2500" spans="1:8">
      <c r="A2500" s="267" t="s">
        <v>1560</v>
      </c>
      <c r="B2500" s="267"/>
      <c r="C2500" s="267" t="s">
        <v>537</v>
      </c>
      <c r="D2500" s="15" t="s">
        <v>144</v>
      </c>
      <c r="E2500" s="1497">
        <v>57500</v>
      </c>
      <c r="F2500" s="1497"/>
      <c r="G2500" s="267" t="s">
        <v>56</v>
      </c>
      <c r="H2500" s="3"/>
    </row>
    <row r="2501" spans="1:8">
      <c r="A2501" s="119">
        <v>44967</v>
      </c>
      <c r="B2501" s="57"/>
      <c r="C2501" s="57" t="s">
        <v>537</v>
      </c>
      <c r="D2501" s="179" t="s">
        <v>1487</v>
      </c>
      <c r="E2501" s="57">
        <v>23000</v>
      </c>
      <c r="F2501" s="57"/>
      <c r="G2501" s="57" t="s">
        <v>56</v>
      </c>
      <c r="H2501" s="85"/>
    </row>
    <row r="2502" spans="1:8">
      <c r="A2502" s="270">
        <v>44967</v>
      </c>
      <c r="B2502" s="267"/>
      <c r="C2502" s="267" t="s">
        <v>308</v>
      </c>
      <c r="D2502" s="15" t="s">
        <v>232</v>
      </c>
      <c r="E2502" s="1497">
        <v>20000</v>
      </c>
      <c r="F2502" s="1497"/>
      <c r="G2502" s="267" t="s">
        <v>56</v>
      </c>
      <c r="H2502" s="3"/>
    </row>
    <row r="2503" spans="1:8">
      <c r="A2503" s="270">
        <v>44967</v>
      </c>
      <c r="B2503" s="267"/>
      <c r="C2503" s="267" t="s">
        <v>92</v>
      </c>
      <c r="D2503" s="15" t="s">
        <v>1562</v>
      </c>
      <c r="E2503" s="1497"/>
      <c r="F2503" s="1497">
        <v>10500</v>
      </c>
      <c r="G2503" s="267" t="s">
        <v>27</v>
      </c>
      <c r="H2503" s="3"/>
    </row>
    <row r="2504" spans="1:8">
      <c r="A2504" s="270">
        <v>44967</v>
      </c>
      <c r="B2504" s="267"/>
      <c r="C2504" s="267" t="s">
        <v>150</v>
      </c>
      <c r="D2504" s="15" t="s">
        <v>252</v>
      </c>
      <c r="E2504" s="1497">
        <v>1000</v>
      </c>
      <c r="F2504" s="1497"/>
      <c r="G2504" s="267" t="s">
        <v>56</v>
      </c>
      <c r="H2504" s="3"/>
    </row>
    <row r="2505" spans="1:8">
      <c r="A2505" s="270">
        <v>44967</v>
      </c>
      <c r="B2505" s="267"/>
      <c r="C2505" s="267" t="s">
        <v>150</v>
      </c>
      <c r="D2505" s="15" t="s">
        <v>1482</v>
      </c>
      <c r="E2505" s="1497">
        <v>70000</v>
      </c>
      <c r="F2505" s="1497"/>
      <c r="G2505" s="267" t="s">
        <v>72</v>
      </c>
      <c r="H2505" s="3"/>
    </row>
    <row r="2506" spans="1:8">
      <c r="H2506" s="141" t="s">
        <v>1559</v>
      </c>
    </row>
    <row r="2507" spans="1:8">
      <c r="H2507" s="136" t="s">
        <v>1561</v>
      </c>
    </row>
    <row r="2508" spans="1:8">
      <c r="H2508" s="137" t="s">
        <v>1564</v>
      </c>
    </row>
    <row r="2509" spans="1:8">
      <c r="H2509" s="138" t="s">
        <v>1563</v>
      </c>
    </row>
    <row r="2510" spans="1:8">
      <c r="H2510" s="138" t="s">
        <v>677</v>
      </c>
    </row>
    <row r="2511" spans="1:8">
      <c r="H2511" s="138" t="s">
        <v>1508</v>
      </c>
    </row>
    <row r="2512" spans="1:8">
      <c r="H2512" s="138" t="s">
        <v>1558</v>
      </c>
    </row>
    <row r="2513" spans="1:8">
      <c r="H2513" s="139" t="s">
        <v>1436</v>
      </c>
    </row>
    <row r="2514" spans="1:8">
      <c r="A2514" s="270">
        <v>44970</v>
      </c>
      <c r="B2514" s="267"/>
      <c r="C2514" s="267" t="s">
        <v>287</v>
      </c>
      <c r="D2514" s="3" t="s">
        <v>1315</v>
      </c>
      <c r="E2514" s="1497" t="s">
        <v>1566</v>
      </c>
      <c r="F2514" s="1497"/>
      <c r="G2514" s="267" t="s">
        <v>27</v>
      </c>
      <c r="H2514" s="3"/>
    </row>
    <row r="2515" spans="1:8">
      <c r="A2515" s="270">
        <v>44970</v>
      </c>
      <c r="B2515" s="267"/>
      <c r="C2515" s="267" t="s">
        <v>55</v>
      </c>
      <c r="D2515" s="3" t="s">
        <v>1567</v>
      </c>
      <c r="E2515" s="1497">
        <v>1950</v>
      </c>
      <c r="F2515" s="1497"/>
      <c r="G2515" s="267" t="s">
        <v>27</v>
      </c>
      <c r="H2515" s="3"/>
    </row>
    <row r="2516" spans="1:8">
      <c r="A2516" s="270">
        <v>44970</v>
      </c>
      <c r="B2516" s="267"/>
      <c r="C2516" s="267" t="s">
        <v>55</v>
      </c>
      <c r="D2516" s="3" t="s">
        <v>1565</v>
      </c>
      <c r="E2516" s="1497">
        <v>1000</v>
      </c>
      <c r="F2516" s="1497"/>
      <c r="G2516" s="267" t="s">
        <v>27</v>
      </c>
      <c r="H2516" s="3"/>
    </row>
    <row r="2517" spans="1:8">
      <c r="A2517" s="270">
        <v>44970</v>
      </c>
      <c r="B2517" s="267"/>
      <c r="C2517" s="267" t="s">
        <v>77</v>
      </c>
      <c r="D2517" s="3" t="s">
        <v>1568</v>
      </c>
      <c r="E2517" s="1497"/>
      <c r="F2517" s="1497">
        <v>73460.210000000006</v>
      </c>
      <c r="G2517" s="267" t="s">
        <v>27</v>
      </c>
      <c r="H2517" s="3"/>
    </row>
    <row r="2518" spans="1:8">
      <c r="A2518" s="270">
        <v>44970</v>
      </c>
      <c r="B2518" s="267"/>
      <c r="C2518" s="267" t="s">
        <v>55</v>
      </c>
      <c r="D2518" s="3" t="s">
        <v>257</v>
      </c>
      <c r="F2518" s="1497"/>
      <c r="G2518" s="267" t="s">
        <v>27</v>
      </c>
      <c r="H2518" s="3"/>
    </row>
    <row r="2519" spans="1:8">
      <c r="A2519" s="270">
        <v>44970</v>
      </c>
      <c r="B2519" s="267"/>
      <c r="C2519" s="267" t="s">
        <v>55</v>
      </c>
      <c r="D2519" s="3" t="s">
        <v>1567</v>
      </c>
      <c r="E2519" s="1497">
        <v>6200</v>
      </c>
      <c r="F2519" s="1497"/>
      <c r="G2519" s="267" t="s">
        <v>56</v>
      </c>
      <c r="H2519" s="3"/>
    </row>
    <row r="2520" spans="1:8">
      <c r="A2520" s="270">
        <v>44970</v>
      </c>
      <c r="B2520" s="267"/>
      <c r="C2520" s="267" t="s">
        <v>55</v>
      </c>
      <c r="D2520" s="3" t="s">
        <v>1574</v>
      </c>
      <c r="E2520" s="1497">
        <v>575</v>
      </c>
      <c r="F2520" s="1497"/>
      <c r="G2520" s="267" t="s">
        <v>56</v>
      </c>
      <c r="H2520" s="3"/>
    </row>
    <row r="2521" spans="1:8">
      <c r="A2521" s="270">
        <v>44970</v>
      </c>
      <c r="B2521" s="267"/>
      <c r="C2521" s="267" t="s">
        <v>55</v>
      </c>
      <c r="D2521" s="3" t="s">
        <v>238</v>
      </c>
      <c r="E2521" s="1497">
        <v>584</v>
      </c>
      <c r="F2521" s="1497"/>
      <c r="G2521" s="267" t="s">
        <v>56</v>
      </c>
      <c r="H2521" s="3"/>
    </row>
    <row r="2522" spans="1:8">
      <c r="A2522" s="270">
        <v>44971</v>
      </c>
      <c r="B2522" s="267"/>
      <c r="C2522" s="267" t="s">
        <v>94</v>
      </c>
      <c r="D2522" s="3" t="s">
        <v>1569</v>
      </c>
      <c r="E2522" s="1497">
        <v>3195.94</v>
      </c>
      <c r="F2522" s="1497"/>
      <c r="G2522" s="267" t="s">
        <v>27</v>
      </c>
      <c r="H2522" s="3"/>
    </row>
    <row r="2523" spans="1:8">
      <c r="A2523" s="270">
        <v>44971</v>
      </c>
      <c r="B2523" s="267"/>
      <c r="C2523" s="267" t="s">
        <v>94</v>
      </c>
      <c r="D2523" s="3" t="s">
        <v>1570</v>
      </c>
      <c r="E2523" s="1497">
        <v>2123.87</v>
      </c>
      <c r="F2523" s="1497"/>
      <c r="G2523" s="267" t="s">
        <v>27</v>
      </c>
      <c r="H2523" s="3"/>
    </row>
    <row r="2524" spans="1:8">
      <c r="A2524" s="270">
        <v>44971</v>
      </c>
      <c r="B2524" s="267"/>
      <c r="C2524" s="267" t="s">
        <v>94</v>
      </c>
      <c r="D2524" s="3" t="s">
        <v>1571</v>
      </c>
      <c r="E2524" s="1497">
        <v>7592.8</v>
      </c>
      <c r="F2524" s="1497"/>
      <c r="G2524" s="267" t="s">
        <v>27</v>
      </c>
      <c r="H2524" s="3"/>
    </row>
    <row r="2525" spans="1:8">
      <c r="A2525" s="270">
        <v>44971</v>
      </c>
      <c r="B2525" s="267"/>
      <c r="C2525" s="267" t="s">
        <v>55</v>
      </c>
      <c r="D2525" s="3" t="s">
        <v>1431</v>
      </c>
      <c r="E2525" s="1497">
        <v>2000</v>
      </c>
      <c r="F2525" s="1497"/>
      <c r="G2525" s="267" t="s">
        <v>56</v>
      </c>
      <c r="H2525" s="3"/>
    </row>
    <row r="2526" spans="1:8">
      <c r="A2526" s="270">
        <v>44971</v>
      </c>
      <c r="B2526" s="267"/>
      <c r="C2526" s="267" t="s">
        <v>65</v>
      </c>
      <c r="D2526" s="3" t="s">
        <v>1572</v>
      </c>
      <c r="E2526" s="1497">
        <v>3215.26</v>
      </c>
      <c r="F2526" s="1497"/>
      <c r="G2526" s="267" t="s">
        <v>27</v>
      </c>
      <c r="H2526" s="3"/>
    </row>
    <row r="2527" spans="1:8">
      <c r="A2527" s="270">
        <v>44971</v>
      </c>
      <c r="B2527" s="267"/>
      <c r="C2527" s="267" t="s">
        <v>77</v>
      </c>
      <c r="D2527" s="3" t="s">
        <v>1573</v>
      </c>
      <c r="E2527" s="1497"/>
      <c r="F2527" s="1497">
        <v>109300</v>
      </c>
      <c r="G2527" s="267" t="s">
        <v>27</v>
      </c>
      <c r="H2527" s="3"/>
    </row>
    <row r="2528" spans="1:8">
      <c r="A2528" s="270">
        <v>44971</v>
      </c>
      <c r="B2528" s="267"/>
      <c r="C2528" s="267" t="s">
        <v>86</v>
      </c>
      <c r="D2528" s="3" t="s">
        <v>104</v>
      </c>
      <c r="E2528" s="1497">
        <v>3065</v>
      </c>
      <c r="F2528" s="1497"/>
      <c r="G2528" s="267" t="s">
        <v>56</v>
      </c>
      <c r="H2528" s="3"/>
    </row>
    <row r="2529" spans="1:8">
      <c r="A2529" s="270">
        <v>44972</v>
      </c>
      <c r="B2529" s="267"/>
      <c r="C2529" s="267" t="s">
        <v>55</v>
      </c>
      <c r="D2529" s="3" t="s">
        <v>1576</v>
      </c>
      <c r="E2529" s="1497">
        <v>599</v>
      </c>
      <c r="F2529" s="1497"/>
      <c r="G2529" s="267" t="s">
        <v>27</v>
      </c>
      <c r="H2529" s="3"/>
    </row>
    <row r="2530" spans="1:8">
      <c r="A2530" s="270">
        <v>44972</v>
      </c>
      <c r="B2530" s="267"/>
      <c r="C2530" s="267" t="s">
        <v>287</v>
      </c>
      <c r="D2530" s="3" t="s">
        <v>450</v>
      </c>
      <c r="E2530" s="1497" t="s">
        <v>1575</v>
      </c>
      <c r="F2530" s="1497"/>
      <c r="G2530" s="267" t="s">
        <v>27</v>
      </c>
      <c r="H2530" s="3"/>
    </row>
    <row r="2531" spans="1:8">
      <c r="A2531" s="270">
        <v>44972</v>
      </c>
      <c r="B2531" s="267"/>
      <c r="C2531" s="267" t="s">
        <v>86</v>
      </c>
      <c r="D2531" s="3" t="s">
        <v>107</v>
      </c>
      <c r="E2531" s="1497">
        <v>1737.71</v>
      </c>
      <c r="F2531" s="1497"/>
      <c r="G2531" s="267" t="s">
        <v>56</v>
      </c>
      <c r="H2531" s="3"/>
    </row>
    <row r="2532" spans="1:8">
      <c r="A2532" s="270">
        <v>44972</v>
      </c>
      <c r="B2532" s="267"/>
      <c r="C2532" s="267" t="s">
        <v>55</v>
      </c>
      <c r="D2532" s="3" t="s">
        <v>1577</v>
      </c>
      <c r="E2532" s="1497">
        <v>1200</v>
      </c>
      <c r="F2532" s="1497"/>
      <c r="G2532" s="267" t="s">
        <v>56</v>
      </c>
      <c r="H2532" s="3"/>
    </row>
    <row r="2533" spans="1:8">
      <c r="A2533" s="270">
        <v>44972</v>
      </c>
      <c r="B2533" s="267"/>
      <c r="C2533" s="267" t="s">
        <v>86</v>
      </c>
      <c r="D2533" s="3" t="s">
        <v>107</v>
      </c>
      <c r="E2533" s="1497">
        <v>4085</v>
      </c>
      <c r="F2533" s="1497"/>
      <c r="G2533" s="267" t="s">
        <v>56</v>
      </c>
      <c r="H2533" s="3"/>
    </row>
    <row r="2534" spans="1:8">
      <c r="A2534" s="270">
        <v>44972</v>
      </c>
      <c r="B2534" s="267"/>
      <c r="C2534" s="267" t="s">
        <v>77</v>
      </c>
      <c r="D2534" s="3" t="s">
        <v>1578</v>
      </c>
      <c r="E2534" s="1497"/>
      <c r="F2534" s="1497">
        <v>162000</v>
      </c>
      <c r="G2534" s="267" t="s">
        <v>56</v>
      </c>
      <c r="H2534" s="3"/>
    </row>
    <row r="2535" spans="1:8">
      <c r="A2535" s="270">
        <v>44972</v>
      </c>
      <c r="B2535" s="267"/>
      <c r="C2535" s="267" t="s">
        <v>205</v>
      </c>
      <c r="D2535" s="3" t="s">
        <v>689</v>
      </c>
      <c r="E2535" s="1497">
        <v>36240</v>
      </c>
      <c r="F2535" s="1497"/>
      <c r="G2535" s="267" t="s">
        <v>27</v>
      </c>
      <c r="H2535" s="3"/>
    </row>
    <row r="2536" spans="1:8">
      <c r="A2536" s="270">
        <v>44972</v>
      </c>
      <c r="B2536" s="267"/>
      <c r="C2536" s="267" t="s">
        <v>77</v>
      </c>
      <c r="D2536" s="3" t="s">
        <v>1579</v>
      </c>
      <c r="E2536" s="1497"/>
      <c r="F2536" s="1497">
        <v>490000</v>
      </c>
      <c r="G2536" s="267" t="s">
        <v>56</v>
      </c>
      <c r="H2536" s="3"/>
    </row>
    <row r="2537" spans="1:8">
      <c r="A2537" s="270">
        <v>44972</v>
      </c>
      <c r="B2537" s="267"/>
      <c r="C2537" s="267" t="s">
        <v>79</v>
      </c>
      <c r="D2537" s="3" t="s">
        <v>151</v>
      </c>
      <c r="E2537" s="1497">
        <v>5000</v>
      </c>
      <c r="F2537" s="1497"/>
      <c r="G2537" s="267" t="s">
        <v>56</v>
      </c>
      <c r="H2537" s="3"/>
    </row>
    <row r="2538" spans="1:8">
      <c r="A2538" s="270">
        <v>44973</v>
      </c>
      <c r="B2538" s="267"/>
      <c r="C2538" s="267" t="s">
        <v>55</v>
      </c>
      <c r="D2538" s="3" t="s">
        <v>1546</v>
      </c>
      <c r="E2538" s="1497">
        <v>15000</v>
      </c>
      <c r="F2538" s="1497"/>
      <c r="G2538" s="267" t="s">
        <v>1580</v>
      </c>
      <c r="H2538" s="3"/>
    </row>
    <row r="2539" spans="1:8">
      <c r="A2539" s="73">
        <v>44973</v>
      </c>
      <c r="B2539" s="8"/>
      <c r="C2539" s="8" t="s">
        <v>86</v>
      </c>
      <c r="D2539" s="180" t="s">
        <v>104</v>
      </c>
      <c r="E2539" s="8">
        <v>4084.83</v>
      </c>
      <c r="F2539" s="8"/>
      <c r="G2539" s="8" t="s">
        <v>56</v>
      </c>
      <c r="H2539" s="180" t="s">
        <v>811</v>
      </c>
    </row>
    <row r="2540" spans="1:8">
      <c r="A2540" s="73">
        <v>44973</v>
      </c>
      <c r="B2540" s="8"/>
      <c r="C2540" s="8" t="s">
        <v>831</v>
      </c>
      <c r="D2540" s="180" t="s">
        <v>1500</v>
      </c>
      <c r="E2540" s="8">
        <v>3500</v>
      </c>
      <c r="F2540" s="8"/>
      <c r="G2540" s="8" t="s">
        <v>56</v>
      </c>
      <c r="H2540" s="180" t="s">
        <v>811</v>
      </c>
    </row>
    <row r="2541" spans="1:8">
      <c r="A2541" s="270">
        <v>44973</v>
      </c>
      <c r="B2541" s="267"/>
      <c r="C2541" s="267" t="s">
        <v>62</v>
      </c>
      <c r="D2541" s="3" t="s">
        <v>63</v>
      </c>
      <c r="E2541" s="1497">
        <v>7700.14</v>
      </c>
      <c r="F2541" s="1497"/>
      <c r="G2541" s="267" t="s">
        <v>56</v>
      </c>
      <c r="H2541" s="3"/>
    </row>
    <row r="2542" spans="1:8">
      <c r="A2542" s="270">
        <v>44973</v>
      </c>
      <c r="B2542" s="267"/>
      <c r="C2542" s="267" t="s">
        <v>849</v>
      </c>
      <c r="D2542" s="3" t="s">
        <v>39</v>
      </c>
      <c r="E2542" s="1497">
        <v>28580</v>
      </c>
      <c r="F2542" s="1497"/>
      <c r="G2542" s="267" t="s">
        <v>72</v>
      </c>
      <c r="H2542" s="3"/>
    </row>
    <row r="2543" spans="1:8">
      <c r="A2543" s="270">
        <v>44973</v>
      </c>
      <c r="B2543" s="267"/>
      <c r="C2543" s="267" t="s">
        <v>849</v>
      </c>
      <c r="D2543" s="3" t="s">
        <v>39</v>
      </c>
      <c r="E2543" s="1497">
        <v>920</v>
      </c>
      <c r="F2543" s="1497"/>
      <c r="G2543" s="267" t="s">
        <v>56</v>
      </c>
      <c r="H2543" s="3"/>
    </row>
    <row r="2544" spans="1:8">
      <c r="A2544" s="270">
        <v>44973</v>
      </c>
      <c r="B2544" s="267"/>
      <c r="C2544" s="267" t="s">
        <v>55</v>
      </c>
      <c r="D2544" s="3" t="s">
        <v>1581</v>
      </c>
      <c r="E2544" s="1497">
        <v>5933.36</v>
      </c>
      <c r="F2544" s="1497"/>
      <c r="G2544" s="267" t="s">
        <v>56</v>
      </c>
      <c r="H2544" s="3"/>
    </row>
    <row r="2545" spans="1:8">
      <c r="A2545" s="270">
        <v>44973</v>
      </c>
      <c r="B2545" s="267"/>
      <c r="C2545" s="267" t="s">
        <v>77</v>
      </c>
      <c r="D2545" s="3" t="s">
        <v>272</v>
      </c>
      <c r="E2545" s="1497"/>
      <c r="F2545" s="1497">
        <v>13000</v>
      </c>
      <c r="G2545" s="267" t="s">
        <v>56</v>
      </c>
      <c r="H2545" s="3"/>
    </row>
    <row r="2546" spans="1:8">
      <c r="A2546" s="73">
        <v>44973</v>
      </c>
      <c r="B2546" s="8"/>
      <c r="C2546" s="8" t="s">
        <v>86</v>
      </c>
      <c r="D2546" s="180" t="s">
        <v>104</v>
      </c>
      <c r="E2546" s="8">
        <v>4090</v>
      </c>
      <c r="F2546" s="8"/>
      <c r="G2546" s="8" t="s">
        <v>56</v>
      </c>
      <c r="H2546" s="180" t="s">
        <v>1583</v>
      </c>
    </row>
    <row r="2547" spans="1:8">
      <c r="A2547" s="73">
        <v>44973</v>
      </c>
      <c r="B2547" s="8"/>
      <c r="C2547" s="8" t="s">
        <v>831</v>
      </c>
      <c r="D2547" s="180" t="s">
        <v>1500</v>
      </c>
      <c r="E2547" s="8">
        <v>2900</v>
      </c>
      <c r="F2547" s="8"/>
      <c r="G2547" s="8" t="s">
        <v>56</v>
      </c>
      <c r="H2547" s="180" t="s">
        <v>1583</v>
      </c>
    </row>
    <row r="2548" spans="1:8">
      <c r="A2548" s="270">
        <v>44974</v>
      </c>
      <c r="B2548" s="267"/>
      <c r="C2548" s="267" t="s">
        <v>92</v>
      </c>
      <c r="D2548" s="3" t="s">
        <v>1533</v>
      </c>
      <c r="E2548" s="1497"/>
      <c r="F2548" s="1497">
        <v>144800</v>
      </c>
      <c r="G2548" s="267" t="s">
        <v>287</v>
      </c>
      <c r="H2548" s="3"/>
    </row>
    <row r="2549" spans="1:8">
      <c r="A2549" s="270">
        <v>44974</v>
      </c>
      <c r="B2549" s="267"/>
      <c r="C2549" s="267" t="s">
        <v>79</v>
      </c>
      <c r="D2549" s="3" t="s">
        <v>151</v>
      </c>
      <c r="E2549" s="1497">
        <v>2500</v>
      </c>
      <c r="F2549" s="1497"/>
      <c r="G2549" s="267" t="s">
        <v>56</v>
      </c>
      <c r="H2549" s="3"/>
    </row>
    <row r="2550" spans="1:8">
      <c r="A2550" s="270">
        <v>44974</v>
      </c>
      <c r="B2550" s="267"/>
      <c r="C2550" s="267" t="s">
        <v>205</v>
      </c>
      <c r="D2550" s="3" t="s">
        <v>80</v>
      </c>
      <c r="E2550" s="1497">
        <v>5000</v>
      </c>
      <c r="F2550" s="1497"/>
      <c r="G2550" s="267" t="s">
        <v>56</v>
      </c>
      <c r="H2550" s="3"/>
    </row>
    <row r="2551" spans="1:8">
      <c r="A2551" s="267"/>
      <c r="B2551" s="267"/>
      <c r="C2551" s="267"/>
      <c r="D2551" s="3" t="s">
        <v>219</v>
      </c>
      <c r="E2551" s="1497">
        <v>37500</v>
      </c>
      <c r="F2551" s="1497"/>
      <c r="G2551" s="267" t="s">
        <v>56</v>
      </c>
      <c r="H2551" s="3"/>
    </row>
    <row r="2552" spans="1:8">
      <c r="A2552" s="267"/>
      <c r="B2552" s="267"/>
      <c r="C2552" s="267"/>
      <c r="D2552" s="3" t="s">
        <v>575</v>
      </c>
      <c r="E2552" s="1497">
        <v>25000</v>
      </c>
      <c r="F2552" s="1497"/>
      <c r="G2552" s="267" t="s">
        <v>56</v>
      </c>
      <c r="H2552" s="3"/>
    </row>
    <row r="2553" spans="1:8">
      <c r="A2553" s="267"/>
      <c r="B2553" s="267"/>
      <c r="C2553" s="267"/>
      <c r="D2553" s="3"/>
      <c r="E2553" s="1497">
        <v>57500</v>
      </c>
      <c r="F2553" s="1497"/>
      <c r="G2553" s="267" t="s">
        <v>56</v>
      </c>
      <c r="H2553" s="3"/>
    </row>
    <row r="2554" spans="1:8">
      <c r="A2554" s="267"/>
      <c r="B2554" s="267"/>
      <c r="C2554" s="267"/>
      <c r="D2554" s="3"/>
      <c r="E2554" s="1497">
        <v>23000</v>
      </c>
      <c r="F2554" s="1497"/>
      <c r="G2554" s="267" t="s">
        <v>56</v>
      </c>
      <c r="H2554" s="3"/>
    </row>
    <row r="2555" spans="1:8">
      <c r="A2555" s="267"/>
      <c r="B2555" s="267"/>
      <c r="C2555" s="267"/>
      <c r="D2555" s="3"/>
      <c r="E2555" s="1497"/>
      <c r="F2555" s="1497"/>
      <c r="G2555" s="267"/>
      <c r="H2555" s="3"/>
    </row>
    <row r="2556" spans="1:8">
      <c r="H2556" s="122" t="s">
        <v>1582</v>
      </c>
    </row>
    <row r="2557" spans="1:8">
      <c r="H2557" s="133" t="s">
        <v>1589</v>
      </c>
    </row>
    <row r="2558" spans="1:8">
      <c r="H2558" s="132" t="s">
        <v>1588</v>
      </c>
    </row>
    <row r="2559" spans="1:8">
      <c r="H2559" s="117" t="s">
        <v>1584</v>
      </c>
    </row>
    <row r="2560" spans="1:8">
      <c r="H2560" s="117" t="s">
        <v>1587</v>
      </c>
    </row>
    <row r="2561" spans="1:8">
      <c r="H2561" s="117" t="s">
        <v>1508</v>
      </c>
    </row>
    <row r="2562" spans="1:8">
      <c r="H2562" s="117" t="s">
        <v>1586</v>
      </c>
    </row>
    <row r="2563" spans="1:8">
      <c r="H2563" s="118" t="s">
        <v>1585</v>
      </c>
    </row>
    <row r="2564" spans="1:8">
      <c r="A2564" s="270">
        <v>44975</v>
      </c>
      <c r="B2564" s="267"/>
      <c r="C2564" s="267" t="s">
        <v>77</v>
      </c>
      <c r="D2564" s="3" t="s">
        <v>1590</v>
      </c>
      <c r="E2564" s="1497"/>
      <c r="F2564" s="1497">
        <v>12500</v>
      </c>
      <c r="G2564" s="267" t="s">
        <v>56</v>
      </c>
      <c r="H2564" s="3"/>
    </row>
    <row r="2565" spans="1:8">
      <c r="A2565" s="270">
        <v>44975</v>
      </c>
      <c r="B2565" s="267"/>
      <c r="C2565" s="267" t="s">
        <v>205</v>
      </c>
      <c r="D2565" s="3" t="s">
        <v>71</v>
      </c>
      <c r="E2565" s="1497">
        <v>255000</v>
      </c>
      <c r="F2565" s="1497"/>
      <c r="G2565" s="267" t="s">
        <v>56</v>
      </c>
      <c r="H2565" s="3"/>
    </row>
    <row r="2566" spans="1:8">
      <c r="A2566" s="270">
        <v>44979</v>
      </c>
      <c r="B2566" s="267"/>
      <c r="C2566" s="267" t="s">
        <v>55</v>
      </c>
      <c r="D2566" s="3" t="s">
        <v>1591</v>
      </c>
      <c r="E2566" s="1497">
        <v>600</v>
      </c>
      <c r="F2566" s="1497"/>
      <c r="G2566" s="267" t="s">
        <v>56</v>
      </c>
      <c r="H2566" s="3"/>
    </row>
    <row r="2567" spans="1:8">
      <c r="A2567" s="270">
        <v>44979</v>
      </c>
      <c r="B2567" s="267"/>
      <c r="C2567" s="267" t="s">
        <v>55</v>
      </c>
      <c r="D2567" s="3" t="s">
        <v>1592</v>
      </c>
      <c r="E2567" s="1497">
        <v>2400</v>
      </c>
      <c r="F2567" s="1497"/>
      <c r="G2567" s="267" t="s">
        <v>56</v>
      </c>
      <c r="H2567" s="3"/>
    </row>
    <row r="2568" spans="1:8">
      <c r="A2568" s="270">
        <v>44979</v>
      </c>
      <c r="B2568" s="267"/>
      <c r="C2568" s="267" t="s">
        <v>205</v>
      </c>
      <c r="D2568" s="3" t="s">
        <v>207</v>
      </c>
      <c r="E2568" s="1497">
        <v>74800</v>
      </c>
      <c r="F2568" s="1497"/>
      <c r="G2568" s="267" t="s">
        <v>287</v>
      </c>
      <c r="H2568" s="3"/>
    </row>
    <row r="2569" spans="1:8">
      <c r="A2569" s="270">
        <v>44979</v>
      </c>
      <c r="B2569" s="267"/>
      <c r="C2569" s="267" t="s">
        <v>205</v>
      </c>
      <c r="D2569" s="3" t="s">
        <v>11</v>
      </c>
      <c r="E2569" s="1497" t="s">
        <v>1595</v>
      </c>
      <c r="F2569" s="1497"/>
      <c r="G2569" s="267" t="s">
        <v>27</v>
      </c>
      <c r="H2569" s="3"/>
    </row>
    <row r="2570" spans="1:8">
      <c r="A2570" s="270">
        <v>45007</v>
      </c>
      <c r="B2570" s="267"/>
      <c r="C2570" s="267" t="s">
        <v>55</v>
      </c>
      <c r="D2570" s="3" t="s">
        <v>1593</v>
      </c>
      <c r="E2570" s="1497">
        <v>3600</v>
      </c>
      <c r="F2570" s="1497"/>
      <c r="G2570" s="267" t="s">
        <v>27</v>
      </c>
      <c r="H2570" s="3"/>
    </row>
    <row r="2571" spans="1:8">
      <c r="A2571" s="270">
        <v>45007</v>
      </c>
      <c r="B2571" s="267"/>
      <c r="C2571" s="267" t="s">
        <v>79</v>
      </c>
      <c r="D2571" s="3" t="s">
        <v>1594</v>
      </c>
      <c r="E2571" s="1497">
        <v>12000</v>
      </c>
      <c r="F2571" s="1497"/>
      <c r="G2571" s="267" t="s">
        <v>27</v>
      </c>
      <c r="H2571" s="3"/>
    </row>
    <row r="2572" spans="1:8">
      <c r="A2572" s="270">
        <v>44980</v>
      </c>
      <c r="B2572" s="267"/>
      <c r="C2572" s="267" t="s">
        <v>1597</v>
      </c>
      <c r="D2572" s="3" t="s">
        <v>1531</v>
      </c>
      <c r="E2572" s="1497"/>
      <c r="F2572" s="1497">
        <v>6600</v>
      </c>
      <c r="G2572" s="267" t="s">
        <v>56</v>
      </c>
      <c r="H2572" s="3"/>
    </row>
    <row r="2573" spans="1:8">
      <c r="A2573" s="270">
        <v>44980</v>
      </c>
      <c r="B2573" s="267"/>
      <c r="C2573" s="267" t="s">
        <v>90</v>
      </c>
      <c r="D2573" s="3" t="s">
        <v>1598</v>
      </c>
      <c r="E2573" s="1497">
        <v>12000</v>
      </c>
      <c r="F2573" s="1497"/>
      <c r="G2573" s="267" t="s">
        <v>56</v>
      </c>
      <c r="H2573" s="3"/>
    </row>
    <row r="2574" spans="1:8">
      <c r="A2574" s="270">
        <v>44980</v>
      </c>
      <c r="B2574" s="267"/>
      <c r="C2574" s="267" t="s">
        <v>150</v>
      </c>
      <c r="D2574" s="3" t="s">
        <v>319</v>
      </c>
      <c r="E2574" s="1497">
        <v>70000</v>
      </c>
      <c r="F2574" s="1497"/>
      <c r="G2574" s="267" t="s">
        <v>56</v>
      </c>
      <c r="H2574" s="3"/>
    </row>
    <row r="2575" spans="1:8">
      <c r="A2575" s="270">
        <v>44980</v>
      </c>
      <c r="B2575" s="267"/>
      <c r="C2575" s="267" t="s">
        <v>79</v>
      </c>
      <c r="D2575" s="3" t="s">
        <v>1601</v>
      </c>
      <c r="E2575" s="1497">
        <v>25500</v>
      </c>
      <c r="F2575" s="1497"/>
      <c r="G2575" s="267" t="s">
        <v>56</v>
      </c>
      <c r="H2575" s="3"/>
    </row>
    <row r="2576" spans="1:8">
      <c r="A2576" s="270">
        <v>44980</v>
      </c>
      <c r="B2576" s="267"/>
      <c r="C2576" s="267" t="s">
        <v>92</v>
      </c>
      <c r="D2576" s="3" t="s">
        <v>1599</v>
      </c>
      <c r="E2576" s="1497"/>
      <c r="F2576" s="1497">
        <v>40000</v>
      </c>
      <c r="G2576" s="267" t="s">
        <v>56</v>
      </c>
      <c r="H2576" s="3" t="s">
        <v>1600</v>
      </c>
    </row>
    <row r="2577" spans="1:8" ht="38.25" customHeight="1">
      <c r="A2577" s="116">
        <v>44980</v>
      </c>
      <c r="B2577" s="51"/>
      <c r="C2577" s="51" t="s">
        <v>205</v>
      </c>
      <c r="D2577" s="52" t="s">
        <v>190</v>
      </c>
      <c r="E2577" s="51">
        <v>136000</v>
      </c>
      <c r="F2577" s="51"/>
      <c r="G2577" s="51" t="s">
        <v>72</v>
      </c>
      <c r="H2577" s="48" t="s">
        <v>1607</v>
      </c>
    </row>
    <row r="2578" spans="1:8">
      <c r="A2578" s="270">
        <v>44980</v>
      </c>
      <c r="B2578" s="267"/>
      <c r="C2578" s="267" t="s">
        <v>160</v>
      </c>
      <c r="D2578" s="3" t="s">
        <v>1602</v>
      </c>
      <c r="E2578" s="1497"/>
      <c r="F2578" s="1497">
        <v>3250</v>
      </c>
      <c r="G2578" s="267" t="s">
        <v>56</v>
      </c>
      <c r="H2578" s="134" t="s">
        <v>1604</v>
      </c>
    </row>
    <row r="2579" spans="1:8">
      <c r="A2579" s="270">
        <v>44980</v>
      </c>
      <c r="B2579" s="267"/>
      <c r="C2579" s="267" t="s">
        <v>160</v>
      </c>
      <c r="D2579" s="3" t="s">
        <v>1603</v>
      </c>
      <c r="E2579" s="1497"/>
      <c r="F2579" s="1497">
        <v>7600</v>
      </c>
      <c r="G2579" s="267" t="s">
        <v>27</v>
      </c>
      <c r="H2579" s="3" t="s">
        <v>1151</v>
      </c>
    </row>
    <row r="2580" spans="1:8">
      <c r="A2580" s="270">
        <v>44980</v>
      </c>
      <c r="B2580" s="267"/>
      <c r="C2580" s="267" t="s">
        <v>92</v>
      </c>
      <c r="D2580" s="3" t="s">
        <v>1254</v>
      </c>
      <c r="E2580" s="1497"/>
      <c r="F2580" s="1497">
        <v>16800</v>
      </c>
      <c r="G2580" s="267" t="s">
        <v>27</v>
      </c>
      <c r="H2580" s="3"/>
    </row>
    <row r="2581" spans="1:8">
      <c r="A2581" s="270">
        <v>44980</v>
      </c>
      <c r="B2581" s="267"/>
      <c r="C2581" s="267" t="s">
        <v>205</v>
      </c>
      <c r="D2581" s="3" t="s">
        <v>63</v>
      </c>
      <c r="E2581" s="1497">
        <v>1430.99</v>
      </c>
      <c r="F2581" s="1497"/>
      <c r="G2581" s="267" t="s">
        <v>56</v>
      </c>
      <c r="H2581" s="3"/>
    </row>
    <row r="2582" spans="1:8">
      <c r="A2582" s="270">
        <v>44980</v>
      </c>
      <c r="B2582" s="267"/>
      <c r="C2582" s="267" t="s">
        <v>79</v>
      </c>
      <c r="D2582" s="3" t="s">
        <v>166</v>
      </c>
      <c r="E2582" s="1497">
        <v>50000</v>
      </c>
      <c r="F2582" s="1497"/>
      <c r="G2582" s="267" t="s">
        <v>27</v>
      </c>
      <c r="H2582" s="3"/>
    </row>
    <row r="2583" spans="1:8">
      <c r="A2583" s="270">
        <v>44980</v>
      </c>
      <c r="B2583" s="267"/>
      <c r="C2583" s="267" t="s">
        <v>205</v>
      </c>
      <c r="D2583" s="3" t="s">
        <v>207</v>
      </c>
      <c r="E2583" s="1497">
        <v>74800</v>
      </c>
      <c r="F2583" s="1497"/>
      <c r="G2583" s="267" t="s">
        <v>287</v>
      </c>
      <c r="H2583" s="3"/>
    </row>
    <row r="2584" spans="1:8">
      <c r="A2584" s="270"/>
      <c r="B2584" s="267"/>
      <c r="C2584" s="267"/>
      <c r="D2584" s="3" t="s">
        <v>12</v>
      </c>
      <c r="E2584" s="1497">
        <v>357500</v>
      </c>
      <c r="F2584" s="1497"/>
      <c r="G2584" s="267" t="s">
        <v>72</v>
      </c>
      <c r="H2584" s="3" t="s">
        <v>1618</v>
      </c>
    </row>
    <row r="2585" spans="1:8">
      <c r="A2585" s="270">
        <v>44981</v>
      </c>
      <c r="B2585" s="267"/>
      <c r="C2585" s="267" t="s">
        <v>88</v>
      </c>
      <c r="D2585" s="3" t="s">
        <v>1608</v>
      </c>
      <c r="E2585" s="1497">
        <v>10276.219999999999</v>
      </c>
      <c r="F2585" s="1497"/>
      <c r="G2585" s="267" t="s">
        <v>27</v>
      </c>
      <c r="H2585" s="3"/>
    </row>
    <row r="2586" spans="1:8">
      <c r="A2586" s="270">
        <v>44981</v>
      </c>
      <c r="B2586" s="267"/>
      <c r="C2586" s="267" t="s">
        <v>79</v>
      </c>
      <c r="D2586" s="3" t="s">
        <v>181</v>
      </c>
      <c r="E2586" s="1497">
        <v>4782.9799999999996</v>
      </c>
      <c r="F2586" s="1497"/>
      <c r="G2586" s="267" t="s">
        <v>27</v>
      </c>
      <c r="H2586" s="3"/>
    </row>
    <row r="2587" spans="1:8">
      <c r="A2587" s="270">
        <v>44981</v>
      </c>
      <c r="B2587" s="267"/>
      <c r="C2587" s="267" t="s">
        <v>79</v>
      </c>
      <c r="D2587" s="3" t="s">
        <v>1609</v>
      </c>
      <c r="E2587" s="1497">
        <v>1238.4100000000001</v>
      </c>
      <c r="F2587" s="1497"/>
      <c r="G2587" s="267" t="s">
        <v>27</v>
      </c>
      <c r="H2587" s="3"/>
    </row>
    <row r="2588" spans="1:8">
      <c r="A2588" s="270">
        <v>44981</v>
      </c>
      <c r="B2588" s="267"/>
      <c r="C2588" s="267" t="s">
        <v>79</v>
      </c>
      <c r="D2588" s="3" t="s">
        <v>1609</v>
      </c>
      <c r="E2588" s="1497">
        <v>1238.4100000000001</v>
      </c>
      <c r="F2588" s="1497"/>
      <c r="G2588" s="267" t="s">
        <v>27</v>
      </c>
      <c r="H2588" s="3"/>
    </row>
    <row r="2589" spans="1:8">
      <c r="A2589" s="270">
        <v>44981</v>
      </c>
      <c r="B2589" s="267"/>
      <c r="C2589" s="267" t="s">
        <v>88</v>
      </c>
      <c r="D2589" s="3" t="s">
        <v>750</v>
      </c>
      <c r="E2589" s="1497">
        <v>37500</v>
      </c>
      <c r="F2589" s="1497"/>
      <c r="G2589" s="267" t="s">
        <v>56</v>
      </c>
      <c r="H2589" s="3"/>
    </row>
    <row r="2590" spans="1:8">
      <c r="A2590" s="270">
        <v>44981</v>
      </c>
      <c r="B2590" s="267"/>
      <c r="C2590" s="267" t="s">
        <v>88</v>
      </c>
      <c r="D2590" s="15" t="s">
        <v>220</v>
      </c>
      <c r="E2590" s="1497">
        <v>25000</v>
      </c>
      <c r="F2590" s="1497"/>
      <c r="G2590" s="267" t="s">
        <v>56</v>
      </c>
      <c r="H2590" s="3"/>
    </row>
    <row r="2591" spans="1:8">
      <c r="A2591" s="270">
        <v>44981</v>
      </c>
      <c r="B2591" s="267"/>
      <c r="C2591" s="267" t="s">
        <v>88</v>
      </c>
      <c r="D2591" s="15" t="s">
        <v>364</v>
      </c>
      <c r="E2591" s="1497">
        <v>23000</v>
      </c>
      <c r="F2591" s="1497"/>
      <c r="G2591" s="267" t="s">
        <v>56</v>
      </c>
      <c r="H2591" s="3"/>
    </row>
    <row r="2592" spans="1:8">
      <c r="A2592" s="270">
        <v>44981</v>
      </c>
      <c r="B2592" s="267"/>
      <c r="C2592" s="267" t="s">
        <v>88</v>
      </c>
      <c r="D2592" s="15" t="s">
        <v>259</v>
      </c>
      <c r="E2592" s="1497">
        <v>57500</v>
      </c>
      <c r="F2592" s="1497"/>
      <c r="G2592" s="267" t="s">
        <v>56</v>
      </c>
      <c r="H2592" s="3"/>
    </row>
    <row r="2593" spans="1:8">
      <c r="A2593" s="267"/>
      <c r="B2593" s="267"/>
      <c r="C2593" s="267"/>
      <c r="D2593" s="3"/>
      <c r="E2593" s="1497"/>
      <c r="F2593" s="1497"/>
      <c r="G2593" s="267"/>
      <c r="H2593" s="3"/>
    </row>
    <row r="2595" spans="1:8">
      <c r="H2595" s="128" t="s">
        <v>1610</v>
      </c>
    </row>
    <row r="2596" spans="1:8">
      <c r="H2596" s="133" t="s">
        <v>1615</v>
      </c>
    </row>
    <row r="2597" spans="1:8">
      <c r="H2597" s="132" t="s">
        <v>1614</v>
      </c>
    </row>
    <row r="2598" spans="1:8">
      <c r="H2598" s="117" t="s">
        <v>1611</v>
      </c>
    </row>
    <row r="2599" spans="1:8">
      <c r="H2599" s="117" t="s">
        <v>1612</v>
      </c>
    </row>
    <row r="2600" spans="1:8">
      <c r="H2600" s="117" t="s">
        <v>1508</v>
      </c>
    </row>
    <row r="2601" spans="1:8">
      <c r="H2601" s="117" t="s">
        <v>1617</v>
      </c>
    </row>
    <row r="2602" spans="1:8">
      <c r="H2602" s="118" t="s">
        <v>1613</v>
      </c>
    </row>
    <row r="2603" spans="1:8">
      <c r="A2603" s="270">
        <v>45012</v>
      </c>
      <c r="B2603" s="267"/>
      <c r="C2603" s="267" t="s">
        <v>205</v>
      </c>
      <c r="D2603" s="3" t="s">
        <v>71</v>
      </c>
      <c r="E2603" s="1497">
        <v>10000</v>
      </c>
      <c r="F2603" s="1497"/>
      <c r="G2603" s="267" t="s">
        <v>56</v>
      </c>
      <c r="H2603" s="126"/>
    </row>
    <row r="2604" spans="1:8">
      <c r="A2604" s="270">
        <v>45012</v>
      </c>
      <c r="B2604" s="267"/>
      <c r="C2604" s="267" t="s">
        <v>150</v>
      </c>
      <c r="D2604" s="3" t="s">
        <v>319</v>
      </c>
      <c r="E2604" s="1497">
        <v>25000</v>
      </c>
      <c r="F2604" s="1497"/>
      <c r="G2604" s="267" t="s">
        <v>56</v>
      </c>
      <c r="H2604" s="3"/>
    </row>
    <row r="2605" spans="1:8">
      <c r="A2605" s="270">
        <v>45012</v>
      </c>
      <c r="B2605" s="267"/>
      <c r="C2605" s="267" t="s">
        <v>21</v>
      </c>
      <c r="D2605" s="3" t="s">
        <v>156</v>
      </c>
      <c r="E2605" s="1497">
        <v>5226.76</v>
      </c>
      <c r="F2605" s="1497"/>
      <c r="G2605" s="267" t="s">
        <v>27</v>
      </c>
      <c r="H2605" s="3"/>
    </row>
    <row r="2606" spans="1:8">
      <c r="A2606" s="270">
        <v>45012</v>
      </c>
      <c r="B2606" s="267"/>
      <c r="C2606" s="267" t="s">
        <v>205</v>
      </c>
      <c r="D2606" s="3" t="s">
        <v>11</v>
      </c>
      <c r="E2606" s="1497">
        <v>61270</v>
      </c>
      <c r="F2606" s="1497"/>
      <c r="G2606" s="267" t="s">
        <v>287</v>
      </c>
      <c r="H2606" s="3"/>
    </row>
    <row r="2607" spans="1:8">
      <c r="A2607" s="270">
        <v>45012</v>
      </c>
      <c r="B2607" s="267"/>
      <c r="C2607" s="267" t="s">
        <v>150</v>
      </c>
      <c r="D2607" s="3" t="s">
        <v>1619</v>
      </c>
      <c r="E2607" s="1497">
        <v>5136.8500000000004</v>
      </c>
      <c r="F2607" s="1497"/>
      <c r="G2607" s="267" t="s">
        <v>27</v>
      </c>
      <c r="H2607" s="3"/>
    </row>
    <row r="2608" spans="1:8">
      <c r="A2608" s="270">
        <v>44984</v>
      </c>
      <c r="B2608" s="267"/>
      <c r="C2608" s="267" t="s">
        <v>92</v>
      </c>
      <c r="D2608" s="3" t="s">
        <v>1620</v>
      </c>
      <c r="E2608" s="1497"/>
      <c r="F2608" s="1497">
        <v>81400</v>
      </c>
      <c r="G2608" s="267" t="s">
        <v>27</v>
      </c>
      <c r="H2608" s="3"/>
    </row>
    <row r="2609" spans="1:8">
      <c r="A2609" s="270">
        <v>44984</v>
      </c>
      <c r="B2609" s="267"/>
      <c r="C2609" s="267" t="s">
        <v>88</v>
      </c>
      <c r="D2609" s="3" t="s">
        <v>1622</v>
      </c>
      <c r="E2609" s="1497">
        <v>4500</v>
      </c>
      <c r="F2609" s="1497"/>
      <c r="G2609" s="267" t="s">
        <v>56</v>
      </c>
      <c r="H2609" s="3"/>
    </row>
    <row r="2610" spans="1:8">
      <c r="A2610" s="270">
        <v>44984</v>
      </c>
      <c r="B2610" s="267"/>
      <c r="C2610" s="267" t="s">
        <v>88</v>
      </c>
      <c r="D2610" s="3" t="s">
        <v>1623</v>
      </c>
      <c r="E2610" s="1497">
        <v>2640</v>
      </c>
      <c r="F2610" s="1497"/>
      <c r="G2610" s="267" t="s">
        <v>56</v>
      </c>
      <c r="H2610" s="3"/>
    </row>
    <row r="2611" spans="1:8">
      <c r="A2611" s="270">
        <v>44984</v>
      </c>
      <c r="B2611" s="267"/>
      <c r="C2611" s="267" t="s">
        <v>55</v>
      </c>
      <c r="D2611" s="3" t="s">
        <v>1621</v>
      </c>
      <c r="E2611" s="1497">
        <v>2350</v>
      </c>
      <c r="F2611" s="1497"/>
      <c r="G2611" s="267" t="s">
        <v>56</v>
      </c>
      <c r="H2611" s="3"/>
    </row>
    <row r="2612" spans="1:8">
      <c r="A2612" s="112">
        <v>44984</v>
      </c>
      <c r="B2612" s="70"/>
      <c r="C2612" s="70"/>
      <c r="D2612" s="113" t="s">
        <v>831</v>
      </c>
      <c r="E2612" s="70">
        <v>4000</v>
      </c>
      <c r="F2612" s="70"/>
      <c r="G2612" s="70" t="s">
        <v>56</v>
      </c>
      <c r="H2612" s="113" t="s">
        <v>1616</v>
      </c>
    </row>
    <row r="2613" spans="1:8">
      <c r="A2613" s="270">
        <v>44984</v>
      </c>
      <c r="B2613" s="267"/>
      <c r="C2613" s="267" t="s">
        <v>156</v>
      </c>
      <c r="D2613" s="3" t="s">
        <v>156</v>
      </c>
      <c r="E2613" s="1497">
        <v>15389.38</v>
      </c>
      <c r="F2613" s="1497"/>
      <c r="G2613" s="267"/>
      <c r="H2613" s="3"/>
    </row>
    <row r="2614" spans="1:8">
      <c r="A2614" s="270">
        <v>44984</v>
      </c>
      <c r="B2614" s="267"/>
      <c r="C2614" s="267" t="s">
        <v>1625</v>
      </c>
      <c r="D2614" s="3" t="s">
        <v>1624</v>
      </c>
      <c r="E2614" s="1497"/>
      <c r="F2614" s="1497">
        <v>94400</v>
      </c>
      <c r="G2614" s="267" t="s">
        <v>56</v>
      </c>
      <c r="H2614" s="3"/>
    </row>
    <row r="2615" spans="1:8">
      <c r="A2615" s="270">
        <v>44984</v>
      </c>
      <c r="B2615" s="267"/>
      <c r="C2615" s="267" t="s">
        <v>55</v>
      </c>
      <c r="D2615" s="3" t="s">
        <v>70</v>
      </c>
      <c r="E2615" s="1497">
        <v>1290</v>
      </c>
      <c r="F2615" s="1497"/>
      <c r="G2615" s="267" t="s">
        <v>56</v>
      </c>
      <c r="H2615" s="3"/>
    </row>
    <row r="2616" spans="1:8">
      <c r="A2616" s="270">
        <v>44984</v>
      </c>
      <c r="B2616" s="267"/>
      <c r="C2616" s="267" t="s">
        <v>94</v>
      </c>
      <c r="D2616" s="3" t="s">
        <v>13</v>
      </c>
      <c r="E2616" s="1497">
        <v>1665.81</v>
      </c>
      <c r="F2616" s="1497"/>
      <c r="G2616" s="267" t="s">
        <v>27</v>
      </c>
      <c r="H2616" s="3"/>
    </row>
    <row r="2617" spans="1:8">
      <c r="A2617" s="270">
        <v>44984</v>
      </c>
      <c r="B2617" s="267"/>
      <c r="C2617" s="267" t="s">
        <v>79</v>
      </c>
      <c r="D2617" s="3" t="s">
        <v>277</v>
      </c>
      <c r="E2617" s="1497">
        <v>3000</v>
      </c>
      <c r="F2617" s="1497"/>
      <c r="G2617" s="267" t="s">
        <v>56</v>
      </c>
      <c r="H2617" s="3"/>
    </row>
    <row r="2618" spans="1:8">
      <c r="A2618" s="270">
        <v>44985</v>
      </c>
      <c r="B2618" s="267"/>
      <c r="C2618" s="267" t="s">
        <v>160</v>
      </c>
      <c r="D2618" s="3" t="s">
        <v>1626</v>
      </c>
      <c r="E2618" s="1497"/>
      <c r="F2618" s="1497">
        <v>14300</v>
      </c>
      <c r="G2618" s="267" t="s">
        <v>27</v>
      </c>
      <c r="H2618" s="3"/>
    </row>
    <row r="2619" spans="1:8">
      <c r="A2619" s="270">
        <v>44985</v>
      </c>
      <c r="B2619" s="267"/>
      <c r="C2619" s="267" t="s">
        <v>94</v>
      </c>
      <c r="D2619" s="3" t="s">
        <v>1627</v>
      </c>
      <c r="E2619" s="1497">
        <v>1665.81</v>
      </c>
      <c r="F2619" s="1497"/>
      <c r="G2619" s="267" t="s">
        <v>27</v>
      </c>
      <c r="H2619" s="3"/>
    </row>
    <row r="2620" spans="1:8">
      <c r="A2620" s="270">
        <v>44985</v>
      </c>
      <c r="B2620" s="267"/>
      <c r="C2620" s="267" t="s">
        <v>205</v>
      </c>
      <c r="D2620" s="3" t="s">
        <v>43</v>
      </c>
      <c r="E2620" s="1497">
        <v>7685</v>
      </c>
      <c r="F2620" s="1497"/>
      <c r="G2620" s="267" t="s">
        <v>27</v>
      </c>
      <c r="H2620" s="3"/>
    </row>
    <row r="2621" spans="1:8">
      <c r="A2621" s="270">
        <v>44985</v>
      </c>
      <c r="B2621" s="267"/>
      <c r="C2621" s="267" t="s">
        <v>871</v>
      </c>
      <c r="D2621" s="15" t="s">
        <v>1628</v>
      </c>
      <c r="E2621" s="1497"/>
      <c r="F2621" s="1497">
        <v>149200</v>
      </c>
      <c r="G2621" s="267" t="s">
        <v>56</v>
      </c>
      <c r="H2621" s="3"/>
    </row>
    <row r="2622" spans="1:8">
      <c r="A2622" s="270">
        <v>44985</v>
      </c>
      <c r="B2622" s="267"/>
      <c r="C2622" s="267" t="s">
        <v>871</v>
      </c>
      <c r="D2622" s="15" t="s">
        <v>1630</v>
      </c>
      <c r="E2622" s="1497"/>
      <c r="F2622" s="1497">
        <v>800</v>
      </c>
      <c r="G2622" s="267" t="s">
        <v>56</v>
      </c>
      <c r="H2622" s="3"/>
    </row>
    <row r="2623" spans="1:8">
      <c r="A2623" s="270">
        <v>44985</v>
      </c>
      <c r="B2623" s="267"/>
      <c r="C2623" s="267" t="s">
        <v>205</v>
      </c>
      <c r="D2623" s="15" t="s">
        <v>1629</v>
      </c>
      <c r="E2623" s="1497">
        <v>150000</v>
      </c>
      <c r="F2623" s="1497"/>
      <c r="G2623" s="267" t="s">
        <v>56</v>
      </c>
      <c r="H2623" s="3"/>
    </row>
    <row r="2624" spans="1:8">
      <c r="A2624" s="270">
        <v>44985</v>
      </c>
      <c r="B2624" s="267"/>
      <c r="C2624" s="267"/>
      <c r="D2624" s="3"/>
      <c r="E2624" s="1497">
        <v>3575</v>
      </c>
      <c r="F2624" s="1497"/>
      <c r="G2624" s="267" t="s">
        <v>27</v>
      </c>
      <c r="H2624" s="3"/>
    </row>
    <row r="2625" spans="1:8">
      <c r="A2625" s="270"/>
      <c r="B2625" s="267"/>
      <c r="C2625" s="267"/>
      <c r="D2625" s="3"/>
      <c r="E2625" s="1497">
        <v>1800</v>
      </c>
      <c r="F2625" s="1497"/>
      <c r="G2625" s="267"/>
      <c r="H2625" s="3"/>
    </row>
    <row r="2626" spans="1:8" ht="15.75" thickBot="1">
      <c r="A2626" s="270">
        <v>44985</v>
      </c>
      <c r="B2626" s="267"/>
      <c r="C2626" s="267" t="s">
        <v>1261</v>
      </c>
      <c r="D2626" s="3" t="s">
        <v>1631</v>
      </c>
      <c r="E2626" s="1497">
        <v>70000</v>
      </c>
      <c r="F2626" s="1497"/>
      <c r="G2626" s="267" t="s">
        <v>287</v>
      </c>
      <c r="H2626" s="85"/>
    </row>
    <row r="2627" spans="1:8">
      <c r="A2627" s="181"/>
      <c r="B2627" s="181"/>
      <c r="C2627" s="181"/>
      <c r="D2627" s="109"/>
      <c r="E2627" s="181"/>
      <c r="F2627" s="181"/>
      <c r="G2627" s="181"/>
      <c r="H2627" s="149" t="s">
        <v>1633</v>
      </c>
    </row>
    <row r="2628" spans="1:8">
      <c r="A2628" s="182"/>
      <c r="B2628" s="181"/>
      <c r="C2628" s="181"/>
      <c r="D2628" s="109"/>
      <c r="E2628" s="181"/>
      <c r="F2628" s="181"/>
      <c r="G2628" s="181"/>
      <c r="H2628" s="136" t="s">
        <v>1615</v>
      </c>
    </row>
    <row r="2629" spans="1:8">
      <c r="A2629" s="148"/>
      <c r="B2629" s="244"/>
      <c r="C2629" s="244"/>
      <c r="D2629" s="115"/>
      <c r="E2629" s="1492"/>
      <c r="F2629" s="1492"/>
      <c r="G2629" s="244"/>
      <c r="H2629" s="137" t="s">
        <v>1638</v>
      </c>
    </row>
    <row r="2630" spans="1:8">
      <c r="A2630" s="148"/>
      <c r="B2630" s="244"/>
      <c r="C2630" s="244"/>
      <c r="D2630" s="115"/>
      <c r="E2630" s="1492"/>
      <c r="F2630" s="1492"/>
      <c r="G2630" s="244"/>
      <c r="H2630" s="138" t="s">
        <v>1634</v>
      </c>
    </row>
    <row r="2631" spans="1:8">
      <c r="A2631" s="244"/>
      <c r="B2631" s="244"/>
      <c r="C2631" s="244"/>
      <c r="D2631" s="115"/>
      <c r="E2631" s="1492"/>
      <c r="F2631" s="1492"/>
      <c r="G2631" s="244"/>
      <c r="H2631" s="138" t="s">
        <v>1612</v>
      </c>
    </row>
    <row r="2632" spans="1:8">
      <c r="A2632" s="244"/>
      <c r="B2632" s="244"/>
      <c r="C2632" s="244"/>
      <c r="D2632" s="115"/>
      <c r="E2632" s="1492"/>
      <c r="F2632" s="1492"/>
      <c r="G2632" s="244"/>
      <c r="H2632" s="138" t="s">
        <v>1636</v>
      </c>
    </row>
    <row r="2633" spans="1:8">
      <c r="H2633" s="138" t="s">
        <v>1637</v>
      </c>
    </row>
    <row r="2634" spans="1:8" ht="15.75" thickBot="1">
      <c r="H2634" s="139" t="s">
        <v>1635</v>
      </c>
    </row>
    <row r="2635" spans="1:8" ht="15.75" thickBot="1">
      <c r="A2635" s="239" t="s">
        <v>279</v>
      </c>
      <c r="B2635" s="240"/>
      <c r="C2635" s="240"/>
      <c r="D2635" s="240"/>
      <c r="E2635" s="1490"/>
      <c r="F2635" s="1490"/>
      <c r="G2635" s="240"/>
      <c r="H2635" s="242"/>
    </row>
    <row r="2636" spans="1:8">
      <c r="A2636" s="77">
        <v>44986</v>
      </c>
      <c r="B2636" s="62"/>
      <c r="C2636" s="62" t="s">
        <v>205</v>
      </c>
      <c r="D2636" s="5" t="s">
        <v>1406</v>
      </c>
      <c r="E2636" s="62">
        <v>61270</v>
      </c>
      <c r="F2636" s="62"/>
      <c r="G2636" s="62" t="s">
        <v>27</v>
      </c>
      <c r="H2636" s="5"/>
    </row>
    <row r="2637" spans="1:8">
      <c r="A2637" s="270">
        <v>44986</v>
      </c>
      <c r="B2637" s="267"/>
      <c r="C2637" s="267" t="s">
        <v>65</v>
      </c>
      <c r="D2637" s="3" t="s">
        <v>1632</v>
      </c>
      <c r="E2637" s="1497">
        <v>3860</v>
      </c>
      <c r="F2637" s="1497"/>
      <c r="G2637" s="267" t="s">
        <v>27</v>
      </c>
      <c r="H2637" s="3"/>
    </row>
    <row r="2638" spans="1:8">
      <c r="A2638" s="270">
        <v>44986</v>
      </c>
      <c r="B2638" s="267"/>
      <c r="C2638" s="267" t="s">
        <v>79</v>
      </c>
      <c r="D2638" s="3" t="s">
        <v>210</v>
      </c>
      <c r="E2638" s="1497">
        <v>7080</v>
      </c>
      <c r="F2638" s="1497"/>
      <c r="G2638" s="267" t="s">
        <v>27</v>
      </c>
      <c r="H2638" s="3"/>
    </row>
    <row r="2639" spans="1:8">
      <c r="A2639" s="270">
        <v>44986</v>
      </c>
      <c r="B2639" s="267"/>
      <c r="C2639" s="267" t="s">
        <v>156</v>
      </c>
      <c r="D2639" s="3" t="s">
        <v>334</v>
      </c>
      <c r="E2639" s="1497">
        <v>23000</v>
      </c>
      <c r="F2639" s="1497"/>
      <c r="G2639" s="267" t="s">
        <v>676</v>
      </c>
      <c r="H2639" s="3"/>
    </row>
    <row r="2640" spans="1:8">
      <c r="A2640" s="270">
        <v>44986</v>
      </c>
      <c r="B2640" s="267"/>
      <c r="C2640" s="267" t="s">
        <v>86</v>
      </c>
      <c r="D2640" s="3" t="s">
        <v>534</v>
      </c>
      <c r="E2640" s="1497">
        <v>4505</v>
      </c>
      <c r="F2640" s="1497"/>
      <c r="G2640" s="267" t="s">
        <v>56</v>
      </c>
      <c r="H2640" s="3"/>
    </row>
    <row r="2641" spans="1:8">
      <c r="A2641" s="270">
        <v>44986</v>
      </c>
      <c r="B2641" s="267"/>
      <c r="C2641" s="267" t="s">
        <v>55</v>
      </c>
      <c r="D2641" s="3" t="s">
        <v>1645</v>
      </c>
      <c r="E2641" s="1497">
        <v>2400</v>
      </c>
      <c r="F2641" s="1497"/>
      <c r="G2641" s="267" t="s">
        <v>56</v>
      </c>
      <c r="H2641" s="3"/>
    </row>
    <row r="2642" spans="1:8">
      <c r="A2642" s="270">
        <v>44987</v>
      </c>
      <c r="B2642" s="267"/>
      <c r="C2642" s="267" t="s">
        <v>92</v>
      </c>
      <c r="D2642" s="3" t="s">
        <v>1639</v>
      </c>
      <c r="E2642" s="1497"/>
      <c r="F2642" s="1497">
        <v>15200</v>
      </c>
      <c r="G2642" s="267" t="s">
        <v>56</v>
      </c>
      <c r="H2642" s="3"/>
    </row>
    <row r="2643" spans="1:8">
      <c r="A2643" s="270">
        <v>44987</v>
      </c>
      <c r="B2643" s="267"/>
      <c r="C2643" s="267" t="s">
        <v>77</v>
      </c>
      <c r="D2643" s="3" t="s">
        <v>1640</v>
      </c>
      <c r="E2643" s="1497"/>
      <c r="F2643" s="1497">
        <v>1495160</v>
      </c>
      <c r="G2643" s="267" t="s">
        <v>27</v>
      </c>
      <c r="H2643" s="3"/>
    </row>
    <row r="2644" spans="1:8">
      <c r="A2644" s="270">
        <v>44987</v>
      </c>
      <c r="B2644" s="267"/>
      <c r="C2644" s="267" t="s">
        <v>92</v>
      </c>
      <c r="D2644" s="3" t="s">
        <v>1478</v>
      </c>
      <c r="E2644" s="1497"/>
      <c r="F2644" s="1497">
        <v>5000</v>
      </c>
      <c r="G2644" s="267" t="s">
        <v>56</v>
      </c>
      <c r="H2644" s="3"/>
    </row>
    <row r="2645" spans="1:8">
      <c r="A2645" s="270">
        <v>44987</v>
      </c>
      <c r="B2645" s="267"/>
      <c r="C2645" s="267" t="s">
        <v>205</v>
      </c>
      <c r="D2645" s="15" t="s">
        <v>1641</v>
      </c>
      <c r="E2645" s="1497">
        <v>731748</v>
      </c>
      <c r="F2645" s="1497"/>
      <c r="G2645" s="267" t="s">
        <v>27</v>
      </c>
      <c r="H2645" s="3"/>
    </row>
    <row r="2646" spans="1:8">
      <c r="A2646" s="270">
        <v>44987</v>
      </c>
      <c r="B2646" s="267"/>
      <c r="C2646" s="267" t="s">
        <v>205</v>
      </c>
      <c r="D2646" s="15" t="s">
        <v>1642</v>
      </c>
      <c r="E2646" s="1497">
        <v>330163</v>
      </c>
      <c r="F2646" s="1497"/>
      <c r="G2646" s="267" t="s">
        <v>27</v>
      </c>
      <c r="H2646" s="3"/>
    </row>
    <row r="2647" spans="1:8">
      <c r="A2647" s="270">
        <v>44987</v>
      </c>
      <c r="B2647" s="267" t="s">
        <v>1644</v>
      </c>
      <c r="C2647" s="267" t="s">
        <v>94</v>
      </c>
      <c r="D2647" s="15" t="s">
        <v>1643</v>
      </c>
      <c r="E2647" s="1497">
        <v>5000</v>
      </c>
      <c r="F2647" s="1497"/>
      <c r="G2647" s="267" t="s">
        <v>27</v>
      </c>
      <c r="H2647" s="3"/>
    </row>
    <row r="2648" spans="1:8">
      <c r="A2648" s="270">
        <v>44987</v>
      </c>
      <c r="B2648" s="267"/>
      <c r="C2648" s="267" t="s">
        <v>77</v>
      </c>
      <c r="D2648" s="3" t="s">
        <v>1646</v>
      </c>
      <c r="E2648" s="1497"/>
      <c r="F2648" s="1497">
        <v>731200</v>
      </c>
      <c r="G2648" s="267" t="s">
        <v>56</v>
      </c>
      <c r="H2648" s="3"/>
    </row>
    <row r="2649" spans="1:8">
      <c r="A2649" s="270">
        <v>44987</v>
      </c>
      <c r="B2649" s="267"/>
      <c r="C2649" s="267" t="s">
        <v>160</v>
      </c>
      <c r="D2649" s="3" t="s">
        <v>1647</v>
      </c>
      <c r="E2649" s="1497"/>
      <c r="F2649" s="1497">
        <v>109300</v>
      </c>
      <c r="G2649" s="267" t="s">
        <v>27</v>
      </c>
      <c r="H2649" s="3"/>
    </row>
    <row r="2650" spans="1:8">
      <c r="A2650" s="270">
        <v>44987</v>
      </c>
      <c r="B2650" s="267"/>
      <c r="C2650" s="267" t="s">
        <v>160</v>
      </c>
      <c r="D2650" s="3" t="s">
        <v>1647</v>
      </c>
      <c r="E2650" s="1497">
        <v>34180.33</v>
      </c>
      <c r="F2650" s="1497"/>
      <c r="G2650" s="267" t="s">
        <v>27</v>
      </c>
      <c r="H2650" s="3"/>
    </row>
    <row r="2651" spans="1:8">
      <c r="A2651" s="270">
        <v>44987</v>
      </c>
      <c r="B2651" s="267"/>
      <c r="C2651" s="267" t="s">
        <v>79</v>
      </c>
      <c r="D2651" s="3"/>
      <c r="E2651" s="1497">
        <v>5600</v>
      </c>
      <c r="F2651" s="1497"/>
      <c r="G2651" s="267" t="s">
        <v>56</v>
      </c>
      <c r="H2651" s="3"/>
    </row>
    <row r="2652" spans="1:8">
      <c r="A2652" s="270">
        <v>44987</v>
      </c>
      <c r="B2652" s="267"/>
      <c r="C2652" s="267" t="s">
        <v>79</v>
      </c>
      <c r="D2652" s="3" t="s">
        <v>1648</v>
      </c>
      <c r="E2652" s="1497">
        <v>26000</v>
      </c>
      <c r="F2652" s="1497"/>
      <c r="G2652" s="267" t="s">
        <v>56</v>
      </c>
      <c r="H2652" s="3"/>
    </row>
    <row r="2653" spans="1:8">
      <c r="A2653" s="270">
        <v>44987</v>
      </c>
      <c r="B2653" s="267"/>
      <c r="C2653" s="267" t="s">
        <v>205</v>
      </c>
      <c r="D2653" s="3" t="s">
        <v>1344</v>
      </c>
      <c r="E2653" s="1497">
        <v>850</v>
      </c>
      <c r="F2653" s="1497"/>
      <c r="G2653" s="267" t="s">
        <v>56</v>
      </c>
      <c r="H2653" s="3" t="s">
        <v>1649</v>
      </c>
    </row>
    <row r="2654" spans="1:8">
      <c r="A2654" s="270">
        <v>44987</v>
      </c>
      <c r="B2654" s="267"/>
      <c r="C2654" s="267" t="s">
        <v>1651</v>
      </c>
      <c r="D2654" s="3" t="s">
        <v>1650</v>
      </c>
      <c r="E2654" s="1497">
        <v>20000</v>
      </c>
      <c r="F2654" s="1497"/>
      <c r="G2654" s="267" t="s">
        <v>56</v>
      </c>
      <c r="H2654" s="3"/>
    </row>
    <row r="2655" spans="1:8">
      <c r="A2655" s="270">
        <v>44988</v>
      </c>
      <c r="B2655" s="267"/>
      <c r="C2655" s="267" t="s">
        <v>205</v>
      </c>
      <c r="D2655" s="3" t="s">
        <v>913</v>
      </c>
      <c r="E2655" s="1497">
        <v>250000</v>
      </c>
      <c r="F2655" s="1497"/>
      <c r="G2655" s="267" t="s">
        <v>72</v>
      </c>
      <c r="H2655" s="3"/>
    </row>
    <row r="2656" spans="1:8">
      <c r="A2656" s="270">
        <v>44988</v>
      </c>
      <c r="B2656" s="267"/>
      <c r="C2656" s="267" t="s">
        <v>77</v>
      </c>
      <c r="D2656" s="3" t="s">
        <v>1652</v>
      </c>
      <c r="E2656" s="1497">
        <v>43000</v>
      </c>
      <c r="F2656" s="1497"/>
      <c r="G2656" s="267" t="s">
        <v>56</v>
      </c>
      <c r="H2656" s="3"/>
    </row>
    <row r="2657" spans="1:8">
      <c r="A2657" s="270">
        <v>44988</v>
      </c>
      <c r="B2657" s="267"/>
      <c r="C2657" s="267" t="s">
        <v>205</v>
      </c>
      <c r="D2657" s="3" t="s">
        <v>48</v>
      </c>
      <c r="E2657" s="1497">
        <v>345000</v>
      </c>
      <c r="F2657" s="1497"/>
      <c r="G2657" s="267" t="s">
        <v>56</v>
      </c>
      <c r="H2657" s="3"/>
    </row>
    <row r="2658" spans="1:8">
      <c r="A2658" s="270">
        <v>44988</v>
      </c>
      <c r="B2658" s="267"/>
      <c r="C2658" s="267" t="s">
        <v>55</v>
      </c>
      <c r="D2658" s="3" t="s">
        <v>38</v>
      </c>
      <c r="E2658" s="1497">
        <v>1280</v>
      </c>
      <c r="F2658" s="1497"/>
      <c r="G2658" s="267" t="s">
        <v>56</v>
      </c>
      <c r="H2658" s="3"/>
    </row>
    <row r="2659" spans="1:8">
      <c r="A2659" s="270">
        <v>44988</v>
      </c>
      <c r="B2659" s="267"/>
      <c r="C2659" s="267"/>
      <c r="D2659" s="3" t="s">
        <v>151</v>
      </c>
      <c r="E2659" s="1497">
        <v>3000</v>
      </c>
      <c r="F2659" s="1497"/>
      <c r="G2659" s="267" t="s">
        <v>27</v>
      </c>
      <c r="H2659" s="3"/>
    </row>
    <row r="2660" spans="1:8">
      <c r="A2660" s="270">
        <v>44988</v>
      </c>
      <c r="B2660" s="267"/>
      <c r="C2660" s="267" t="s">
        <v>55</v>
      </c>
      <c r="D2660" s="3" t="s">
        <v>61</v>
      </c>
      <c r="E2660" s="1497">
        <v>1160</v>
      </c>
      <c r="F2660" s="1497"/>
      <c r="G2660" s="267" t="s">
        <v>56</v>
      </c>
      <c r="H2660" s="3"/>
    </row>
    <row r="2661" spans="1:8">
      <c r="A2661" s="270">
        <v>44988</v>
      </c>
      <c r="B2661" s="267"/>
      <c r="C2661" s="267"/>
      <c r="D2661" s="3" t="s">
        <v>193</v>
      </c>
      <c r="E2661" s="1497">
        <v>23000</v>
      </c>
      <c r="F2661" s="1497"/>
      <c r="G2661" s="267" t="s">
        <v>56</v>
      </c>
      <c r="H2661" s="3"/>
    </row>
    <row r="2662" spans="1:8">
      <c r="A2662" s="270">
        <v>44988</v>
      </c>
      <c r="B2662" s="267"/>
      <c r="C2662" s="267"/>
      <c r="D2662" s="3" t="s">
        <v>219</v>
      </c>
      <c r="E2662" s="1497">
        <v>32820</v>
      </c>
      <c r="F2662" s="1497"/>
      <c r="G2662" s="267" t="s">
        <v>56</v>
      </c>
      <c r="H2662" s="3"/>
    </row>
    <row r="2663" spans="1:8">
      <c r="A2663" s="270">
        <v>44988</v>
      </c>
      <c r="B2663" s="267"/>
      <c r="C2663" s="267"/>
      <c r="D2663" s="3" t="s">
        <v>208</v>
      </c>
      <c r="E2663" s="1497">
        <v>21900</v>
      </c>
      <c r="F2663" s="1497"/>
      <c r="G2663" s="267" t="s">
        <v>56</v>
      </c>
      <c r="H2663" s="3"/>
    </row>
    <row r="2664" spans="1:8">
      <c r="A2664" s="270">
        <v>44988</v>
      </c>
      <c r="B2664" s="267"/>
      <c r="C2664" s="267"/>
      <c r="D2664" s="3" t="s">
        <v>144</v>
      </c>
      <c r="E2664" s="1497">
        <v>46000</v>
      </c>
      <c r="F2664" s="1497"/>
      <c r="G2664" s="267" t="s">
        <v>56</v>
      </c>
      <c r="H2664" s="3"/>
    </row>
    <row r="2665" spans="1:8" ht="15.75" thickBot="1">
      <c r="A2665" s="270">
        <v>44988</v>
      </c>
      <c r="B2665" s="267"/>
      <c r="C2665" s="267"/>
      <c r="D2665" s="3" t="s">
        <v>175</v>
      </c>
      <c r="E2665" s="1497">
        <v>30000</v>
      </c>
      <c r="F2665" s="1497"/>
      <c r="G2665" s="267" t="s">
        <v>56</v>
      </c>
      <c r="H2665" s="85"/>
    </row>
    <row r="2666" spans="1:8">
      <c r="H2666" s="149" t="s">
        <v>1653</v>
      </c>
    </row>
    <row r="2667" spans="1:8">
      <c r="H2667" s="136" t="s">
        <v>1615</v>
      </c>
    </row>
    <row r="2668" spans="1:8">
      <c r="H2668" s="137" t="s">
        <v>1655</v>
      </c>
    </row>
    <row r="2669" spans="1:8">
      <c r="H2669" s="138" t="s">
        <v>1656</v>
      </c>
    </row>
    <row r="2670" spans="1:8">
      <c r="H2670" s="138" t="s">
        <v>1654</v>
      </c>
    </row>
    <row r="2671" spans="1:8">
      <c r="H2671" s="138" t="s">
        <v>1636</v>
      </c>
    </row>
    <row r="2672" spans="1:8">
      <c r="H2672" s="138" t="s">
        <v>1283</v>
      </c>
    </row>
    <row r="2673" spans="1:8" ht="15.75" thickBot="1">
      <c r="H2673" s="147" t="s">
        <v>1635</v>
      </c>
    </row>
    <row r="2674" spans="1:8">
      <c r="A2674" s="270">
        <v>44991</v>
      </c>
      <c r="B2674" s="267"/>
      <c r="C2674" s="267" t="s">
        <v>831</v>
      </c>
      <c r="D2674" s="3" t="s">
        <v>1660</v>
      </c>
      <c r="E2674" s="1497">
        <v>5000</v>
      </c>
      <c r="F2674" s="1497"/>
      <c r="G2674" s="267" t="s">
        <v>56</v>
      </c>
      <c r="H2674" s="183"/>
    </row>
    <row r="2675" spans="1:8">
      <c r="A2675" s="270">
        <v>44991</v>
      </c>
      <c r="B2675" s="267"/>
      <c r="C2675" s="267" t="s">
        <v>86</v>
      </c>
      <c r="D2675" s="3" t="s">
        <v>1661</v>
      </c>
      <c r="E2675" s="1497">
        <v>5000</v>
      </c>
      <c r="F2675" s="1497"/>
      <c r="G2675" s="267" t="s">
        <v>56</v>
      </c>
      <c r="H2675" s="126"/>
    </row>
    <row r="2676" spans="1:8">
      <c r="A2676" s="270">
        <v>44991</v>
      </c>
      <c r="B2676" s="267"/>
      <c r="C2676" s="267" t="s">
        <v>79</v>
      </c>
      <c r="D2676" s="3" t="s">
        <v>277</v>
      </c>
      <c r="E2676" s="1497">
        <v>5149.97</v>
      </c>
      <c r="F2676" s="1497"/>
      <c r="G2676" s="267" t="s">
        <v>27</v>
      </c>
      <c r="H2676" s="3"/>
    </row>
    <row r="2677" spans="1:8">
      <c r="A2677" s="270">
        <v>47548</v>
      </c>
      <c r="B2677" s="267"/>
      <c r="C2677" s="267" t="s">
        <v>79</v>
      </c>
      <c r="D2677" s="3" t="s">
        <v>195</v>
      </c>
      <c r="E2677" s="1497">
        <v>5003.49</v>
      </c>
      <c r="F2677" s="1497"/>
      <c r="G2677" s="267" t="s">
        <v>27</v>
      </c>
      <c r="H2677" s="3"/>
    </row>
    <row r="2678" spans="1:8">
      <c r="A2678" s="270">
        <v>44991</v>
      </c>
      <c r="B2678" s="267"/>
      <c r="C2678" s="267" t="s">
        <v>77</v>
      </c>
      <c r="D2678" s="3" t="s">
        <v>1578</v>
      </c>
      <c r="E2678" s="1497">
        <v>125000</v>
      </c>
      <c r="F2678" s="1497"/>
      <c r="G2678" s="267" t="s">
        <v>56</v>
      </c>
      <c r="H2678" s="3"/>
    </row>
    <row r="2679" spans="1:8">
      <c r="A2679" s="270">
        <v>44988</v>
      </c>
      <c r="B2679" s="267"/>
      <c r="C2679" s="267" t="s">
        <v>92</v>
      </c>
      <c r="D2679" s="3" t="s">
        <v>1657</v>
      </c>
      <c r="E2679" s="1497"/>
      <c r="F2679" s="1497">
        <v>30855</v>
      </c>
      <c r="G2679" s="267" t="s">
        <v>27</v>
      </c>
      <c r="H2679" s="3"/>
    </row>
    <row r="2680" spans="1:8">
      <c r="A2680" s="270">
        <v>44991</v>
      </c>
      <c r="B2680" s="267"/>
      <c r="C2680" s="267" t="s">
        <v>205</v>
      </c>
      <c r="D2680" s="3" t="s">
        <v>1406</v>
      </c>
      <c r="E2680" s="1497">
        <v>61270</v>
      </c>
      <c r="F2680" s="1497"/>
      <c r="G2680" s="267" t="s">
        <v>27</v>
      </c>
      <c r="H2680" s="3"/>
    </row>
    <row r="2681" spans="1:8">
      <c r="A2681" s="270">
        <v>44991</v>
      </c>
      <c r="B2681" s="267"/>
      <c r="C2681" s="267" t="s">
        <v>92</v>
      </c>
      <c r="D2681" s="3" t="s">
        <v>1658</v>
      </c>
      <c r="E2681" s="1497">
        <v>14472.78</v>
      </c>
      <c r="F2681" s="1497"/>
      <c r="G2681" s="267" t="s">
        <v>27</v>
      </c>
      <c r="H2681" s="3"/>
    </row>
    <row r="2682" spans="1:8">
      <c r="A2682" s="270">
        <v>44991</v>
      </c>
      <c r="B2682" s="267"/>
      <c r="C2682" s="267" t="s">
        <v>136</v>
      </c>
      <c r="D2682" s="3" t="s">
        <v>1659</v>
      </c>
      <c r="E2682" s="1497">
        <v>1000</v>
      </c>
      <c r="F2682" s="1497"/>
      <c r="G2682" s="267" t="s">
        <v>56</v>
      </c>
      <c r="H2682" s="3"/>
    </row>
    <row r="2683" spans="1:8">
      <c r="A2683" s="270">
        <v>44991</v>
      </c>
      <c r="B2683" s="267"/>
      <c r="C2683" s="267" t="s">
        <v>79</v>
      </c>
      <c r="D2683" s="3" t="s">
        <v>633</v>
      </c>
      <c r="E2683" s="1497">
        <v>500</v>
      </c>
      <c r="F2683" s="1497"/>
      <c r="G2683" s="267" t="s">
        <v>56</v>
      </c>
      <c r="H2683" s="3"/>
    </row>
    <row r="2684" spans="1:8">
      <c r="A2684" s="270">
        <v>44991</v>
      </c>
      <c r="B2684" s="267"/>
      <c r="C2684" s="267" t="s">
        <v>79</v>
      </c>
      <c r="D2684" s="3" t="s">
        <v>347</v>
      </c>
      <c r="E2684" s="1497">
        <v>600</v>
      </c>
      <c r="F2684" s="1497"/>
      <c r="G2684" s="267" t="s">
        <v>56</v>
      </c>
      <c r="H2684" s="3"/>
    </row>
    <row r="2685" spans="1:8">
      <c r="A2685" s="270">
        <v>44991</v>
      </c>
      <c r="B2685" s="267"/>
      <c r="C2685" s="267" t="s">
        <v>92</v>
      </c>
      <c r="D2685" s="15" t="s">
        <v>405</v>
      </c>
      <c r="E2685" s="1497"/>
      <c r="F2685" s="1497">
        <v>4750</v>
      </c>
      <c r="G2685" s="267" t="s">
        <v>56</v>
      </c>
      <c r="H2685" s="3"/>
    </row>
    <row r="2686" spans="1:8">
      <c r="A2686" s="270">
        <v>44991</v>
      </c>
      <c r="B2686" s="267"/>
      <c r="C2686" s="267" t="s">
        <v>205</v>
      </c>
      <c r="D2686" s="3" t="s">
        <v>71</v>
      </c>
      <c r="E2686" s="1497">
        <v>123000</v>
      </c>
      <c r="F2686" s="1497"/>
      <c r="G2686" s="267" t="s">
        <v>56</v>
      </c>
      <c r="H2686" s="3"/>
    </row>
    <row r="2687" spans="1:8">
      <c r="A2687" s="270">
        <v>44991</v>
      </c>
      <c r="B2687" s="267"/>
      <c r="C2687" s="267" t="s">
        <v>79</v>
      </c>
      <c r="D2687" s="3" t="s">
        <v>667</v>
      </c>
      <c r="E2687" s="1497">
        <v>6020</v>
      </c>
      <c r="F2687" s="1497"/>
      <c r="G2687" s="267" t="s">
        <v>27</v>
      </c>
      <c r="H2687" s="3"/>
    </row>
    <row r="2688" spans="1:8">
      <c r="A2688" s="270">
        <v>44992</v>
      </c>
      <c r="B2688" s="267"/>
      <c r="C2688" s="267" t="s">
        <v>79</v>
      </c>
      <c r="D2688" s="3" t="s">
        <v>151</v>
      </c>
      <c r="E2688" s="1497">
        <v>1300</v>
      </c>
      <c r="F2688" s="1497"/>
      <c r="G2688" s="267" t="s">
        <v>56</v>
      </c>
      <c r="H2688" s="3"/>
    </row>
    <row r="2689" spans="1:8">
      <c r="A2689" s="270">
        <v>44992</v>
      </c>
      <c r="B2689" s="267"/>
      <c r="C2689" s="267" t="s">
        <v>205</v>
      </c>
      <c r="D2689" s="3" t="s">
        <v>38</v>
      </c>
      <c r="E2689" s="1497">
        <v>500</v>
      </c>
      <c r="F2689" s="1497"/>
      <c r="G2689" s="267" t="s">
        <v>56</v>
      </c>
      <c r="H2689" s="3"/>
    </row>
    <row r="2690" spans="1:8">
      <c r="A2690" s="270">
        <v>44992</v>
      </c>
      <c r="B2690" s="267"/>
      <c r="C2690" s="267" t="s">
        <v>150</v>
      </c>
      <c r="D2690" s="3" t="s">
        <v>221</v>
      </c>
      <c r="E2690" s="1497">
        <v>8922.17</v>
      </c>
      <c r="F2690" s="1497"/>
      <c r="G2690" s="267" t="s">
        <v>108</v>
      </c>
      <c r="H2690" s="3"/>
    </row>
    <row r="2691" spans="1:8">
      <c r="A2691" s="270">
        <v>44992</v>
      </c>
      <c r="B2691" s="267"/>
      <c r="C2691" s="267" t="s">
        <v>150</v>
      </c>
      <c r="D2691" s="15" t="s">
        <v>155</v>
      </c>
      <c r="E2691" s="1497">
        <v>1873.81</v>
      </c>
      <c r="F2691" s="1497"/>
      <c r="G2691" s="267" t="s">
        <v>108</v>
      </c>
      <c r="H2691" s="3"/>
    </row>
    <row r="2692" spans="1:8">
      <c r="A2692" s="270">
        <v>44992</v>
      </c>
      <c r="B2692" s="267"/>
      <c r="C2692" s="267" t="s">
        <v>150</v>
      </c>
      <c r="D2692" s="15" t="s">
        <v>1662</v>
      </c>
      <c r="E2692" s="1497">
        <v>125.97</v>
      </c>
      <c r="F2692" s="1497"/>
      <c r="G2692" s="267" t="s">
        <v>108</v>
      </c>
      <c r="H2692" s="3"/>
    </row>
    <row r="2693" spans="1:8">
      <c r="A2693" s="270">
        <v>44992</v>
      </c>
      <c r="B2693" s="267"/>
      <c r="C2693" s="267" t="s">
        <v>92</v>
      </c>
      <c r="D2693" s="3" t="s">
        <v>46</v>
      </c>
      <c r="E2693" s="1497"/>
      <c r="F2693" s="1497">
        <v>9750</v>
      </c>
      <c r="G2693" s="267" t="s">
        <v>27</v>
      </c>
      <c r="H2693" s="3"/>
    </row>
    <row r="2694" spans="1:8">
      <c r="A2694" s="270">
        <v>44992</v>
      </c>
      <c r="B2694" s="267"/>
      <c r="C2694" s="267" t="s">
        <v>205</v>
      </c>
      <c r="D2694" s="3" t="s">
        <v>48</v>
      </c>
      <c r="E2694" s="1497">
        <v>140000</v>
      </c>
      <c r="F2694" s="1497"/>
      <c r="G2694" s="267" t="s">
        <v>56</v>
      </c>
      <c r="H2694" s="3"/>
    </row>
    <row r="2695" spans="1:8">
      <c r="A2695" s="270">
        <v>44993</v>
      </c>
      <c r="B2695" s="267"/>
      <c r="C2695" s="267" t="s">
        <v>92</v>
      </c>
      <c r="D2695" s="3" t="s">
        <v>1663</v>
      </c>
      <c r="E2695" s="1497"/>
      <c r="F2695" s="1497">
        <v>8870</v>
      </c>
      <c r="G2695" s="267" t="s">
        <v>56</v>
      </c>
      <c r="H2695" s="3"/>
    </row>
    <row r="2696" spans="1:8">
      <c r="A2696" s="270">
        <v>44993</v>
      </c>
      <c r="B2696" s="267"/>
      <c r="C2696" s="267" t="s">
        <v>68</v>
      </c>
      <c r="D2696" s="3" t="s">
        <v>1431</v>
      </c>
      <c r="E2696" s="1497">
        <v>1600</v>
      </c>
      <c r="F2696" s="1497"/>
      <c r="G2696" s="267" t="s">
        <v>56</v>
      </c>
      <c r="H2696" s="3"/>
    </row>
    <row r="2697" spans="1:8">
      <c r="A2697" s="270">
        <v>44993</v>
      </c>
      <c r="B2697" s="267"/>
      <c r="C2697" s="267" t="s">
        <v>79</v>
      </c>
      <c r="D2697" s="3" t="s">
        <v>151</v>
      </c>
      <c r="E2697" s="1497">
        <v>1500</v>
      </c>
      <c r="F2697" s="1497"/>
      <c r="G2697" s="267" t="s">
        <v>56</v>
      </c>
      <c r="H2697" s="3"/>
    </row>
    <row r="2698" spans="1:8">
      <c r="A2698" s="270">
        <v>44993</v>
      </c>
      <c r="B2698" s="267"/>
      <c r="C2698" s="267" t="s">
        <v>55</v>
      </c>
      <c r="D2698" s="3" t="s">
        <v>246</v>
      </c>
      <c r="E2698" s="1497">
        <v>295</v>
      </c>
      <c r="F2698" s="1497"/>
      <c r="G2698" s="267" t="s">
        <v>56</v>
      </c>
      <c r="H2698" s="3"/>
    </row>
    <row r="2699" spans="1:8">
      <c r="A2699" s="270">
        <v>44993</v>
      </c>
      <c r="B2699" s="267"/>
      <c r="C2699" s="267" t="s">
        <v>185</v>
      </c>
      <c r="D2699" s="3" t="s">
        <v>185</v>
      </c>
      <c r="E2699" s="1497">
        <v>38530.28</v>
      </c>
      <c r="F2699" s="1497"/>
      <c r="G2699" s="267" t="s">
        <v>56</v>
      </c>
      <c r="H2699" s="3"/>
    </row>
    <row r="2700" spans="1:8">
      <c r="A2700" s="270">
        <v>44993</v>
      </c>
      <c r="B2700" s="267"/>
      <c r="C2700" s="267" t="s">
        <v>55</v>
      </c>
      <c r="D2700" s="3" t="s">
        <v>107</v>
      </c>
      <c r="E2700" s="1497">
        <v>5000</v>
      </c>
      <c r="F2700" s="1497"/>
      <c r="G2700" s="267" t="s">
        <v>56</v>
      </c>
      <c r="H2700" s="3"/>
    </row>
    <row r="2701" spans="1:8">
      <c r="A2701" s="270">
        <v>44993</v>
      </c>
      <c r="B2701" s="267"/>
      <c r="C2701" s="267" t="s">
        <v>88</v>
      </c>
      <c r="D2701" s="15" t="s">
        <v>1665</v>
      </c>
      <c r="E2701" s="1497">
        <v>4289.09</v>
      </c>
      <c r="F2701" s="1497"/>
      <c r="G2701" s="267" t="s">
        <v>27</v>
      </c>
      <c r="H2701" s="3"/>
    </row>
    <row r="2702" spans="1:8">
      <c r="A2702" s="270">
        <v>44993</v>
      </c>
      <c r="B2702" s="267"/>
      <c r="C2702" s="267" t="s">
        <v>65</v>
      </c>
      <c r="D2702" s="3" t="s">
        <v>1666</v>
      </c>
      <c r="E2702" s="1497">
        <v>10000</v>
      </c>
      <c r="F2702" s="1497"/>
      <c r="G2702" s="267" t="s">
        <v>27</v>
      </c>
      <c r="H2702" s="3"/>
    </row>
    <row r="2703" spans="1:8">
      <c r="A2703" s="270">
        <v>44994</v>
      </c>
      <c r="B2703" s="267"/>
      <c r="C2703" s="267" t="s">
        <v>86</v>
      </c>
      <c r="D2703" s="3" t="s">
        <v>107</v>
      </c>
      <c r="E2703" s="1497">
        <v>4000</v>
      </c>
      <c r="F2703" s="1497"/>
      <c r="G2703" s="267" t="s">
        <v>56</v>
      </c>
      <c r="H2703" s="3"/>
    </row>
    <row r="2704" spans="1:8">
      <c r="A2704" s="270">
        <v>44994</v>
      </c>
      <c r="B2704" s="267"/>
      <c r="C2704" s="267" t="s">
        <v>92</v>
      </c>
      <c r="D2704" s="3" t="s">
        <v>828</v>
      </c>
      <c r="E2704" s="1497"/>
      <c r="F2704" s="1497">
        <v>6180</v>
      </c>
      <c r="G2704" s="267" t="s">
        <v>27</v>
      </c>
      <c r="H2704" s="3"/>
    </row>
    <row r="2705" spans="1:8">
      <c r="A2705" s="270">
        <v>44994</v>
      </c>
      <c r="B2705" s="267"/>
      <c r="C2705" s="267" t="s">
        <v>205</v>
      </c>
      <c r="D2705" s="3" t="s">
        <v>1668</v>
      </c>
      <c r="E2705" s="1497">
        <v>2500</v>
      </c>
      <c r="F2705" s="1497"/>
      <c r="G2705" s="267" t="s">
        <v>56</v>
      </c>
      <c r="H2705" s="3"/>
    </row>
    <row r="2706" spans="1:8">
      <c r="A2706" s="270">
        <v>44994</v>
      </c>
      <c r="B2706" s="267"/>
      <c r="C2706" s="267" t="s">
        <v>92</v>
      </c>
      <c r="D2706" s="15" t="s">
        <v>1669</v>
      </c>
      <c r="E2706" s="1497"/>
      <c r="F2706" s="1497">
        <v>71100</v>
      </c>
      <c r="G2706" s="267" t="s">
        <v>27</v>
      </c>
      <c r="H2706" s="3"/>
    </row>
    <row r="2707" spans="1:8">
      <c r="A2707" s="270">
        <v>44994</v>
      </c>
      <c r="B2707" s="267"/>
      <c r="C2707" s="267" t="s">
        <v>205</v>
      </c>
      <c r="D2707" s="3" t="s">
        <v>1670</v>
      </c>
      <c r="E2707" s="1497">
        <v>24242</v>
      </c>
      <c r="F2707" s="1497"/>
      <c r="G2707" s="267" t="s">
        <v>27</v>
      </c>
      <c r="H2707" s="3"/>
    </row>
    <row r="2708" spans="1:8">
      <c r="A2708" s="270">
        <v>44995</v>
      </c>
      <c r="B2708" s="267"/>
      <c r="C2708" s="267" t="s">
        <v>77</v>
      </c>
      <c r="D2708" s="45" t="s">
        <v>1671</v>
      </c>
      <c r="E2708" s="1497"/>
      <c r="F2708" s="1497">
        <v>1809000</v>
      </c>
      <c r="G2708" s="267" t="s">
        <v>27</v>
      </c>
      <c r="H2708" s="45" t="s">
        <v>1672</v>
      </c>
    </row>
    <row r="2709" spans="1:8">
      <c r="A2709" s="270">
        <v>44995</v>
      </c>
      <c r="B2709" s="267"/>
      <c r="C2709" s="267" t="s">
        <v>1674</v>
      </c>
      <c r="D2709" s="3" t="s">
        <v>1673</v>
      </c>
      <c r="E2709" s="1497">
        <v>6000</v>
      </c>
      <c r="F2709" s="1497"/>
      <c r="G2709" s="267" t="s">
        <v>56</v>
      </c>
      <c r="H2709" s="3"/>
    </row>
    <row r="2710" spans="1:8">
      <c r="A2710" s="270">
        <v>44995</v>
      </c>
      <c r="B2710" s="267"/>
      <c r="C2710" s="267" t="s">
        <v>79</v>
      </c>
      <c r="D2710" s="3" t="s">
        <v>1675</v>
      </c>
      <c r="E2710" s="1497">
        <v>1500</v>
      </c>
      <c r="F2710" s="1497"/>
      <c r="G2710" s="267" t="s">
        <v>56</v>
      </c>
      <c r="H2710" s="3"/>
    </row>
    <row r="2711" spans="1:8">
      <c r="A2711" s="270">
        <v>44995</v>
      </c>
      <c r="B2711" s="267"/>
      <c r="C2711" s="267" t="s">
        <v>92</v>
      </c>
      <c r="D2711" s="3" t="s">
        <v>1605</v>
      </c>
      <c r="E2711" s="1497"/>
      <c r="F2711" s="1497">
        <v>23200</v>
      </c>
      <c r="G2711" s="267" t="s">
        <v>27</v>
      </c>
      <c r="H2711" s="81" t="s">
        <v>1676</v>
      </c>
    </row>
    <row r="2712" spans="1:8">
      <c r="A2712" s="270">
        <v>44995</v>
      </c>
      <c r="B2712" s="267"/>
      <c r="C2712" s="267" t="s">
        <v>92</v>
      </c>
      <c r="D2712" s="3" t="s">
        <v>1605</v>
      </c>
      <c r="E2712" s="1497">
        <v>1402.56</v>
      </c>
      <c r="F2712" s="1497"/>
      <c r="G2712" s="267" t="s">
        <v>27</v>
      </c>
      <c r="H2712" s="3"/>
    </row>
    <row r="2713" spans="1:8">
      <c r="A2713" s="270">
        <v>44995</v>
      </c>
      <c r="B2713" s="267"/>
      <c r="C2713" s="267" t="s">
        <v>1495</v>
      </c>
      <c r="D2713" s="3" t="s">
        <v>36</v>
      </c>
      <c r="E2713" s="1497">
        <v>12000</v>
      </c>
      <c r="F2713" s="1497"/>
      <c r="G2713" s="267" t="s">
        <v>56</v>
      </c>
      <c r="H2713" s="3"/>
    </row>
    <row r="2714" spans="1:8">
      <c r="A2714" s="270">
        <v>44995</v>
      </c>
      <c r="B2714" s="267"/>
      <c r="C2714" s="267" t="s">
        <v>92</v>
      </c>
      <c r="D2714" s="3" t="s">
        <v>1664</v>
      </c>
      <c r="E2714" s="1497"/>
      <c r="F2714" s="1497">
        <v>2666600</v>
      </c>
      <c r="G2714" s="267" t="s">
        <v>27</v>
      </c>
      <c r="H2714" s="3"/>
    </row>
    <row r="2715" spans="1:8">
      <c r="A2715" s="270">
        <v>44995</v>
      </c>
      <c r="B2715" s="267"/>
      <c r="C2715" s="267" t="s">
        <v>92</v>
      </c>
      <c r="D2715" s="3" t="s">
        <v>1664</v>
      </c>
      <c r="E2715" s="1497">
        <v>2643.97</v>
      </c>
      <c r="F2715" s="1497"/>
      <c r="G2715" s="267" t="s">
        <v>27</v>
      </c>
      <c r="H2715" s="3"/>
    </row>
    <row r="2716" spans="1:8">
      <c r="A2716" s="270">
        <v>44995</v>
      </c>
      <c r="B2716" s="267"/>
      <c r="C2716" s="267" t="s">
        <v>88</v>
      </c>
      <c r="D2716" s="15" t="s">
        <v>219</v>
      </c>
      <c r="E2716" s="1497">
        <v>30000</v>
      </c>
      <c r="F2716" s="1497"/>
      <c r="G2716" s="267" t="s">
        <v>56</v>
      </c>
      <c r="H2716" s="3"/>
    </row>
    <row r="2717" spans="1:8">
      <c r="A2717" s="270">
        <v>44995</v>
      </c>
      <c r="B2717" s="267"/>
      <c r="C2717" s="267" t="s">
        <v>88</v>
      </c>
      <c r="D2717" s="15" t="s">
        <v>824</v>
      </c>
      <c r="E2717" s="1497">
        <v>23000</v>
      </c>
      <c r="F2717" s="1497"/>
      <c r="G2717" s="267" t="s">
        <v>56</v>
      </c>
      <c r="H2717" s="3"/>
    </row>
    <row r="2718" spans="1:8">
      <c r="A2718" s="270">
        <v>44995</v>
      </c>
      <c r="B2718" s="267"/>
      <c r="C2718" s="267" t="s">
        <v>88</v>
      </c>
      <c r="D2718" s="15" t="s">
        <v>144</v>
      </c>
      <c r="E2718" s="1497">
        <v>46000</v>
      </c>
      <c r="F2718" s="1497"/>
      <c r="G2718" s="267" t="s">
        <v>56</v>
      </c>
      <c r="H2718" s="3"/>
    </row>
    <row r="2719" spans="1:8">
      <c r="A2719" s="270">
        <v>44995</v>
      </c>
      <c r="B2719" s="267"/>
      <c r="C2719" s="267" t="s">
        <v>88</v>
      </c>
      <c r="D2719" s="15" t="s">
        <v>208</v>
      </c>
      <c r="E2719" s="1497">
        <v>18000</v>
      </c>
      <c r="F2719" s="1497"/>
      <c r="G2719" s="267" t="s">
        <v>56</v>
      </c>
      <c r="H2719" s="3"/>
    </row>
    <row r="2720" spans="1:8" ht="15.75" thickBot="1">
      <c r="A2720" s="270">
        <v>44995</v>
      </c>
      <c r="B2720" s="267"/>
      <c r="C2720" s="267" t="s">
        <v>79</v>
      </c>
      <c r="D2720" s="15" t="s">
        <v>79</v>
      </c>
      <c r="E2720" s="1497">
        <v>50000</v>
      </c>
      <c r="F2720" s="1497"/>
      <c r="G2720" s="267" t="s">
        <v>56</v>
      </c>
      <c r="H2720" s="146"/>
    </row>
    <row r="2721" spans="1:8">
      <c r="A2721" s="267"/>
      <c r="B2721" s="267"/>
      <c r="C2721" s="267"/>
      <c r="D2721" s="3"/>
      <c r="E2721" s="1497"/>
      <c r="F2721" s="1497"/>
      <c r="G2721" s="267"/>
      <c r="H2721" s="149" t="s">
        <v>1677</v>
      </c>
    </row>
    <row r="2722" spans="1:8">
      <c r="H2722" s="136" t="s">
        <v>1679</v>
      </c>
    </row>
    <row r="2723" spans="1:8">
      <c r="H2723" s="137" t="s">
        <v>1678</v>
      </c>
    </row>
    <row r="2724" spans="1:8">
      <c r="H2724" s="138" t="s">
        <v>1122</v>
      </c>
    </row>
    <row r="2725" spans="1:8">
      <c r="H2725" s="138" t="s">
        <v>1680</v>
      </c>
    </row>
    <row r="2726" spans="1:8">
      <c r="H2726" s="138" t="s">
        <v>1636</v>
      </c>
    </row>
    <row r="2727" spans="1:8">
      <c r="H2727" s="138" t="s">
        <v>1283</v>
      </c>
    </row>
    <row r="2728" spans="1:8" ht="15.75" thickBot="1">
      <c r="H2728" s="147" t="s">
        <v>1635</v>
      </c>
    </row>
    <row r="2729" spans="1:8">
      <c r="A2729" s="270">
        <v>44998</v>
      </c>
      <c r="B2729" s="267"/>
      <c r="C2729" s="267" t="s">
        <v>55</v>
      </c>
      <c r="D2729" s="3" t="s">
        <v>1578</v>
      </c>
      <c r="E2729" s="1497"/>
      <c r="F2729" s="1497">
        <v>125000</v>
      </c>
      <c r="G2729" s="267" t="s">
        <v>27</v>
      </c>
      <c r="H2729" s="5"/>
    </row>
    <row r="2730" spans="1:8">
      <c r="A2730" s="270">
        <v>44998</v>
      </c>
      <c r="B2730" s="267"/>
      <c r="C2730" s="267" t="s">
        <v>79</v>
      </c>
      <c r="D2730" s="3" t="s">
        <v>195</v>
      </c>
      <c r="E2730" s="1497">
        <v>8003</v>
      </c>
      <c r="F2730" s="1497"/>
      <c r="G2730" s="267" t="s">
        <v>27</v>
      </c>
      <c r="H2730" s="3"/>
    </row>
    <row r="2731" spans="1:8">
      <c r="A2731" s="270">
        <v>44998</v>
      </c>
      <c r="B2731" s="267"/>
      <c r="C2731" s="267" t="s">
        <v>79</v>
      </c>
      <c r="D2731" s="3" t="s">
        <v>195</v>
      </c>
      <c r="E2731" s="1497">
        <v>8400</v>
      </c>
      <c r="F2731" s="1497"/>
      <c r="G2731" s="267" t="s">
        <v>27</v>
      </c>
      <c r="H2731" s="3"/>
    </row>
    <row r="2732" spans="1:8">
      <c r="A2732" s="270">
        <v>44998</v>
      </c>
      <c r="B2732" s="267"/>
      <c r="C2732" s="267" t="s">
        <v>79</v>
      </c>
      <c r="D2732" s="3" t="s">
        <v>151</v>
      </c>
      <c r="E2732" s="1497">
        <v>5301</v>
      </c>
      <c r="F2732" s="1497"/>
      <c r="G2732" s="267" t="s">
        <v>27</v>
      </c>
      <c r="H2732" s="3"/>
    </row>
    <row r="2733" spans="1:8">
      <c r="A2733" s="270">
        <v>44998</v>
      </c>
      <c r="B2733" s="267"/>
      <c r="C2733" s="267" t="s">
        <v>79</v>
      </c>
      <c r="D2733" s="3" t="s">
        <v>151</v>
      </c>
      <c r="E2733" s="1497" t="s">
        <v>1681</v>
      </c>
      <c r="F2733" s="1497"/>
      <c r="G2733" s="267" t="s">
        <v>27</v>
      </c>
      <c r="H2733" s="3"/>
    </row>
    <row r="2734" spans="1:8">
      <c r="A2734" s="270">
        <v>44998</v>
      </c>
      <c r="B2734" s="267"/>
      <c r="C2734" s="267" t="s">
        <v>79</v>
      </c>
      <c r="D2734" s="3" t="s">
        <v>514</v>
      </c>
      <c r="E2734" s="1497">
        <v>1000</v>
      </c>
      <c r="F2734" s="1497"/>
      <c r="G2734" s="267" t="s">
        <v>27</v>
      </c>
      <c r="H2734" s="3"/>
    </row>
    <row r="2735" spans="1:8">
      <c r="A2735" s="270">
        <v>44998</v>
      </c>
      <c r="B2735" s="267"/>
      <c r="C2735" s="267" t="s">
        <v>205</v>
      </c>
      <c r="D2735" s="3" t="s">
        <v>450</v>
      </c>
      <c r="E2735" s="1497">
        <v>6700</v>
      </c>
      <c r="F2735" s="1497"/>
      <c r="G2735" s="267" t="s">
        <v>27</v>
      </c>
      <c r="H2735" s="3"/>
    </row>
    <row r="2736" spans="1:8">
      <c r="A2736" s="270">
        <v>44998</v>
      </c>
      <c r="B2736" s="267"/>
      <c r="C2736" s="267" t="s">
        <v>205</v>
      </c>
      <c r="D2736" s="3" t="s">
        <v>71</v>
      </c>
      <c r="E2736" s="1497">
        <v>310000</v>
      </c>
      <c r="F2736" s="1497"/>
      <c r="G2736" s="267" t="s">
        <v>27</v>
      </c>
      <c r="H2736" s="3"/>
    </row>
    <row r="2737" spans="1:8">
      <c r="A2737" s="270">
        <v>44998</v>
      </c>
      <c r="B2737" s="267"/>
      <c r="C2737" s="267" t="s">
        <v>205</v>
      </c>
      <c r="D2737" s="3" t="s">
        <v>48</v>
      </c>
      <c r="E2737" s="1497">
        <v>418260</v>
      </c>
      <c r="F2737" s="1497"/>
      <c r="G2737" s="267" t="s">
        <v>27</v>
      </c>
      <c r="H2737" s="3"/>
    </row>
    <row r="2738" spans="1:8">
      <c r="A2738" s="270">
        <v>44998</v>
      </c>
      <c r="B2738" s="267"/>
      <c r="C2738" s="267" t="s">
        <v>92</v>
      </c>
      <c r="D2738" s="3" t="s">
        <v>1682</v>
      </c>
      <c r="E2738" s="1497"/>
      <c r="F2738" s="1497">
        <v>30360</v>
      </c>
      <c r="G2738" s="267" t="s">
        <v>56</v>
      </c>
      <c r="H2738" s="3"/>
    </row>
    <row r="2739" spans="1:8">
      <c r="A2739" s="13">
        <v>44998</v>
      </c>
      <c r="B2739" s="12"/>
      <c r="C2739" s="12" t="s">
        <v>55</v>
      </c>
      <c r="D2739" s="89" t="s">
        <v>104</v>
      </c>
      <c r="E2739" s="12">
        <v>5000</v>
      </c>
      <c r="F2739" s="12"/>
      <c r="G2739" s="12" t="s">
        <v>56</v>
      </c>
      <c r="H2739" s="102" t="s">
        <v>919</v>
      </c>
    </row>
    <row r="2740" spans="1:8">
      <c r="A2740" s="270">
        <v>44999</v>
      </c>
      <c r="B2740" s="267"/>
      <c r="C2740" s="267" t="s">
        <v>79</v>
      </c>
      <c r="D2740" s="3" t="s">
        <v>1684</v>
      </c>
      <c r="E2740" s="1497">
        <v>5600</v>
      </c>
      <c r="F2740" s="1497"/>
      <c r="G2740" s="267" t="s">
        <v>27</v>
      </c>
      <c r="H2740" s="3"/>
    </row>
    <row r="2741" spans="1:8">
      <c r="A2741" s="270">
        <v>44999</v>
      </c>
      <c r="B2741" s="267"/>
      <c r="C2741" s="70" t="s">
        <v>537</v>
      </c>
      <c r="D2741" s="113" t="s">
        <v>1686</v>
      </c>
      <c r="E2741" s="70">
        <v>15570</v>
      </c>
      <c r="F2741" s="1497"/>
      <c r="G2741" s="267" t="s">
        <v>27</v>
      </c>
      <c r="H2741" s="3"/>
    </row>
    <row r="2742" spans="1:8">
      <c r="A2742" s="270">
        <v>44999</v>
      </c>
      <c r="B2742" s="267"/>
      <c r="C2742" s="267" t="s">
        <v>79</v>
      </c>
      <c r="D2742" s="3" t="s">
        <v>1685</v>
      </c>
      <c r="E2742" s="1497">
        <v>33500</v>
      </c>
      <c r="F2742" s="1497"/>
      <c r="G2742" s="267" t="s">
        <v>27</v>
      </c>
      <c r="H2742" s="3"/>
    </row>
    <row r="2743" spans="1:8">
      <c r="A2743" s="270">
        <v>44999</v>
      </c>
      <c r="B2743" s="267"/>
      <c r="C2743" s="267" t="s">
        <v>79</v>
      </c>
      <c r="D2743" s="3" t="s">
        <v>1685</v>
      </c>
      <c r="E2743" s="1497">
        <v>13890</v>
      </c>
      <c r="F2743" s="1497"/>
      <c r="G2743" s="267" t="s">
        <v>27</v>
      </c>
      <c r="H2743" s="3"/>
    </row>
    <row r="2744" spans="1:8">
      <c r="A2744" s="13">
        <v>45000</v>
      </c>
      <c r="B2744" s="12"/>
      <c r="C2744" s="12" t="s">
        <v>55</v>
      </c>
      <c r="D2744" s="89" t="s">
        <v>104</v>
      </c>
      <c r="E2744" s="12">
        <v>5000</v>
      </c>
      <c r="F2744" s="12"/>
      <c r="G2744" s="12" t="s">
        <v>56</v>
      </c>
      <c r="H2744" s="102" t="s">
        <v>919</v>
      </c>
    </row>
    <row r="2745" spans="1:8">
      <c r="A2745" s="270">
        <v>45000</v>
      </c>
      <c r="B2745" s="267"/>
      <c r="C2745" s="267" t="s">
        <v>94</v>
      </c>
      <c r="D2745" s="3" t="s">
        <v>1687</v>
      </c>
      <c r="E2745" s="1497">
        <v>2195.1799999999998</v>
      </c>
      <c r="F2745" s="1497"/>
      <c r="G2745" s="267" t="s">
        <v>27</v>
      </c>
      <c r="H2745" s="3"/>
    </row>
    <row r="2746" spans="1:8">
      <c r="A2746" s="270">
        <v>45000</v>
      </c>
      <c r="B2746" s="267"/>
      <c r="C2746" s="267" t="s">
        <v>150</v>
      </c>
      <c r="D2746" s="15" t="s">
        <v>1688</v>
      </c>
      <c r="E2746" s="1497" t="s">
        <v>1689</v>
      </c>
      <c r="F2746" s="1497"/>
      <c r="G2746" s="267" t="s">
        <v>27</v>
      </c>
      <c r="H2746" s="3"/>
    </row>
    <row r="2747" spans="1:8" ht="16.5">
      <c r="A2747" s="270">
        <v>45000</v>
      </c>
      <c r="B2747" s="267"/>
      <c r="C2747" s="267" t="s">
        <v>77</v>
      </c>
      <c r="D2747" s="3" t="s">
        <v>1691</v>
      </c>
      <c r="E2747" s="491"/>
      <c r="F2747" s="1497">
        <v>174800</v>
      </c>
      <c r="G2747" s="267" t="s">
        <v>72</v>
      </c>
      <c r="H2747" s="45" t="s">
        <v>1690</v>
      </c>
    </row>
    <row r="2748" spans="1:8">
      <c r="A2748" s="270">
        <v>45000</v>
      </c>
      <c r="B2748" s="267"/>
      <c r="C2748" s="267" t="s">
        <v>92</v>
      </c>
      <c r="D2748" s="3" t="s">
        <v>1107</v>
      </c>
      <c r="E2748" s="1497"/>
      <c r="F2748" s="1497">
        <v>27500</v>
      </c>
      <c r="G2748" s="267" t="s">
        <v>72</v>
      </c>
      <c r="H2748" s="45" t="s">
        <v>1692</v>
      </c>
    </row>
    <row r="2749" spans="1:8">
      <c r="A2749" s="13">
        <v>45000</v>
      </c>
      <c r="B2749" s="12"/>
      <c r="C2749" s="12" t="s">
        <v>55</v>
      </c>
      <c r="D2749" s="89" t="s">
        <v>104</v>
      </c>
      <c r="E2749" s="12">
        <v>5000</v>
      </c>
      <c r="F2749" s="12"/>
      <c r="G2749" s="267" t="s">
        <v>56</v>
      </c>
      <c r="H2749" s="102" t="s">
        <v>919</v>
      </c>
    </row>
    <row r="2750" spans="1:8">
      <c r="A2750" s="270">
        <v>45000</v>
      </c>
      <c r="B2750" s="267"/>
      <c r="C2750" s="267" t="s">
        <v>68</v>
      </c>
      <c r="D2750" s="3" t="s">
        <v>1431</v>
      </c>
      <c r="E2750" s="1497">
        <v>1600</v>
      </c>
      <c r="F2750" s="1497"/>
      <c r="G2750" s="267" t="s">
        <v>56</v>
      </c>
      <c r="H2750" s="3"/>
    </row>
    <row r="2751" spans="1:8">
      <c r="A2751" s="270">
        <v>45001</v>
      </c>
      <c r="B2751" s="267"/>
      <c r="C2751" s="267" t="s">
        <v>94</v>
      </c>
      <c r="D2751" s="3" t="s">
        <v>1318</v>
      </c>
      <c r="E2751" s="1497"/>
      <c r="F2751" s="1497">
        <v>95100</v>
      </c>
      <c r="G2751" s="267" t="s">
        <v>27</v>
      </c>
      <c r="H2751" s="3"/>
    </row>
    <row r="2752" spans="1:8">
      <c r="A2752" s="270">
        <v>45001</v>
      </c>
      <c r="B2752" s="267"/>
      <c r="C2752" s="267" t="s">
        <v>103</v>
      </c>
      <c r="D2752" s="3" t="s">
        <v>22</v>
      </c>
      <c r="E2752" s="1497">
        <v>18441.439999999999</v>
      </c>
      <c r="F2752" s="1497"/>
      <c r="G2752" s="267" t="s">
        <v>27</v>
      </c>
      <c r="H2752" s="3"/>
    </row>
    <row r="2753" spans="1:8">
      <c r="A2753" s="270">
        <v>45001</v>
      </c>
      <c r="B2753" s="267"/>
      <c r="C2753" s="267" t="s">
        <v>156</v>
      </c>
      <c r="D2753" s="15" t="s">
        <v>156</v>
      </c>
      <c r="E2753" s="1497"/>
      <c r="F2753" s="1497"/>
      <c r="G2753" s="267" t="s">
        <v>27</v>
      </c>
      <c r="H2753" s="3"/>
    </row>
    <row r="2754" spans="1:8">
      <c r="A2754" s="270">
        <v>45001</v>
      </c>
      <c r="B2754" s="267"/>
      <c r="C2754" s="267" t="s">
        <v>103</v>
      </c>
      <c r="D2754" s="15" t="s">
        <v>1693</v>
      </c>
      <c r="E2754" s="1497">
        <v>14500</v>
      </c>
      <c r="F2754" s="1497"/>
      <c r="G2754" s="267" t="s">
        <v>27</v>
      </c>
      <c r="H2754" s="3"/>
    </row>
    <row r="2755" spans="1:8">
      <c r="A2755" s="270">
        <v>45002</v>
      </c>
      <c r="B2755" s="267"/>
      <c r="C2755" s="267" t="s">
        <v>77</v>
      </c>
      <c r="D2755" s="3" t="s">
        <v>1694</v>
      </c>
      <c r="E2755" s="1497"/>
      <c r="F2755" s="1511" t="s">
        <v>1750</v>
      </c>
      <c r="G2755" s="267" t="s">
        <v>56</v>
      </c>
      <c r="H2755" s="3" t="s">
        <v>1695</v>
      </c>
    </row>
    <row r="2756" spans="1:8">
      <c r="A2756" s="270">
        <v>45002</v>
      </c>
      <c r="B2756" s="267"/>
      <c r="C2756" s="267" t="s">
        <v>308</v>
      </c>
      <c r="D2756" s="3" t="s">
        <v>232</v>
      </c>
      <c r="E2756" s="1497">
        <v>22550</v>
      </c>
      <c r="F2756" s="1497"/>
      <c r="G2756" s="267" t="s">
        <v>27</v>
      </c>
      <c r="H2756" s="3"/>
    </row>
    <row r="2757" spans="1:8">
      <c r="A2757" s="270">
        <v>45002</v>
      </c>
      <c r="B2757" s="267"/>
      <c r="C2757" s="267" t="s">
        <v>88</v>
      </c>
      <c r="D2757" s="3" t="s">
        <v>1699</v>
      </c>
      <c r="E2757" s="1497">
        <v>26750</v>
      </c>
      <c r="F2757" s="1497"/>
      <c r="G2757" s="267" t="s">
        <v>56</v>
      </c>
      <c r="H2757" s="3"/>
    </row>
    <row r="2758" spans="1:8">
      <c r="A2758" s="270">
        <v>45002</v>
      </c>
      <c r="B2758" s="267"/>
      <c r="C2758" s="267" t="s">
        <v>88</v>
      </c>
      <c r="D2758" s="15" t="s">
        <v>144</v>
      </c>
      <c r="E2758" s="1497">
        <v>26000</v>
      </c>
      <c r="F2758" s="1497"/>
      <c r="G2758" s="267" t="s">
        <v>56</v>
      </c>
      <c r="H2758" s="3"/>
    </row>
    <row r="2759" spans="1:8">
      <c r="A2759" s="270">
        <v>45002</v>
      </c>
      <c r="B2759" s="267"/>
      <c r="C2759" s="267" t="s">
        <v>88</v>
      </c>
      <c r="D2759" s="15" t="s">
        <v>144</v>
      </c>
      <c r="E2759" s="1497">
        <v>20000</v>
      </c>
      <c r="F2759" s="1497"/>
      <c r="G2759" s="267" t="s">
        <v>27</v>
      </c>
      <c r="H2759" s="3"/>
    </row>
    <row r="2760" spans="1:8">
      <c r="A2760" s="270">
        <v>45002</v>
      </c>
      <c r="B2760" s="267"/>
      <c r="C2760" s="267" t="s">
        <v>88</v>
      </c>
      <c r="D2760" s="15" t="s">
        <v>219</v>
      </c>
      <c r="E2760" s="1497">
        <v>41250</v>
      </c>
      <c r="F2760" s="1497"/>
      <c r="G2760" s="267" t="s">
        <v>56</v>
      </c>
      <c r="H2760" s="3"/>
    </row>
    <row r="2761" spans="1:8">
      <c r="A2761" s="270">
        <v>45002</v>
      </c>
      <c r="B2761" s="267"/>
      <c r="C2761" s="267" t="s">
        <v>55</v>
      </c>
      <c r="D2761" s="15" t="s">
        <v>63</v>
      </c>
      <c r="E2761" s="1497">
        <v>756</v>
      </c>
      <c r="F2761" s="1497"/>
      <c r="G2761" s="267" t="s">
        <v>56</v>
      </c>
      <c r="H2761" s="82" t="s">
        <v>919</v>
      </c>
    </row>
    <row r="2762" spans="1:8">
      <c r="A2762" s="270">
        <v>45002</v>
      </c>
      <c r="B2762" s="267"/>
      <c r="C2762" s="267" t="s">
        <v>831</v>
      </c>
      <c r="D2762" s="15" t="s">
        <v>1700</v>
      </c>
      <c r="E2762" s="1497">
        <v>11189</v>
      </c>
      <c r="F2762" s="1497"/>
      <c r="G2762" s="267" t="s">
        <v>56</v>
      </c>
      <c r="H2762" s="82" t="s">
        <v>919</v>
      </c>
    </row>
    <row r="2763" spans="1:8">
      <c r="H2763" s="141" t="s">
        <v>1696</v>
      </c>
    </row>
    <row r="2764" spans="1:8">
      <c r="H2764" s="136" t="s">
        <v>1679</v>
      </c>
    </row>
    <row r="2765" spans="1:8">
      <c r="H2765" s="137" t="s">
        <v>1698</v>
      </c>
    </row>
    <row r="2766" spans="1:8">
      <c r="H2766" s="138" t="s">
        <v>1702</v>
      </c>
    </row>
    <row r="2767" spans="1:8">
      <c r="H2767" s="138" t="s">
        <v>1680</v>
      </c>
    </row>
    <row r="2768" spans="1:8">
      <c r="H2768" s="138" t="s">
        <v>1636</v>
      </c>
    </row>
    <row r="2769" spans="1:8">
      <c r="H2769" s="138" t="s">
        <v>1697</v>
      </c>
    </row>
    <row r="2770" spans="1:8">
      <c r="H2770" s="139" t="s">
        <v>1635</v>
      </c>
    </row>
    <row r="2771" spans="1:8">
      <c r="A2771" s="270">
        <v>45005</v>
      </c>
      <c r="B2771" s="267"/>
      <c r="C2771" s="267" t="s">
        <v>77</v>
      </c>
      <c r="D2771" s="3" t="s">
        <v>1578</v>
      </c>
      <c r="E2771" s="1497"/>
      <c r="F2771" s="1497">
        <v>125000</v>
      </c>
      <c r="G2771" s="267" t="s">
        <v>27</v>
      </c>
      <c r="H2771" s="3"/>
    </row>
    <row r="2772" spans="1:8">
      <c r="A2772" s="270">
        <v>45005</v>
      </c>
      <c r="B2772" s="267"/>
      <c r="C2772" s="267" t="s">
        <v>62</v>
      </c>
      <c r="D2772" s="3" t="s">
        <v>38</v>
      </c>
      <c r="E2772" s="1497">
        <v>270</v>
      </c>
      <c r="F2772" s="1497"/>
      <c r="G2772" s="267" t="s">
        <v>56</v>
      </c>
      <c r="H2772" s="3"/>
    </row>
    <row r="2773" spans="1:8">
      <c r="A2773" s="270">
        <v>45005</v>
      </c>
      <c r="B2773" s="267"/>
      <c r="C2773" s="267" t="s">
        <v>62</v>
      </c>
      <c r="D2773" s="3" t="s">
        <v>1703</v>
      </c>
      <c r="E2773" s="1497">
        <v>330</v>
      </c>
      <c r="F2773" s="1497"/>
      <c r="G2773" s="267" t="s">
        <v>56</v>
      </c>
      <c r="H2773" s="3"/>
    </row>
    <row r="2774" spans="1:8">
      <c r="A2774" s="270">
        <v>45005</v>
      </c>
      <c r="B2774" s="267"/>
      <c r="C2774" s="267" t="s">
        <v>205</v>
      </c>
      <c r="D2774" s="3" t="s">
        <v>246</v>
      </c>
      <c r="E2774" s="1497">
        <v>27500</v>
      </c>
      <c r="F2774" s="1497"/>
      <c r="G2774" s="267" t="s">
        <v>72</v>
      </c>
      <c r="H2774" s="45" t="s">
        <v>1704</v>
      </c>
    </row>
    <row r="2775" spans="1:8">
      <c r="A2775" s="270">
        <v>45005</v>
      </c>
      <c r="B2775" s="267"/>
      <c r="C2775" s="267" t="s">
        <v>79</v>
      </c>
      <c r="D2775" s="3" t="s">
        <v>166</v>
      </c>
      <c r="E2775" s="1497">
        <v>60000</v>
      </c>
      <c r="F2775" s="1497"/>
      <c r="G2775" s="267" t="s">
        <v>27</v>
      </c>
      <c r="H2775" s="3"/>
    </row>
    <row r="2776" spans="1:8">
      <c r="A2776" s="270">
        <v>45005</v>
      </c>
      <c r="B2776" s="267"/>
      <c r="C2776" s="12" t="s">
        <v>86</v>
      </c>
      <c r="D2776" s="89" t="s">
        <v>104</v>
      </c>
      <c r="E2776" s="12">
        <v>4000</v>
      </c>
      <c r="F2776" s="12"/>
      <c r="G2776" s="12" t="s">
        <v>56</v>
      </c>
      <c r="H2776" s="3"/>
    </row>
    <row r="2777" spans="1:8">
      <c r="A2777" s="270">
        <v>45006</v>
      </c>
      <c r="B2777" s="267"/>
      <c r="C2777" s="267" t="s">
        <v>205</v>
      </c>
      <c r="D2777" s="3" t="s">
        <v>48</v>
      </c>
      <c r="E2777" s="1497">
        <v>32300</v>
      </c>
      <c r="F2777" s="1497"/>
      <c r="G2777" s="267" t="s">
        <v>27</v>
      </c>
      <c r="H2777" s="3"/>
    </row>
    <row r="2778" spans="1:8">
      <c r="A2778" s="270">
        <v>45006</v>
      </c>
      <c r="B2778" s="267"/>
      <c r="C2778" s="267" t="s">
        <v>205</v>
      </c>
      <c r="D2778" s="3" t="s">
        <v>48</v>
      </c>
      <c r="E2778" s="1497">
        <v>32500</v>
      </c>
      <c r="F2778" s="1497"/>
      <c r="G2778" s="267" t="s">
        <v>287</v>
      </c>
      <c r="H2778" s="135">
        <v>45037</v>
      </c>
    </row>
    <row r="2779" spans="1:8">
      <c r="A2779" s="270">
        <v>45006</v>
      </c>
      <c r="B2779" s="267"/>
      <c r="C2779" s="267" t="s">
        <v>205</v>
      </c>
      <c r="D2779" s="3" t="s">
        <v>48</v>
      </c>
      <c r="E2779" s="1497">
        <v>32500</v>
      </c>
      <c r="F2779" s="1497"/>
      <c r="G2779" s="267" t="s">
        <v>287</v>
      </c>
      <c r="H2779" s="135">
        <v>45065</v>
      </c>
    </row>
    <row r="2780" spans="1:8">
      <c r="A2780" s="270">
        <v>45006</v>
      </c>
      <c r="B2780" s="267"/>
      <c r="C2780" s="267" t="s">
        <v>160</v>
      </c>
      <c r="D2780" s="15" t="s">
        <v>1705</v>
      </c>
      <c r="E2780" s="1497"/>
      <c r="F2780" s="1497">
        <v>5000</v>
      </c>
      <c r="G2780" s="267" t="s">
        <v>56</v>
      </c>
      <c r="H2780" s="3"/>
    </row>
    <row r="2781" spans="1:8">
      <c r="A2781" s="270">
        <v>45006</v>
      </c>
      <c r="B2781" s="267"/>
      <c r="C2781" s="267" t="s">
        <v>94</v>
      </c>
      <c r="D2781" s="3" t="s">
        <v>299</v>
      </c>
      <c r="E2781" s="1497"/>
      <c r="F2781" s="1497">
        <v>5500</v>
      </c>
      <c r="G2781" s="267" t="s">
        <v>56</v>
      </c>
      <c r="H2781" s="3"/>
    </row>
    <row r="2782" spans="1:8" ht="15.75">
      <c r="A2782" s="270">
        <v>45006</v>
      </c>
      <c r="B2782" s="267"/>
      <c r="C2782" s="267" t="s">
        <v>94</v>
      </c>
      <c r="D2782" s="3" t="s">
        <v>1706</v>
      </c>
      <c r="E2782" s="492"/>
      <c r="F2782" s="1497">
        <v>15420</v>
      </c>
      <c r="G2782" s="267" t="s">
        <v>27</v>
      </c>
      <c r="H2782" s="3"/>
    </row>
    <row r="2783" spans="1:8">
      <c r="A2783" s="270">
        <v>45006</v>
      </c>
      <c r="B2783" s="267"/>
      <c r="C2783" s="267" t="s">
        <v>199</v>
      </c>
      <c r="D2783" s="3" t="s">
        <v>1707</v>
      </c>
      <c r="E2783" s="1497"/>
      <c r="F2783" s="1497">
        <v>94800</v>
      </c>
      <c r="G2783" s="267" t="s">
        <v>56</v>
      </c>
      <c r="H2783" s="3" t="s">
        <v>1708</v>
      </c>
    </row>
    <row r="2784" spans="1:8">
      <c r="A2784" s="270">
        <v>45006</v>
      </c>
      <c r="B2784" s="267"/>
      <c r="C2784" s="267" t="s">
        <v>55</v>
      </c>
      <c r="D2784" s="3" t="s">
        <v>1709</v>
      </c>
      <c r="E2784" s="1497">
        <v>3900</v>
      </c>
      <c r="F2784" s="1497"/>
      <c r="G2784" s="267" t="s">
        <v>27</v>
      </c>
      <c r="H2784" s="3"/>
    </row>
    <row r="2785" spans="1:8">
      <c r="A2785" s="270">
        <v>45007</v>
      </c>
      <c r="B2785" s="267"/>
      <c r="C2785" s="267" t="s">
        <v>160</v>
      </c>
      <c r="D2785" s="3" t="s">
        <v>1683</v>
      </c>
      <c r="E2785" s="1497"/>
      <c r="F2785" s="1497">
        <v>17200</v>
      </c>
      <c r="G2785" s="267" t="s">
        <v>56</v>
      </c>
      <c r="H2785" s="3" t="s">
        <v>1710</v>
      </c>
    </row>
    <row r="2786" spans="1:8">
      <c r="A2786" s="270">
        <v>45007</v>
      </c>
      <c r="B2786" s="267"/>
      <c r="C2786" s="267" t="s">
        <v>55</v>
      </c>
      <c r="D2786" s="3" t="s">
        <v>1711</v>
      </c>
      <c r="E2786" s="1497">
        <v>990</v>
      </c>
      <c r="F2786" s="1497"/>
      <c r="G2786" s="267" t="s">
        <v>56</v>
      </c>
      <c r="H2786" s="3"/>
    </row>
    <row r="2787" spans="1:8">
      <c r="A2787" s="270">
        <v>45007</v>
      </c>
      <c r="B2787" s="267"/>
      <c r="C2787" s="267" t="s">
        <v>55</v>
      </c>
      <c r="D2787" s="3" t="s">
        <v>1431</v>
      </c>
      <c r="E2787" s="1497">
        <v>1600</v>
      </c>
      <c r="F2787" s="1497"/>
      <c r="G2787" s="267" t="s">
        <v>56</v>
      </c>
      <c r="H2787" s="3"/>
    </row>
    <row r="2788" spans="1:8">
      <c r="A2788" s="270">
        <v>45007</v>
      </c>
      <c r="B2788" s="267"/>
      <c r="C2788" s="267" t="s">
        <v>205</v>
      </c>
      <c r="D2788" s="3" t="s">
        <v>1712</v>
      </c>
      <c r="E2788" s="1497">
        <v>8400</v>
      </c>
      <c r="F2788" s="1497"/>
      <c r="G2788" s="267" t="s">
        <v>56</v>
      </c>
      <c r="H2788" s="3" t="s">
        <v>1713</v>
      </c>
    </row>
    <row r="2789" spans="1:8">
      <c r="A2789" s="270">
        <v>45007</v>
      </c>
      <c r="B2789" s="267"/>
      <c r="C2789" s="267" t="s">
        <v>160</v>
      </c>
      <c r="D2789" s="3" t="s">
        <v>1714</v>
      </c>
      <c r="E2789" s="1497"/>
      <c r="F2789" s="1497">
        <v>100000</v>
      </c>
      <c r="G2789" s="267" t="s">
        <v>56</v>
      </c>
      <c r="H2789" s="3"/>
    </row>
    <row r="2790" spans="1:8">
      <c r="A2790" s="270">
        <v>45007</v>
      </c>
      <c r="B2790" s="267"/>
      <c r="C2790" s="267" t="s">
        <v>62</v>
      </c>
      <c r="D2790" s="3" t="s">
        <v>1715</v>
      </c>
      <c r="E2790" s="1497">
        <v>900</v>
      </c>
      <c r="F2790" s="1497"/>
      <c r="G2790" s="267" t="s">
        <v>56</v>
      </c>
      <c r="H2790" s="3" t="s">
        <v>1716</v>
      </c>
    </row>
    <row r="2791" spans="1:8">
      <c r="A2791" s="270">
        <v>45007</v>
      </c>
      <c r="B2791" s="267"/>
      <c r="C2791" s="267" t="s">
        <v>86</v>
      </c>
      <c r="D2791" s="3" t="s">
        <v>104</v>
      </c>
      <c r="E2791" s="1497">
        <v>4000</v>
      </c>
      <c r="F2791" s="1497"/>
      <c r="G2791" s="267" t="s">
        <v>56</v>
      </c>
      <c r="H2791" s="3" t="s">
        <v>1716</v>
      </c>
    </row>
    <row r="2792" spans="1:8">
      <c r="A2792" s="270">
        <v>45008</v>
      </c>
      <c r="B2792" s="267"/>
      <c r="C2792" s="267" t="s">
        <v>55</v>
      </c>
      <c r="D2792" s="3" t="s">
        <v>1717</v>
      </c>
      <c r="E2792" s="1497">
        <v>700</v>
      </c>
      <c r="F2792" s="1497"/>
      <c r="G2792" s="267" t="s">
        <v>56</v>
      </c>
      <c r="H2792" s="3"/>
    </row>
    <row r="2793" spans="1:8">
      <c r="A2793" s="270">
        <v>45008</v>
      </c>
      <c r="B2793" s="267"/>
      <c r="C2793" s="267" t="s">
        <v>205</v>
      </c>
      <c r="D2793" s="3" t="s">
        <v>1718</v>
      </c>
      <c r="E2793" s="1497">
        <v>4782.9799999999996</v>
      </c>
      <c r="F2793" s="1497"/>
      <c r="G2793" s="267" t="s">
        <v>56</v>
      </c>
      <c r="H2793" s="3"/>
    </row>
    <row r="2794" spans="1:8">
      <c r="A2794" s="270">
        <v>45008</v>
      </c>
      <c r="B2794" s="267"/>
      <c r="C2794" s="267" t="s">
        <v>715</v>
      </c>
      <c r="D2794" s="3" t="s">
        <v>1719</v>
      </c>
      <c r="F2794" s="1497"/>
      <c r="G2794" s="267" t="s">
        <v>27</v>
      </c>
      <c r="H2794" s="3"/>
    </row>
    <row r="2795" spans="1:8">
      <c r="A2795" s="270">
        <v>45008</v>
      </c>
      <c r="B2795" s="267"/>
      <c r="C2795" s="267" t="s">
        <v>715</v>
      </c>
      <c r="D2795" s="3" t="s">
        <v>736</v>
      </c>
      <c r="E2795" s="1497">
        <v>1238.4100000000001</v>
      </c>
      <c r="F2795" s="1497"/>
      <c r="G2795" s="267" t="s">
        <v>27</v>
      </c>
      <c r="H2795" s="3"/>
    </row>
    <row r="2796" spans="1:8">
      <c r="A2796" s="270">
        <v>45008</v>
      </c>
      <c r="B2796" s="267"/>
      <c r="C2796" s="267" t="s">
        <v>715</v>
      </c>
      <c r="D2796" s="3" t="s">
        <v>736</v>
      </c>
      <c r="E2796" s="1497">
        <v>1238.4100000000001</v>
      </c>
      <c r="F2796" s="1497"/>
      <c r="G2796" s="267" t="s">
        <v>27</v>
      </c>
      <c r="H2796" s="3"/>
    </row>
    <row r="2797" spans="1:8">
      <c r="A2797" s="270">
        <v>45008</v>
      </c>
      <c r="B2797" s="267"/>
      <c r="C2797" s="267" t="s">
        <v>97</v>
      </c>
      <c r="D2797" s="15" t="s">
        <v>1688</v>
      </c>
      <c r="E2797" s="1497">
        <v>5000</v>
      </c>
      <c r="F2797" s="1497"/>
      <c r="G2797" s="267" t="s">
        <v>27</v>
      </c>
      <c r="H2797" s="3"/>
    </row>
    <row r="2798" spans="1:8">
      <c r="A2798" s="270">
        <v>45008</v>
      </c>
      <c r="B2798" s="267"/>
      <c r="C2798" s="267" t="s">
        <v>150</v>
      </c>
      <c r="D2798" s="15" t="s">
        <v>257</v>
      </c>
      <c r="E2798" s="1497" t="s">
        <v>1720</v>
      </c>
      <c r="F2798" s="1497"/>
      <c r="G2798" s="267" t="s">
        <v>27</v>
      </c>
      <c r="H2798" s="3"/>
    </row>
    <row r="2799" spans="1:8">
      <c r="A2799" s="270">
        <v>45008</v>
      </c>
      <c r="B2799" s="267"/>
      <c r="C2799" s="267" t="s">
        <v>205</v>
      </c>
      <c r="D2799" s="3" t="s">
        <v>1721</v>
      </c>
      <c r="E2799" s="1497">
        <v>70500</v>
      </c>
      <c r="F2799" s="1497"/>
      <c r="G2799" s="267" t="s">
        <v>56</v>
      </c>
      <c r="H2799" s="3"/>
    </row>
    <row r="2800" spans="1:8">
      <c r="A2800" s="270">
        <v>45008</v>
      </c>
      <c r="B2800" s="267"/>
      <c r="C2800" s="267" t="s">
        <v>831</v>
      </c>
      <c r="D2800" s="3" t="s">
        <v>1660</v>
      </c>
      <c r="E2800" s="1497">
        <v>3750</v>
      </c>
      <c r="F2800" s="1497"/>
      <c r="G2800" s="267" t="s">
        <v>56</v>
      </c>
      <c r="H2800" s="3" t="s">
        <v>1716</v>
      </c>
    </row>
    <row r="2801" spans="1:8">
      <c r="A2801" s="270">
        <v>45008</v>
      </c>
      <c r="B2801" s="267"/>
      <c r="C2801" s="267" t="s">
        <v>88</v>
      </c>
      <c r="D2801" s="3" t="s">
        <v>219</v>
      </c>
      <c r="E2801" s="1497">
        <v>30000</v>
      </c>
      <c r="F2801" s="1497"/>
      <c r="G2801" s="267" t="s">
        <v>56</v>
      </c>
      <c r="H2801" s="3"/>
    </row>
    <row r="2802" spans="1:8">
      <c r="A2802" s="270">
        <v>45008</v>
      </c>
      <c r="B2802" s="267"/>
      <c r="C2802" s="267" t="s">
        <v>88</v>
      </c>
      <c r="D2802" s="15" t="s">
        <v>208</v>
      </c>
      <c r="E2802" s="1497">
        <v>20000</v>
      </c>
      <c r="F2802" s="1497"/>
      <c r="G2802" s="267" t="s">
        <v>56</v>
      </c>
      <c r="H2802" s="3"/>
    </row>
    <row r="2803" spans="1:8">
      <c r="A2803" s="270">
        <v>45008</v>
      </c>
      <c r="B2803" s="267"/>
      <c r="C2803" s="267" t="s">
        <v>88</v>
      </c>
      <c r="D2803" s="15" t="s">
        <v>144</v>
      </c>
      <c r="E2803" s="1497">
        <v>41000</v>
      </c>
      <c r="F2803" s="1497"/>
      <c r="G2803" s="267" t="s">
        <v>56</v>
      </c>
      <c r="H2803" s="3"/>
    </row>
    <row r="2804" spans="1:8">
      <c r="A2804" s="270">
        <v>45008</v>
      </c>
      <c r="B2804" s="267"/>
      <c r="C2804" s="267" t="s">
        <v>88</v>
      </c>
      <c r="D2804" s="15" t="s">
        <v>144</v>
      </c>
      <c r="E2804" s="1497">
        <v>5000</v>
      </c>
      <c r="F2804" s="1497"/>
      <c r="G2804" s="267" t="s">
        <v>27</v>
      </c>
      <c r="H2804" s="3"/>
    </row>
    <row r="2805" spans="1:8" ht="30">
      <c r="A2805" s="116">
        <v>45008</v>
      </c>
      <c r="B2805" s="51"/>
      <c r="C2805" s="51" t="s">
        <v>77</v>
      </c>
      <c r="D2805" s="74" t="s">
        <v>1722</v>
      </c>
      <c r="E2805" s="51"/>
      <c r="F2805" s="51">
        <v>330800</v>
      </c>
      <c r="G2805" s="51" t="s">
        <v>287</v>
      </c>
      <c r="H2805" s="48" t="s">
        <v>1723</v>
      </c>
    </row>
    <row r="2806" spans="1:8">
      <c r="A2806" s="267"/>
      <c r="B2806" s="267"/>
      <c r="C2806" s="267"/>
      <c r="D2806" s="3"/>
      <c r="E2806" s="1497"/>
      <c r="F2806" s="1497"/>
      <c r="G2806" s="226"/>
      <c r="H2806" s="128" t="s">
        <v>1724</v>
      </c>
    </row>
    <row r="2807" spans="1:8">
      <c r="H2807" s="133" t="s">
        <v>1729</v>
      </c>
    </row>
    <row r="2808" spans="1:8">
      <c r="H2808" s="132" t="s">
        <v>1727</v>
      </c>
    </row>
    <row r="2809" spans="1:8">
      <c r="H2809" s="117" t="s">
        <v>1725</v>
      </c>
    </row>
    <row r="2810" spans="1:8">
      <c r="H2810" s="117" t="s">
        <v>1726</v>
      </c>
    </row>
    <row r="2811" spans="1:8">
      <c r="H2811" s="117" t="s">
        <v>1636</v>
      </c>
    </row>
    <row r="2812" spans="1:8">
      <c r="H2812" s="117" t="s">
        <v>1731</v>
      </c>
    </row>
    <row r="2813" spans="1:8">
      <c r="H2813" s="118" t="s">
        <v>1728</v>
      </c>
    </row>
    <row r="2814" spans="1:8">
      <c r="A2814" s="270">
        <v>45010</v>
      </c>
      <c r="B2814" s="267"/>
      <c r="C2814" s="267" t="s">
        <v>77</v>
      </c>
      <c r="D2814" s="3" t="s">
        <v>1730</v>
      </c>
      <c r="E2814" s="1497"/>
      <c r="F2814" s="1497">
        <v>125000</v>
      </c>
      <c r="G2814" s="267" t="s">
        <v>27</v>
      </c>
      <c r="H2814" s="3"/>
    </row>
    <row r="2815" spans="1:8">
      <c r="A2815" s="270">
        <v>45012</v>
      </c>
      <c r="B2815" s="267"/>
      <c r="C2815" s="267" t="s">
        <v>79</v>
      </c>
      <c r="D2815" s="3" t="s">
        <v>151</v>
      </c>
      <c r="E2815" s="1497">
        <v>15923.5</v>
      </c>
      <c r="F2815" s="1497"/>
      <c r="G2815" s="267" t="s">
        <v>27</v>
      </c>
      <c r="H2815" s="3"/>
    </row>
    <row r="2816" spans="1:8">
      <c r="A2816" s="270">
        <v>45012</v>
      </c>
      <c r="B2816" s="267"/>
      <c r="C2816" s="267" t="s">
        <v>156</v>
      </c>
      <c r="D2816" s="3" t="s">
        <v>156</v>
      </c>
      <c r="E2816" s="1497">
        <v>17056.330000000002</v>
      </c>
      <c r="F2816" s="1497"/>
      <c r="G2816" s="267" t="s">
        <v>27</v>
      </c>
      <c r="H2816" s="3"/>
    </row>
    <row r="2817" spans="1:8">
      <c r="A2817" s="270">
        <v>45012</v>
      </c>
      <c r="B2817" s="267"/>
      <c r="C2817" s="267" t="s">
        <v>79</v>
      </c>
      <c r="D2817" s="3" t="s">
        <v>1732</v>
      </c>
      <c r="E2817" s="1497">
        <v>50000</v>
      </c>
      <c r="F2817" s="1497"/>
      <c r="G2817" s="267" t="s">
        <v>56</v>
      </c>
      <c r="H2817" s="3"/>
    </row>
    <row r="2818" spans="1:8">
      <c r="A2818" s="270">
        <v>45013</v>
      </c>
      <c r="B2818" s="267"/>
      <c r="C2818" s="267" t="s">
        <v>160</v>
      </c>
      <c r="D2818" s="3" t="s">
        <v>1733</v>
      </c>
      <c r="E2818" s="1497"/>
      <c r="F2818" s="1497">
        <v>11462.45</v>
      </c>
      <c r="G2818" s="267" t="s">
        <v>27</v>
      </c>
      <c r="H2818" s="3"/>
    </row>
    <row r="2819" spans="1:8">
      <c r="A2819" s="270">
        <v>45013</v>
      </c>
      <c r="B2819" s="267"/>
      <c r="C2819" s="267" t="s">
        <v>150</v>
      </c>
      <c r="D2819" s="3" t="s">
        <v>1406</v>
      </c>
      <c r="E2819" s="1497">
        <v>61270</v>
      </c>
      <c r="F2819" s="1497"/>
      <c r="G2819" s="267" t="s">
        <v>27</v>
      </c>
      <c r="H2819" s="3"/>
    </row>
    <row r="2820" spans="1:8">
      <c r="A2820" s="270">
        <v>45013</v>
      </c>
      <c r="B2820" s="267"/>
      <c r="C2820" s="267" t="s">
        <v>1261</v>
      </c>
      <c r="D2820" s="3" t="s">
        <v>1734</v>
      </c>
      <c r="E2820" s="1497">
        <v>162600</v>
      </c>
      <c r="F2820" s="1497"/>
      <c r="G2820" s="267" t="s">
        <v>27</v>
      </c>
      <c r="H2820" s="3"/>
    </row>
    <row r="2821" spans="1:8">
      <c r="A2821" s="270">
        <v>45013</v>
      </c>
      <c r="B2821" s="267"/>
      <c r="C2821" s="267" t="s">
        <v>55</v>
      </c>
      <c r="D2821" s="3" t="s">
        <v>862</v>
      </c>
      <c r="E2821" s="1497">
        <v>550</v>
      </c>
      <c r="F2821" s="1497"/>
      <c r="G2821" s="267" t="s">
        <v>56</v>
      </c>
      <c r="H2821" s="3"/>
    </row>
    <row r="2822" spans="1:8">
      <c r="A2822" s="270">
        <v>45013</v>
      </c>
      <c r="B2822" s="267"/>
      <c r="C2822" s="267" t="s">
        <v>205</v>
      </c>
      <c r="D2822" s="3" t="s">
        <v>71</v>
      </c>
      <c r="E2822" s="1497">
        <v>46000</v>
      </c>
      <c r="F2822" s="1497"/>
      <c r="G2822" s="267" t="s">
        <v>56</v>
      </c>
      <c r="H2822" s="3"/>
    </row>
    <row r="2823" spans="1:8">
      <c r="A2823" s="270">
        <v>45013</v>
      </c>
      <c r="B2823" s="267"/>
      <c r="C2823" s="267" t="s">
        <v>55</v>
      </c>
      <c r="D2823" s="3" t="s">
        <v>1567</v>
      </c>
      <c r="E2823" s="1497">
        <v>1150</v>
      </c>
      <c r="F2823" s="1497"/>
      <c r="G2823" s="267" t="s">
        <v>56</v>
      </c>
      <c r="H2823" s="3"/>
    </row>
    <row r="2824" spans="1:8">
      <c r="A2824" s="270">
        <v>45013</v>
      </c>
      <c r="B2824" s="267"/>
      <c r="C2824" s="267" t="s">
        <v>86</v>
      </c>
      <c r="D2824" s="3" t="s">
        <v>104</v>
      </c>
      <c r="E2824" s="1497">
        <v>5000</v>
      </c>
      <c r="F2824" s="1497"/>
      <c r="G2824" s="267" t="s">
        <v>56</v>
      </c>
      <c r="H2824" s="3" t="s">
        <v>919</v>
      </c>
    </row>
    <row r="2825" spans="1:8">
      <c r="A2825" s="270">
        <v>45013</v>
      </c>
      <c r="B2825" s="267"/>
      <c r="C2825" s="267" t="s">
        <v>55</v>
      </c>
      <c r="D2825" s="15" t="s">
        <v>1660</v>
      </c>
      <c r="E2825" s="1497">
        <v>4270</v>
      </c>
      <c r="F2825" s="1497"/>
      <c r="G2825" s="267" t="s">
        <v>56</v>
      </c>
      <c r="H2825" s="3" t="s">
        <v>919</v>
      </c>
    </row>
    <row r="2826" spans="1:8">
      <c r="A2826" s="270">
        <v>45013</v>
      </c>
      <c r="B2826" s="267"/>
      <c r="C2826" s="267" t="s">
        <v>55</v>
      </c>
      <c r="D2826" s="3" t="s">
        <v>1735</v>
      </c>
      <c r="E2826" s="1497">
        <v>158</v>
      </c>
      <c r="F2826" s="1497"/>
      <c r="G2826" s="267" t="s">
        <v>56</v>
      </c>
      <c r="H2826" s="3" t="s">
        <v>919</v>
      </c>
    </row>
    <row r="2827" spans="1:8">
      <c r="A2827" s="270">
        <v>45014</v>
      </c>
      <c r="B2827" s="267"/>
      <c r="C2827" s="267" t="s">
        <v>92</v>
      </c>
      <c r="D2827" s="3" t="s">
        <v>1318</v>
      </c>
      <c r="E2827" s="1497"/>
      <c r="F2827" s="1497">
        <v>291900</v>
      </c>
      <c r="G2827" s="267" t="s">
        <v>27</v>
      </c>
      <c r="H2827" s="3"/>
    </row>
    <row r="2828" spans="1:8">
      <c r="A2828" s="270">
        <v>45014</v>
      </c>
      <c r="B2828" s="267"/>
      <c r="C2828" s="267" t="s">
        <v>92</v>
      </c>
      <c r="D2828" s="3" t="s">
        <v>1318</v>
      </c>
      <c r="E2828" s="1497">
        <v>4339.09</v>
      </c>
      <c r="F2828" s="1497"/>
      <c r="G2828" s="267" t="s">
        <v>27</v>
      </c>
      <c r="H2828" s="3"/>
    </row>
    <row r="2829" spans="1:8">
      <c r="A2829" s="270">
        <v>45014</v>
      </c>
      <c r="B2829" s="267"/>
      <c r="C2829" s="267" t="s">
        <v>92</v>
      </c>
      <c r="D2829" s="3" t="s">
        <v>1556</v>
      </c>
      <c r="E2829" s="1497"/>
      <c r="F2829" s="1497">
        <v>96700</v>
      </c>
      <c r="G2829" s="267" t="s">
        <v>27</v>
      </c>
      <c r="H2829" s="3"/>
    </row>
    <row r="2830" spans="1:8">
      <c r="A2830" s="270">
        <v>45014</v>
      </c>
      <c r="B2830" s="267"/>
      <c r="C2830" s="267" t="s">
        <v>205</v>
      </c>
      <c r="D2830" s="3" t="s">
        <v>689</v>
      </c>
      <c r="E2830" s="1497">
        <v>115800</v>
      </c>
      <c r="F2830" s="1497"/>
      <c r="G2830" s="267" t="s">
        <v>1279</v>
      </c>
      <c r="H2830" s="3"/>
    </row>
    <row r="2831" spans="1:8">
      <c r="A2831" s="270">
        <v>45014</v>
      </c>
      <c r="B2831" s="267"/>
      <c r="C2831" s="267" t="s">
        <v>205</v>
      </c>
      <c r="D2831" s="3" t="s">
        <v>49</v>
      </c>
      <c r="E2831" s="1497">
        <v>59000</v>
      </c>
      <c r="F2831" s="1497"/>
      <c r="G2831" s="267" t="s">
        <v>1739</v>
      </c>
      <c r="H2831" s="3"/>
    </row>
    <row r="2832" spans="1:8">
      <c r="A2832" s="270">
        <v>45014</v>
      </c>
      <c r="B2832" s="267"/>
      <c r="C2832" s="267" t="s">
        <v>205</v>
      </c>
      <c r="D2832" s="3" t="s">
        <v>190</v>
      </c>
      <c r="E2832" s="1497">
        <v>51000</v>
      </c>
      <c r="F2832" s="1497"/>
      <c r="G2832" s="267" t="s">
        <v>27</v>
      </c>
      <c r="H2832" s="3"/>
    </row>
    <row r="2833" spans="1:8">
      <c r="A2833" s="270">
        <v>45014</v>
      </c>
      <c r="B2833" s="267"/>
      <c r="C2833" s="267" t="s">
        <v>55</v>
      </c>
      <c r="D2833" s="3" t="s">
        <v>38</v>
      </c>
      <c r="E2833" s="1497">
        <v>450</v>
      </c>
      <c r="F2833" s="1497"/>
      <c r="G2833" s="267" t="s">
        <v>56</v>
      </c>
      <c r="H2833" s="3"/>
    </row>
    <row r="2834" spans="1:8">
      <c r="A2834" s="270">
        <v>45014</v>
      </c>
      <c r="B2834" s="267"/>
      <c r="C2834" s="267" t="s">
        <v>55</v>
      </c>
      <c r="D2834" s="15" t="s">
        <v>1431</v>
      </c>
      <c r="E2834" s="1497">
        <v>1600</v>
      </c>
      <c r="F2834" s="1497"/>
      <c r="G2834" s="267" t="s">
        <v>56</v>
      </c>
      <c r="H2834" s="3"/>
    </row>
    <row r="2835" spans="1:8">
      <c r="A2835" s="270">
        <v>45014</v>
      </c>
      <c r="B2835" s="267"/>
      <c r="C2835" s="267" t="s">
        <v>77</v>
      </c>
      <c r="D2835" s="3" t="s">
        <v>1736</v>
      </c>
      <c r="E2835" s="1497"/>
      <c r="F2835" s="1497">
        <v>290400</v>
      </c>
      <c r="G2835" s="267" t="s">
        <v>27</v>
      </c>
      <c r="H2835" s="3"/>
    </row>
    <row r="2836" spans="1:8">
      <c r="A2836" s="270">
        <v>45014</v>
      </c>
      <c r="B2836" s="267"/>
      <c r="C2836" s="267" t="s">
        <v>79</v>
      </c>
      <c r="D2836" s="3" t="s">
        <v>1648</v>
      </c>
      <c r="E2836" s="1497">
        <v>13890</v>
      </c>
      <c r="F2836" s="1497"/>
      <c r="G2836" s="267" t="s">
        <v>27</v>
      </c>
      <c r="H2836" s="3"/>
    </row>
    <row r="2837" spans="1:8">
      <c r="A2837" s="270">
        <v>45014</v>
      </c>
      <c r="B2837" s="267"/>
      <c r="C2837" s="267" t="s">
        <v>90</v>
      </c>
      <c r="D2837" s="3" t="s">
        <v>1740</v>
      </c>
      <c r="E2837" s="1497">
        <v>11870</v>
      </c>
      <c r="F2837" s="1497"/>
      <c r="G2837" s="267" t="s">
        <v>27</v>
      </c>
      <c r="H2837" s="3"/>
    </row>
    <row r="2838" spans="1:8">
      <c r="A2838" s="270">
        <v>45015</v>
      </c>
      <c r="B2838" s="267"/>
      <c r="C2838" s="267" t="s">
        <v>94</v>
      </c>
      <c r="D2838" s="3" t="s">
        <v>795</v>
      </c>
      <c r="E2838" s="1497">
        <v>6000</v>
      </c>
      <c r="F2838" s="1497"/>
      <c r="G2838" s="267" t="s">
        <v>27</v>
      </c>
      <c r="H2838" s="3"/>
    </row>
    <row r="2839" spans="1:8">
      <c r="A2839" s="270">
        <v>45015</v>
      </c>
      <c r="B2839" s="267"/>
      <c r="C2839" s="267" t="s">
        <v>94</v>
      </c>
      <c r="D2839" s="3" t="s">
        <v>13</v>
      </c>
      <c r="E2839" s="1497">
        <v>2662.47</v>
      </c>
      <c r="F2839" s="1497"/>
      <c r="G2839" s="267" t="s">
        <v>27</v>
      </c>
      <c r="H2839" s="3"/>
    </row>
    <row r="2840" spans="1:8">
      <c r="A2840" s="270">
        <v>45015</v>
      </c>
      <c r="B2840" s="267"/>
      <c r="C2840" s="267" t="s">
        <v>205</v>
      </c>
      <c r="D2840" s="3" t="s">
        <v>11</v>
      </c>
      <c r="E2840" s="1497">
        <v>75938</v>
      </c>
      <c r="F2840" s="1497"/>
      <c r="G2840" s="267" t="s">
        <v>1742</v>
      </c>
      <c r="H2840" s="3"/>
    </row>
    <row r="2841" spans="1:8">
      <c r="A2841" s="270">
        <v>45015</v>
      </c>
      <c r="B2841" s="267"/>
      <c r="C2841" s="267" t="s">
        <v>205</v>
      </c>
      <c r="D2841" s="3" t="s">
        <v>11</v>
      </c>
      <c r="E2841" s="1497">
        <v>132320</v>
      </c>
      <c r="F2841" s="1497"/>
      <c r="G2841" s="267" t="s">
        <v>1741</v>
      </c>
      <c r="H2841" s="3"/>
    </row>
    <row r="2842" spans="1:8">
      <c r="A2842" s="270">
        <v>45015</v>
      </c>
      <c r="B2842" s="267"/>
      <c r="C2842" s="267" t="s">
        <v>94</v>
      </c>
      <c r="D2842" s="3" t="s">
        <v>1596</v>
      </c>
      <c r="E2842" s="1497"/>
      <c r="F2842" s="1497">
        <v>43300</v>
      </c>
      <c r="G2842" s="267" t="s">
        <v>72</v>
      </c>
      <c r="H2842" s="3" t="s">
        <v>1743</v>
      </c>
    </row>
    <row r="2843" spans="1:8">
      <c r="A2843" s="270">
        <v>45015</v>
      </c>
      <c r="B2843" s="267"/>
      <c r="C2843" s="267" t="s">
        <v>94</v>
      </c>
      <c r="D2843" s="15" t="s">
        <v>1596</v>
      </c>
      <c r="E2843" s="1497"/>
      <c r="F2843" s="1497">
        <v>44000</v>
      </c>
      <c r="G2843" s="267" t="s">
        <v>56</v>
      </c>
      <c r="H2843" s="3"/>
    </row>
    <row r="2844" spans="1:8">
      <c r="A2844" s="270">
        <v>45015</v>
      </c>
      <c r="B2844" s="267"/>
      <c r="C2844" s="267" t="s">
        <v>55</v>
      </c>
      <c r="D2844" s="3" t="s">
        <v>1715</v>
      </c>
      <c r="E2844" s="1497">
        <v>432</v>
      </c>
      <c r="F2844" s="1497"/>
      <c r="G2844" s="267" t="s">
        <v>56</v>
      </c>
      <c r="H2844" s="3"/>
    </row>
    <row r="2845" spans="1:8">
      <c r="A2845" s="270">
        <v>45015</v>
      </c>
      <c r="B2845" s="267"/>
      <c r="C2845" s="267" t="s">
        <v>92</v>
      </c>
      <c r="D2845" s="3" t="s">
        <v>1744</v>
      </c>
      <c r="E2845" s="1497"/>
      <c r="F2845" s="1497">
        <v>6540</v>
      </c>
      <c r="G2845" s="267" t="s">
        <v>27</v>
      </c>
      <c r="H2845" s="3"/>
    </row>
    <row r="2846" spans="1:8">
      <c r="A2846" s="270">
        <v>45015</v>
      </c>
      <c r="B2846" s="267"/>
      <c r="C2846" s="267" t="s">
        <v>79</v>
      </c>
      <c r="D2846" s="3" t="s">
        <v>151</v>
      </c>
      <c r="E2846" s="1497">
        <v>3500</v>
      </c>
      <c r="F2846" s="1497"/>
      <c r="G2846" s="267" t="s">
        <v>56</v>
      </c>
      <c r="H2846" s="3"/>
    </row>
    <row r="2847" spans="1:8">
      <c r="A2847" s="270">
        <v>45015</v>
      </c>
      <c r="B2847" s="267"/>
      <c r="C2847" s="267" t="s">
        <v>92</v>
      </c>
      <c r="D2847" s="3" t="s">
        <v>1701</v>
      </c>
      <c r="E2847" s="1497"/>
      <c r="F2847" s="1497">
        <v>4000</v>
      </c>
      <c r="G2847" s="267" t="s">
        <v>56</v>
      </c>
      <c r="H2847" s="3"/>
    </row>
    <row r="2848" spans="1:8">
      <c r="A2848" s="270">
        <v>45015</v>
      </c>
      <c r="B2848" s="267"/>
      <c r="C2848" s="267" t="s">
        <v>79</v>
      </c>
      <c r="D2848" s="3" t="s">
        <v>1745</v>
      </c>
      <c r="E2848" s="1497">
        <v>99010.559999999998</v>
      </c>
      <c r="F2848" s="1497"/>
      <c r="G2848" s="267" t="s">
        <v>27</v>
      </c>
      <c r="H2848" s="3"/>
    </row>
    <row r="2849" spans="1:8">
      <c r="A2849" s="270">
        <v>45015</v>
      </c>
      <c r="B2849" s="267"/>
      <c r="C2849" s="267" t="s">
        <v>88</v>
      </c>
      <c r="D2849" s="15" t="s">
        <v>1746</v>
      </c>
      <c r="E2849" s="1497">
        <v>20000</v>
      </c>
      <c r="F2849" s="1497"/>
      <c r="G2849" s="267" t="s">
        <v>27</v>
      </c>
      <c r="H2849" s="3"/>
    </row>
    <row r="2850" spans="1:8">
      <c r="A2850" s="270">
        <v>45015</v>
      </c>
      <c r="B2850" s="267"/>
      <c r="C2850" s="267" t="s">
        <v>55</v>
      </c>
      <c r="D2850" s="15" t="s">
        <v>1747</v>
      </c>
      <c r="E2850" s="1497">
        <v>970</v>
      </c>
      <c r="F2850" s="1497"/>
      <c r="G2850" s="267" t="s">
        <v>56</v>
      </c>
      <c r="H2850" s="3"/>
    </row>
    <row r="2851" spans="1:8">
      <c r="A2851" s="270">
        <v>45015</v>
      </c>
      <c r="B2851" s="267"/>
      <c r="C2851" s="267" t="s">
        <v>176</v>
      </c>
      <c r="D2851" s="15" t="s">
        <v>1749</v>
      </c>
      <c r="E2851" s="1497">
        <v>20000</v>
      </c>
      <c r="F2851" s="1497"/>
      <c r="G2851" s="267" t="s">
        <v>27</v>
      </c>
      <c r="H2851" s="3"/>
    </row>
    <row r="2852" spans="1:8">
      <c r="A2852" s="270">
        <v>45016</v>
      </c>
      <c r="B2852" s="267"/>
      <c r="C2852" s="267" t="s">
        <v>92</v>
      </c>
      <c r="D2852" s="3" t="s">
        <v>1510</v>
      </c>
      <c r="E2852" s="1497"/>
      <c r="F2852" s="1497">
        <v>24500</v>
      </c>
      <c r="G2852" s="267" t="s">
        <v>56</v>
      </c>
      <c r="H2852" s="3"/>
    </row>
    <row r="2853" spans="1:8">
      <c r="A2853" s="270">
        <v>45016</v>
      </c>
      <c r="B2853" s="267"/>
      <c r="C2853" s="267" t="s">
        <v>55</v>
      </c>
      <c r="D2853" s="15" t="s">
        <v>1748</v>
      </c>
      <c r="E2853" s="1497">
        <v>3000</v>
      </c>
      <c r="F2853" s="1497"/>
      <c r="G2853" s="267" t="s">
        <v>56</v>
      </c>
      <c r="H2853" s="3"/>
    </row>
    <row r="2854" spans="1:8">
      <c r="A2854" s="270">
        <v>45016</v>
      </c>
      <c r="B2854" s="267"/>
      <c r="C2854" s="267" t="s">
        <v>92</v>
      </c>
      <c r="D2854" s="3" t="s">
        <v>1751</v>
      </c>
      <c r="E2854" s="1497"/>
      <c r="F2854" s="1497">
        <v>7910</v>
      </c>
      <c r="G2854" s="267" t="s">
        <v>27</v>
      </c>
      <c r="H2854" s="3"/>
    </row>
    <row r="2855" spans="1:8">
      <c r="A2855" s="270">
        <v>45016</v>
      </c>
      <c r="B2855" s="267"/>
      <c r="C2855" s="267" t="s">
        <v>55</v>
      </c>
      <c r="D2855" s="3" t="s">
        <v>1752</v>
      </c>
      <c r="E2855" s="1497">
        <v>500</v>
      </c>
      <c r="F2855" s="1497"/>
      <c r="G2855" s="267" t="s">
        <v>56</v>
      </c>
      <c r="H2855" s="3"/>
    </row>
    <row r="2856" spans="1:8">
      <c r="A2856" s="270">
        <v>45016</v>
      </c>
      <c r="B2856" s="267"/>
      <c r="C2856" s="267" t="s">
        <v>88</v>
      </c>
      <c r="D2856" s="3" t="s">
        <v>144</v>
      </c>
      <c r="E2856" s="1497">
        <v>46000</v>
      </c>
      <c r="F2856" s="1497"/>
      <c r="G2856" s="267" t="s">
        <v>56</v>
      </c>
      <c r="H2856" s="3"/>
    </row>
    <row r="2857" spans="1:8">
      <c r="A2857" s="270">
        <v>45016</v>
      </c>
      <c r="B2857" s="267"/>
      <c r="C2857" s="267" t="s">
        <v>88</v>
      </c>
      <c r="D2857" s="3" t="s">
        <v>208</v>
      </c>
      <c r="E2857" s="1497">
        <v>30000</v>
      </c>
      <c r="F2857" s="1497"/>
      <c r="G2857" s="267" t="s">
        <v>56</v>
      </c>
      <c r="H2857" s="3"/>
    </row>
    <row r="2858" spans="1:8">
      <c r="A2858" s="270">
        <v>45016</v>
      </c>
      <c r="B2858" s="267"/>
      <c r="C2858" s="267" t="s">
        <v>88</v>
      </c>
      <c r="D2858" s="3" t="s">
        <v>219</v>
      </c>
      <c r="E2858" s="1497">
        <v>20000</v>
      </c>
      <c r="F2858" s="1497"/>
      <c r="G2858" s="267" t="s">
        <v>56</v>
      </c>
      <c r="H2858" s="3"/>
    </row>
    <row r="2859" spans="1:8">
      <c r="A2859" s="270">
        <v>45016</v>
      </c>
      <c r="B2859" s="267"/>
      <c r="C2859" s="267" t="s">
        <v>88</v>
      </c>
      <c r="D2859" s="3" t="s">
        <v>1753</v>
      </c>
      <c r="E2859" s="1497">
        <v>23000</v>
      </c>
      <c r="F2859" s="1497"/>
      <c r="G2859" s="267" t="s">
        <v>56</v>
      </c>
      <c r="H2859" s="3"/>
    </row>
    <row r="2860" spans="1:8">
      <c r="H2860" s="128" t="s">
        <v>1754</v>
      </c>
    </row>
    <row r="2861" spans="1:8">
      <c r="H2861" s="133" t="s">
        <v>1758</v>
      </c>
    </row>
    <row r="2862" spans="1:8">
      <c r="H2862" s="132" t="s">
        <v>1757</v>
      </c>
    </row>
    <row r="2863" spans="1:8">
      <c r="H2863" s="117" t="s">
        <v>1725</v>
      </c>
    </row>
    <row r="2864" spans="1:8">
      <c r="H2864" s="117" t="s">
        <v>1726</v>
      </c>
    </row>
    <row r="2865" spans="1:8">
      <c r="H2865" s="117" t="s">
        <v>1636</v>
      </c>
    </row>
    <row r="2866" spans="1:8">
      <c r="H2866" s="117" t="s">
        <v>1756</v>
      </c>
    </row>
    <row r="2867" spans="1:8">
      <c r="H2867" s="118" t="s">
        <v>1755</v>
      </c>
    </row>
    <row r="2868" spans="1:8">
      <c r="A2868" s="270">
        <v>45016</v>
      </c>
      <c r="B2868" s="267"/>
      <c r="C2868" s="267" t="s">
        <v>537</v>
      </c>
      <c r="D2868" s="3" t="s">
        <v>1759</v>
      </c>
      <c r="E2868" s="1497">
        <v>23000</v>
      </c>
      <c r="F2868" s="1497"/>
      <c r="G2868" s="267" t="s">
        <v>27</v>
      </c>
      <c r="H2868" s="3"/>
    </row>
    <row r="2869" spans="1:8">
      <c r="A2869" s="270">
        <v>45017</v>
      </c>
      <c r="B2869" s="267"/>
      <c r="C2869" s="267" t="s">
        <v>537</v>
      </c>
      <c r="D2869" s="3" t="s">
        <v>193</v>
      </c>
      <c r="E2869" s="1497">
        <v>23000</v>
      </c>
      <c r="F2869" s="1497"/>
      <c r="G2869" s="267" t="s">
        <v>27</v>
      </c>
      <c r="H2869" s="3"/>
    </row>
    <row r="2870" spans="1:8">
      <c r="A2870" s="270">
        <v>45017</v>
      </c>
      <c r="B2870" s="267"/>
      <c r="C2870" s="267" t="s">
        <v>79</v>
      </c>
      <c r="D2870" s="3" t="s">
        <v>79</v>
      </c>
      <c r="E2870" s="1497">
        <v>2675</v>
      </c>
      <c r="F2870" s="1497"/>
      <c r="G2870" s="267" t="s">
        <v>27</v>
      </c>
      <c r="H2870" s="3"/>
    </row>
    <row r="2871" spans="1:8">
      <c r="A2871" s="270">
        <v>45019</v>
      </c>
      <c r="B2871" s="267"/>
      <c r="C2871" s="267" t="s">
        <v>205</v>
      </c>
      <c r="D2871" s="3" t="s">
        <v>11</v>
      </c>
      <c r="E2871" s="1497">
        <v>61270</v>
      </c>
      <c r="F2871" s="1497"/>
      <c r="G2871" s="267" t="s">
        <v>27</v>
      </c>
      <c r="H2871" s="3"/>
    </row>
    <row r="2872" spans="1:8">
      <c r="A2872" s="270">
        <v>45019</v>
      </c>
      <c r="B2872" s="267"/>
      <c r="C2872" s="267" t="s">
        <v>77</v>
      </c>
      <c r="D2872" s="3" t="s">
        <v>1096</v>
      </c>
      <c r="E2872" s="1497"/>
      <c r="F2872" s="1497">
        <v>308000</v>
      </c>
      <c r="G2872" s="267" t="s">
        <v>56</v>
      </c>
      <c r="H2872" s="3"/>
    </row>
    <row r="2873" spans="1:8">
      <c r="A2873" s="270">
        <v>45019</v>
      </c>
      <c r="B2873" s="267"/>
      <c r="C2873" s="267" t="s">
        <v>205</v>
      </c>
      <c r="D2873" s="3" t="s">
        <v>246</v>
      </c>
      <c r="E2873" s="1497">
        <v>151300</v>
      </c>
      <c r="F2873" s="1497"/>
      <c r="G2873" s="267" t="s">
        <v>56</v>
      </c>
      <c r="H2873" s="3"/>
    </row>
    <row r="2874" spans="1:8">
      <c r="A2874" s="270">
        <v>45019</v>
      </c>
      <c r="B2874" s="267"/>
      <c r="C2874" s="267" t="s">
        <v>77</v>
      </c>
      <c r="D2874" s="3" t="s">
        <v>1578</v>
      </c>
      <c r="E2874" s="1497"/>
      <c r="F2874" s="1497">
        <v>125000</v>
      </c>
      <c r="G2874" s="267" t="s">
        <v>27</v>
      </c>
      <c r="H2874" s="3"/>
    </row>
    <row r="2875" spans="1:8">
      <c r="A2875" s="270">
        <v>45019</v>
      </c>
      <c r="B2875" s="267"/>
      <c r="C2875" s="267" t="s">
        <v>205</v>
      </c>
      <c r="D2875" s="15" t="s">
        <v>1761</v>
      </c>
      <c r="E2875" s="1497">
        <v>14750</v>
      </c>
      <c r="F2875" s="1497"/>
      <c r="G2875" s="267" t="s">
        <v>27</v>
      </c>
      <c r="H2875" s="3"/>
    </row>
    <row r="2876" spans="1:8">
      <c r="A2876" s="270">
        <v>45019</v>
      </c>
      <c r="B2876" s="267"/>
      <c r="C2876" s="267" t="s">
        <v>205</v>
      </c>
      <c r="D2876" s="15" t="s">
        <v>1761</v>
      </c>
      <c r="E2876" s="1497">
        <v>59000</v>
      </c>
      <c r="F2876" s="1497"/>
      <c r="G2876" s="267" t="s">
        <v>287</v>
      </c>
      <c r="H2876" s="3" t="s">
        <v>1762</v>
      </c>
    </row>
    <row r="2877" spans="1:8">
      <c r="A2877" s="270">
        <v>45019</v>
      </c>
      <c r="B2877" s="267"/>
      <c r="C2877" s="267" t="s">
        <v>1495</v>
      </c>
      <c r="D2877" s="3" t="s">
        <v>36</v>
      </c>
      <c r="E2877" s="1497">
        <v>10000</v>
      </c>
      <c r="F2877" s="1497"/>
      <c r="G2877" s="267" t="s">
        <v>27</v>
      </c>
      <c r="H2877" s="3"/>
    </row>
    <row r="2878" spans="1:8">
      <c r="A2878" s="270">
        <v>45019</v>
      </c>
      <c r="B2878" s="267"/>
      <c r="C2878" s="267" t="s">
        <v>79</v>
      </c>
      <c r="D2878" s="3" t="s">
        <v>211</v>
      </c>
      <c r="E2878" s="1497">
        <v>19058</v>
      </c>
      <c r="F2878" s="1497"/>
      <c r="G2878" s="267" t="s">
        <v>27</v>
      </c>
      <c r="H2878" s="3"/>
    </row>
    <row r="2879" spans="1:8">
      <c r="A2879" s="270">
        <v>45019</v>
      </c>
      <c r="B2879" s="267"/>
      <c r="C2879" s="267" t="s">
        <v>92</v>
      </c>
      <c r="D2879" s="3" t="s">
        <v>1764</v>
      </c>
      <c r="E2879" s="1497"/>
      <c r="F2879" s="1497">
        <v>4000</v>
      </c>
      <c r="G2879" s="267" t="s">
        <v>56</v>
      </c>
      <c r="H2879" s="3"/>
    </row>
    <row r="2880" spans="1:8">
      <c r="A2880" s="270">
        <v>45019</v>
      </c>
      <c r="B2880" s="267"/>
      <c r="C2880" s="267" t="s">
        <v>77</v>
      </c>
      <c r="D2880" s="3" t="s">
        <v>1765</v>
      </c>
      <c r="E2880" s="1497"/>
      <c r="F2880" s="1497">
        <v>256100</v>
      </c>
      <c r="G2880" s="267" t="s">
        <v>72</v>
      </c>
      <c r="H2880" s="3"/>
    </row>
    <row r="2881" spans="1:8">
      <c r="A2881" s="270">
        <v>45020</v>
      </c>
      <c r="B2881" s="267"/>
      <c r="C2881" s="267" t="s">
        <v>65</v>
      </c>
      <c r="D2881" s="15" t="s">
        <v>1766</v>
      </c>
      <c r="E2881" s="1497">
        <v>1930</v>
      </c>
      <c r="F2881" s="1497"/>
      <c r="G2881" s="267" t="s">
        <v>27</v>
      </c>
      <c r="H2881" s="3"/>
    </row>
    <row r="2882" spans="1:8">
      <c r="A2882" s="270">
        <v>45020</v>
      </c>
      <c r="B2882" s="267"/>
      <c r="C2882" s="267" t="s">
        <v>65</v>
      </c>
      <c r="D2882" s="15" t="s">
        <v>1767</v>
      </c>
      <c r="E2882" s="1497">
        <v>1930</v>
      </c>
      <c r="F2882" s="1497"/>
      <c r="G2882" s="267" t="s">
        <v>27</v>
      </c>
      <c r="H2882" s="3"/>
    </row>
    <row r="2883" spans="1:8">
      <c r="A2883" s="270">
        <v>45020</v>
      </c>
      <c r="B2883" s="267"/>
      <c r="C2883" s="267" t="s">
        <v>65</v>
      </c>
      <c r="D2883" s="15" t="s">
        <v>1768</v>
      </c>
      <c r="E2883" s="1497">
        <v>7080</v>
      </c>
      <c r="F2883" s="1497"/>
      <c r="G2883" s="267" t="s">
        <v>27</v>
      </c>
      <c r="H2883" s="3"/>
    </row>
    <row r="2884" spans="1:8">
      <c r="A2884" s="270">
        <v>45020</v>
      </c>
      <c r="B2884" s="267"/>
      <c r="C2884" s="267" t="s">
        <v>86</v>
      </c>
      <c r="D2884" s="3" t="s">
        <v>107</v>
      </c>
      <c r="E2884" s="1497">
        <v>4000</v>
      </c>
      <c r="F2884" s="1497"/>
      <c r="G2884" s="267" t="s">
        <v>27</v>
      </c>
      <c r="H2884" s="3"/>
    </row>
    <row r="2885" spans="1:8">
      <c r="A2885" s="270">
        <v>45020</v>
      </c>
      <c r="B2885" s="267"/>
      <c r="C2885" s="267" t="s">
        <v>1770</v>
      </c>
      <c r="D2885" s="3" t="s">
        <v>1769</v>
      </c>
      <c r="E2885" s="1497">
        <v>12291</v>
      </c>
      <c r="F2885" s="1497"/>
      <c r="G2885" s="267" t="s">
        <v>27</v>
      </c>
      <c r="H2885" s="3"/>
    </row>
    <row r="2886" spans="1:8">
      <c r="A2886" s="270">
        <v>45020</v>
      </c>
      <c r="B2886" s="267"/>
      <c r="C2886" s="267" t="s">
        <v>92</v>
      </c>
      <c r="D2886" s="3" t="s">
        <v>1667</v>
      </c>
      <c r="E2886" s="1497"/>
      <c r="F2886" s="1497">
        <v>27700</v>
      </c>
      <c r="G2886" s="267" t="s">
        <v>72</v>
      </c>
      <c r="H2886" s="3" t="s">
        <v>1771</v>
      </c>
    </row>
    <row r="2887" spans="1:8">
      <c r="A2887" s="270">
        <v>45020</v>
      </c>
      <c r="B2887" s="267"/>
      <c r="C2887" s="267" t="s">
        <v>55</v>
      </c>
      <c r="D2887" s="3" t="s">
        <v>1773</v>
      </c>
      <c r="E2887" s="1497">
        <v>33080</v>
      </c>
      <c r="F2887" s="1497"/>
      <c r="G2887" s="267" t="s">
        <v>287</v>
      </c>
      <c r="H2887" s="3" t="s">
        <v>1772</v>
      </c>
    </row>
    <row r="2888" spans="1:8">
      <c r="A2888" s="270">
        <v>45020</v>
      </c>
      <c r="B2888" s="267"/>
      <c r="C2888" s="267" t="s">
        <v>62</v>
      </c>
      <c r="D2888" s="3" t="s">
        <v>63</v>
      </c>
      <c r="E2888" s="1497">
        <v>762.25</v>
      </c>
      <c r="F2888" s="1497"/>
      <c r="G2888" s="267" t="s">
        <v>56</v>
      </c>
      <c r="H2888" s="3"/>
    </row>
    <row r="2889" spans="1:8">
      <c r="A2889" s="270">
        <v>45020</v>
      </c>
      <c r="B2889" s="267"/>
      <c r="C2889" s="267" t="s">
        <v>205</v>
      </c>
      <c r="D2889" s="3" t="s">
        <v>38</v>
      </c>
      <c r="E2889" s="1497">
        <v>550</v>
      </c>
      <c r="F2889" s="1497"/>
      <c r="G2889" s="267" t="s">
        <v>56</v>
      </c>
      <c r="H2889" s="3"/>
    </row>
    <row r="2890" spans="1:8">
      <c r="A2890" s="270">
        <v>45020</v>
      </c>
      <c r="B2890" s="267"/>
      <c r="C2890" s="267" t="s">
        <v>55</v>
      </c>
      <c r="D2890" s="3" t="s">
        <v>1774</v>
      </c>
      <c r="E2890" s="1497">
        <v>7000</v>
      </c>
      <c r="F2890" s="1497"/>
      <c r="G2890" s="267" t="s">
        <v>56</v>
      </c>
      <c r="H2890" s="3"/>
    </row>
    <row r="2891" spans="1:8">
      <c r="A2891" s="270">
        <v>45021</v>
      </c>
      <c r="B2891" s="267"/>
      <c r="C2891" s="267" t="s">
        <v>90</v>
      </c>
      <c r="D2891" s="3" t="s">
        <v>1431</v>
      </c>
      <c r="E2891" s="1497">
        <v>2400</v>
      </c>
      <c r="F2891" s="1497"/>
      <c r="G2891" s="267" t="s">
        <v>56</v>
      </c>
      <c r="H2891" s="3"/>
    </row>
    <row r="2892" spans="1:8">
      <c r="A2892" s="270">
        <v>45021</v>
      </c>
      <c r="B2892" s="267"/>
      <c r="C2892" s="267" t="s">
        <v>77</v>
      </c>
      <c r="D2892" s="3" t="s">
        <v>1602</v>
      </c>
      <c r="E2892" s="1497"/>
      <c r="F2892" s="1497" t="s">
        <v>1779</v>
      </c>
      <c r="G2892" s="267" t="s">
        <v>27</v>
      </c>
      <c r="H2892" s="3"/>
    </row>
    <row r="2893" spans="1:8">
      <c r="A2893" s="270">
        <v>45021</v>
      </c>
      <c r="B2893" s="267"/>
      <c r="C2893" s="267" t="s">
        <v>92</v>
      </c>
      <c r="D2893" s="3" t="s">
        <v>1775</v>
      </c>
      <c r="E2893" s="1497"/>
      <c r="F2893" s="1497">
        <v>127400</v>
      </c>
      <c r="G2893" s="267" t="s">
        <v>27</v>
      </c>
      <c r="H2893" s="3"/>
    </row>
    <row r="2894" spans="1:8">
      <c r="A2894" s="270">
        <v>45021</v>
      </c>
      <c r="B2894" s="267"/>
      <c r="C2894" s="267" t="s">
        <v>92</v>
      </c>
      <c r="D2894" s="3" t="s">
        <v>1775</v>
      </c>
      <c r="E2894" s="1497">
        <v>762.39</v>
      </c>
      <c r="F2894" s="1497"/>
      <c r="G2894" s="267" t="s">
        <v>27</v>
      </c>
      <c r="H2894" s="3"/>
    </row>
    <row r="2895" spans="1:8">
      <c r="A2895" s="270">
        <v>45021</v>
      </c>
      <c r="B2895" s="267"/>
      <c r="C2895" s="267" t="s">
        <v>55</v>
      </c>
      <c r="D2895" s="3" t="s">
        <v>1776</v>
      </c>
      <c r="E2895" s="1497">
        <v>400</v>
      </c>
      <c r="F2895" s="1497"/>
      <c r="G2895" s="267" t="s">
        <v>56</v>
      </c>
      <c r="H2895" s="3"/>
    </row>
    <row r="2896" spans="1:8">
      <c r="A2896" s="270">
        <v>45021</v>
      </c>
      <c r="B2896" s="267"/>
      <c r="C2896" s="267" t="s">
        <v>55</v>
      </c>
      <c r="D2896" s="3" t="s">
        <v>1777</v>
      </c>
      <c r="E2896" s="1497">
        <v>200</v>
      </c>
      <c r="F2896" s="1497"/>
      <c r="G2896" s="267" t="s">
        <v>56</v>
      </c>
      <c r="H2896" s="3"/>
    </row>
    <row r="2897" spans="1:8">
      <c r="A2897" s="270">
        <v>45021</v>
      </c>
      <c r="B2897" s="267"/>
      <c r="C2897" s="267" t="s">
        <v>55</v>
      </c>
      <c r="D2897" s="15" t="s">
        <v>1778</v>
      </c>
      <c r="E2897" s="1497">
        <v>1500</v>
      </c>
      <c r="F2897" s="1497"/>
      <c r="G2897" s="267" t="s">
        <v>56</v>
      </c>
      <c r="H2897" s="3"/>
    </row>
    <row r="2898" spans="1:8">
      <c r="A2898" s="270">
        <v>45022</v>
      </c>
      <c r="B2898" s="267"/>
      <c r="C2898" s="267" t="s">
        <v>86</v>
      </c>
      <c r="D2898" s="3" t="s">
        <v>86</v>
      </c>
      <c r="E2898" s="1497">
        <v>5001.1000000000004</v>
      </c>
      <c r="F2898" s="1497"/>
      <c r="G2898" s="267" t="s">
        <v>27</v>
      </c>
      <c r="H2898" s="3"/>
    </row>
    <row r="2899" spans="1:8">
      <c r="A2899" s="270">
        <v>45022</v>
      </c>
      <c r="B2899" s="267"/>
      <c r="C2899" s="267" t="s">
        <v>55</v>
      </c>
      <c r="D2899" s="3" t="s">
        <v>61</v>
      </c>
      <c r="E2899" s="1497">
        <v>700</v>
      </c>
      <c r="F2899" s="1497"/>
      <c r="G2899" s="267" t="s">
        <v>56</v>
      </c>
      <c r="H2899" s="3"/>
    </row>
    <row r="2900" spans="1:8">
      <c r="A2900" s="270">
        <v>45022</v>
      </c>
      <c r="B2900" s="267"/>
      <c r="C2900" s="267" t="s">
        <v>79</v>
      </c>
      <c r="D2900" s="3" t="s">
        <v>151</v>
      </c>
      <c r="E2900" s="1497">
        <v>2000</v>
      </c>
      <c r="F2900" s="1497"/>
      <c r="G2900" s="267" t="s">
        <v>56</v>
      </c>
      <c r="H2900" s="3"/>
    </row>
    <row r="2901" spans="1:8">
      <c r="A2901" s="270">
        <v>45022</v>
      </c>
      <c r="B2901" s="267"/>
      <c r="C2901" s="267" t="s">
        <v>205</v>
      </c>
      <c r="D2901" s="3" t="s">
        <v>1780</v>
      </c>
      <c r="E2901" s="1497">
        <v>8400</v>
      </c>
      <c r="F2901" s="1497"/>
      <c r="G2901" s="267" t="s">
        <v>56</v>
      </c>
      <c r="H2901" s="3"/>
    </row>
    <row r="2902" spans="1:8">
      <c r="A2902" s="270">
        <v>45022</v>
      </c>
      <c r="B2902" s="267"/>
      <c r="C2902" s="267" t="s">
        <v>55</v>
      </c>
      <c r="D2902" s="15" t="s">
        <v>562</v>
      </c>
      <c r="E2902" s="1497">
        <v>1000</v>
      </c>
      <c r="F2902" s="1497"/>
      <c r="G2902" s="267" t="s">
        <v>56</v>
      </c>
      <c r="H2902" s="3"/>
    </row>
    <row r="2903" spans="1:8">
      <c r="A2903" s="270">
        <v>45022</v>
      </c>
      <c r="B2903" s="267"/>
      <c r="C2903" s="267" t="s">
        <v>205</v>
      </c>
      <c r="D2903" s="3" t="s">
        <v>1781</v>
      </c>
      <c r="E2903" s="1497">
        <v>32500</v>
      </c>
      <c r="F2903" s="1497"/>
      <c r="G2903" s="267" t="s">
        <v>27</v>
      </c>
      <c r="H2903" s="3"/>
    </row>
    <row r="2904" spans="1:8">
      <c r="A2904" s="270">
        <v>45022</v>
      </c>
      <c r="B2904" s="267"/>
      <c r="C2904" s="267" t="s">
        <v>205</v>
      </c>
      <c r="D2904" s="3" t="s">
        <v>207</v>
      </c>
      <c r="E2904" s="1497">
        <v>43300</v>
      </c>
      <c r="F2904" s="1497"/>
      <c r="G2904" s="267" t="s">
        <v>27</v>
      </c>
      <c r="H2904" s="3"/>
    </row>
    <row r="2905" spans="1:8">
      <c r="A2905" s="270">
        <v>45022</v>
      </c>
      <c r="B2905" s="267"/>
      <c r="C2905" s="267" t="s">
        <v>205</v>
      </c>
      <c r="D2905" s="15" t="s">
        <v>1782</v>
      </c>
      <c r="E2905" s="1497">
        <v>50000</v>
      </c>
      <c r="F2905" s="1497"/>
      <c r="G2905" s="267" t="s">
        <v>27</v>
      </c>
      <c r="H2905" s="3"/>
    </row>
    <row r="2906" spans="1:8">
      <c r="A2906" s="270">
        <v>45022</v>
      </c>
      <c r="B2906" s="267"/>
      <c r="C2906" s="267" t="s">
        <v>176</v>
      </c>
      <c r="D2906" s="3" t="s">
        <v>1783</v>
      </c>
      <c r="E2906" s="1497">
        <v>30000</v>
      </c>
      <c r="F2906" s="1497"/>
      <c r="G2906" s="267" t="s">
        <v>27</v>
      </c>
      <c r="H2906" s="3"/>
    </row>
    <row r="2907" spans="1:8">
      <c r="A2907" s="270">
        <v>45022</v>
      </c>
      <c r="B2907" s="267"/>
      <c r="C2907" s="267" t="s">
        <v>88</v>
      </c>
      <c r="D2907" s="15" t="s">
        <v>1784</v>
      </c>
      <c r="E2907" s="1497">
        <v>30000</v>
      </c>
      <c r="F2907" s="1497"/>
      <c r="G2907" s="267" t="s">
        <v>27</v>
      </c>
      <c r="H2907" s="3"/>
    </row>
    <row r="2908" spans="1:8">
      <c r="A2908" s="270">
        <v>45022</v>
      </c>
      <c r="B2908" s="267"/>
      <c r="C2908" s="267" t="s">
        <v>88</v>
      </c>
      <c r="D2908" s="15" t="s">
        <v>144</v>
      </c>
      <c r="E2908" s="1497">
        <v>36300</v>
      </c>
      <c r="F2908" s="1497"/>
      <c r="G2908" s="267" t="s">
        <v>27</v>
      </c>
      <c r="H2908" s="3"/>
    </row>
    <row r="2909" spans="1:8">
      <c r="A2909" s="270">
        <v>45022</v>
      </c>
      <c r="B2909" s="267"/>
      <c r="C2909" s="267" t="s">
        <v>88</v>
      </c>
      <c r="D2909" s="15" t="s">
        <v>219</v>
      </c>
      <c r="E2909" s="1497">
        <v>42500</v>
      </c>
      <c r="F2909" s="1497"/>
      <c r="G2909" s="267" t="s">
        <v>27</v>
      </c>
      <c r="H2909" s="3"/>
    </row>
    <row r="2910" spans="1:8">
      <c r="A2910" s="270">
        <v>45022</v>
      </c>
      <c r="B2910" s="267"/>
      <c r="C2910" s="267" t="s">
        <v>88</v>
      </c>
      <c r="D2910" s="15" t="s">
        <v>208</v>
      </c>
      <c r="E2910" s="1497">
        <v>26250</v>
      </c>
      <c r="F2910" s="1497"/>
      <c r="G2910" s="267" t="s">
        <v>27</v>
      </c>
      <c r="H2910" s="3"/>
    </row>
    <row r="2911" spans="1:8">
      <c r="A2911" s="270">
        <v>45022</v>
      </c>
      <c r="B2911" s="267"/>
      <c r="C2911" s="267" t="s">
        <v>88</v>
      </c>
      <c r="D2911" s="15" t="s">
        <v>824</v>
      </c>
      <c r="E2911" s="1497">
        <v>26000</v>
      </c>
      <c r="F2911" s="1497"/>
      <c r="G2911" s="267" t="s">
        <v>27</v>
      </c>
      <c r="H2911" s="3"/>
    </row>
    <row r="2912" spans="1:8">
      <c r="H2912" s="128" t="s">
        <v>1785</v>
      </c>
    </row>
    <row r="2913" spans="1:8">
      <c r="H2913" s="133" t="s">
        <v>1758</v>
      </c>
    </row>
    <row r="2914" spans="1:8">
      <c r="H2914" s="132" t="s">
        <v>1786</v>
      </c>
    </row>
    <row r="2915" spans="1:8">
      <c r="H2915" s="117" t="s">
        <v>1789</v>
      </c>
    </row>
    <row r="2916" spans="1:8">
      <c r="H2916" s="117" t="s">
        <v>1726</v>
      </c>
    </row>
    <row r="2917" spans="1:8">
      <c r="H2917" s="117" t="s">
        <v>1636</v>
      </c>
    </row>
    <row r="2918" spans="1:8">
      <c r="H2918" s="117" t="s">
        <v>1787</v>
      </c>
    </row>
    <row r="2919" spans="1:8">
      <c r="H2919" s="118" t="s">
        <v>1788</v>
      </c>
    </row>
    <row r="2920" spans="1:8">
      <c r="A2920" s="270">
        <v>45026</v>
      </c>
      <c r="B2920" s="267"/>
      <c r="C2920" s="267" t="s">
        <v>79</v>
      </c>
      <c r="D2920" s="3" t="s">
        <v>1791</v>
      </c>
      <c r="E2920" s="1497"/>
      <c r="F2920" s="1497" t="s">
        <v>1790</v>
      </c>
      <c r="G2920" s="267" t="s">
        <v>27</v>
      </c>
      <c r="H2920" s="3"/>
    </row>
    <row r="2921" spans="1:8">
      <c r="A2921" s="270">
        <v>45026</v>
      </c>
      <c r="B2921" s="267"/>
      <c r="C2921" s="267" t="s">
        <v>86</v>
      </c>
      <c r="D2921" s="3" t="s">
        <v>104</v>
      </c>
      <c r="E2921" s="1497">
        <v>5000</v>
      </c>
      <c r="F2921" s="1497"/>
      <c r="G2921" s="267" t="s">
        <v>56</v>
      </c>
      <c r="H2921" s="45" t="s">
        <v>919</v>
      </c>
    </row>
    <row r="2922" spans="1:8">
      <c r="A2922" s="270">
        <v>45026</v>
      </c>
      <c r="B2922" s="267"/>
      <c r="C2922" s="267" t="s">
        <v>55</v>
      </c>
      <c r="D2922" s="3" t="s">
        <v>70</v>
      </c>
      <c r="E2922" s="1497">
        <v>970</v>
      </c>
      <c r="F2922" s="1497"/>
      <c r="G2922" s="267" t="s">
        <v>56</v>
      </c>
      <c r="H2922" s="3"/>
    </row>
    <row r="2923" spans="1:8" ht="30">
      <c r="A2923" s="116">
        <v>45027</v>
      </c>
      <c r="B2923" s="51"/>
      <c r="C2923" s="51" t="s">
        <v>55</v>
      </c>
      <c r="D2923" s="52" t="s">
        <v>37</v>
      </c>
      <c r="E2923" s="51">
        <v>27700</v>
      </c>
      <c r="F2923" s="51"/>
      <c r="G2923" s="51" t="s">
        <v>72</v>
      </c>
      <c r="H2923" s="178" t="s">
        <v>1792</v>
      </c>
    </row>
    <row r="2924" spans="1:8">
      <c r="A2924" s="270">
        <v>45027</v>
      </c>
      <c r="B2924" s="267"/>
      <c r="C2924" s="267" t="s">
        <v>205</v>
      </c>
      <c r="D2924" s="3" t="s">
        <v>1793</v>
      </c>
      <c r="E2924" s="51">
        <v>61270</v>
      </c>
      <c r="F2924" s="1497"/>
      <c r="G2924" s="267" t="s">
        <v>27</v>
      </c>
      <c r="H2924" s="3"/>
    </row>
    <row r="2925" spans="1:8">
      <c r="A2925" s="270">
        <v>45028</v>
      </c>
      <c r="B2925" s="267"/>
      <c r="C2925" s="267" t="s">
        <v>55</v>
      </c>
      <c r="D2925" s="3" t="s">
        <v>70</v>
      </c>
      <c r="E2925" s="1497">
        <v>1400</v>
      </c>
      <c r="F2925" s="1497"/>
      <c r="G2925" s="267" t="s">
        <v>56</v>
      </c>
      <c r="H2925" s="3"/>
    </row>
    <row r="2926" spans="1:8">
      <c r="A2926" s="270">
        <v>45028</v>
      </c>
      <c r="B2926" s="267"/>
      <c r="C2926" s="267" t="s">
        <v>97</v>
      </c>
      <c r="D2926" s="3" t="s">
        <v>1688</v>
      </c>
      <c r="E2926" s="1497">
        <v>6000</v>
      </c>
      <c r="F2926" s="1497"/>
      <c r="G2926" s="267" t="s">
        <v>27</v>
      </c>
      <c r="H2926" s="3"/>
    </row>
    <row r="2927" spans="1:8">
      <c r="A2927" s="270">
        <v>45028</v>
      </c>
      <c r="B2927" s="267"/>
      <c r="C2927" s="267" t="s">
        <v>77</v>
      </c>
      <c r="D2927" s="3" t="s">
        <v>1797</v>
      </c>
      <c r="E2927" s="1497"/>
      <c r="F2927" s="1497">
        <v>185000</v>
      </c>
      <c r="G2927" s="267" t="s">
        <v>287</v>
      </c>
      <c r="H2927" s="3" t="s">
        <v>1798</v>
      </c>
    </row>
    <row r="2928" spans="1:8">
      <c r="A2928" s="270">
        <v>45028</v>
      </c>
      <c r="B2928" s="267"/>
      <c r="C2928" s="267" t="s">
        <v>205</v>
      </c>
      <c r="D2928" s="3" t="s">
        <v>1799</v>
      </c>
      <c r="E2928" s="1497">
        <v>10000</v>
      </c>
      <c r="F2928" s="1497"/>
      <c r="G2928" s="267" t="s">
        <v>27</v>
      </c>
      <c r="H2928" s="3"/>
    </row>
    <row r="2929" spans="1:8">
      <c r="A2929" s="270">
        <v>45028</v>
      </c>
      <c r="B2929" s="267"/>
      <c r="C2929" s="267" t="s">
        <v>205</v>
      </c>
      <c r="D2929" s="3" t="s">
        <v>1800</v>
      </c>
      <c r="E2929" s="1497">
        <v>28500</v>
      </c>
      <c r="F2929" s="1497"/>
      <c r="G2929" s="267" t="s">
        <v>287</v>
      </c>
      <c r="H2929" s="3"/>
    </row>
    <row r="2930" spans="1:8">
      <c r="A2930" s="270">
        <v>45028</v>
      </c>
      <c r="B2930" s="267"/>
      <c r="C2930" s="267" t="s">
        <v>55</v>
      </c>
      <c r="D2930" s="3" t="s">
        <v>1431</v>
      </c>
      <c r="E2930" s="1497">
        <v>1600</v>
      </c>
      <c r="F2930" s="1497"/>
      <c r="G2930" s="267" t="s">
        <v>56</v>
      </c>
      <c r="H2930" s="3"/>
    </row>
    <row r="2931" spans="1:8">
      <c r="A2931" s="270">
        <v>45029</v>
      </c>
      <c r="B2931" s="267"/>
      <c r="C2931" s="267" t="s">
        <v>205</v>
      </c>
      <c r="D2931" s="3" t="s">
        <v>57</v>
      </c>
      <c r="E2931" s="1497">
        <v>58692</v>
      </c>
      <c r="F2931" s="1497"/>
      <c r="G2931" s="267" t="s">
        <v>27</v>
      </c>
      <c r="H2931" s="3"/>
    </row>
    <row r="2932" spans="1:8">
      <c r="A2932" s="270">
        <v>45029</v>
      </c>
      <c r="B2932" s="267"/>
      <c r="C2932" s="267" t="s">
        <v>55</v>
      </c>
      <c r="D2932" s="3" t="s">
        <v>1803</v>
      </c>
      <c r="E2932" s="1497">
        <v>600</v>
      </c>
      <c r="F2932" s="1497"/>
      <c r="G2932" s="267" t="s">
        <v>56</v>
      </c>
      <c r="H2932" s="3"/>
    </row>
    <row r="2933" spans="1:8">
      <c r="A2933" s="270">
        <v>45029</v>
      </c>
      <c r="B2933" s="267"/>
      <c r="C2933" s="267" t="s">
        <v>1805</v>
      </c>
      <c r="D2933" s="3" t="s">
        <v>1804</v>
      </c>
      <c r="E2933" s="1497">
        <v>3000</v>
      </c>
      <c r="F2933" s="1497"/>
      <c r="G2933" s="267" t="s">
        <v>27</v>
      </c>
      <c r="H2933" s="3"/>
    </row>
    <row r="2934" spans="1:8">
      <c r="A2934" s="270">
        <v>45029</v>
      </c>
      <c r="B2934" s="267"/>
      <c r="C2934" s="267" t="s">
        <v>92</v>
      </c>
      <c r="D2934" s="3" t="s">
        <v>1445</v>
      </c>
      <c r="E2934" s="1497"/>
      <c r="F2934" s="1497">
        <v>56705.4</v>
      </c>
      <c r="G2934" s="267" t="s">
        <v>72</v>
      </c>
      <c r="H2934" s="3"/>
    </row>
    <row r="2935" spans="1:8">
      <c r="A2935" s="270">
        <v>45029</v>
      </c>
      <c r="B2935" s="267"/>
      <c r="C2935" s="267" t="s">
        <v>92</v>
      </c>
      <c r="D2935" s="3" t="s">
        <v>1445</v>
      </c>
      <c r="E2935" s="1497"/>
      <c r="F2935" s="1497">
        <v>2000</v>
      </c>
      <c r="G2935" s="267" t="s">
        <v>56</v>
      </c>
      <c r="H2935" s="3"/>
    </row>
    <row r="2936" spans="1:8">
      <c r="A2936" s="270">
        <v>45029</v>
      </c>
      <c r="B2936" s="267"/>
      <c r="C2936" s="267" t="s">
        <v>92</v>
      </c>
      <c r="D2936" s="3" t="s">
        <v>1738</v>
      </c>
      <c r="E2936" s="1497"/>
      <c r="F2936" s="1497">
        <v>6580</v>
      </c>
      <c r="G2936" s="267" t="s">
        <v>56</v>
      </c>
      <c r="H2936" s="3"/>
    </row>
    <row r="2937" spans="1:8">
      <c r="A2937" s="270">
        <v>45029</v>
      </c>
      <c r="B2937" s="267"/>
      <c r="C2937" s="267" t="s">
        <v>205</v>
      </c>
      <c r="D2937" s="15" t="s">
        <v>38</v>
      </c>
      <c r="E2937" s="1497">
        <v>1200</v>
      </c>
      <c r="F2937" s="1497"/>
      <c r="G2937" s="267" t="s">
        <v>56</v>
      </c>
      <c r="H2937" s="3"/>
    </row>
    <row r="2938" spans="1:8">
      <c r="A2938" s="270">
        <v>45029</v>
      </c>
      <c r="B2938" s="267"/>
      <c r="C2938" s="267" t="s">
        <v>92</v>
      </c>
      <c r="D2938" s="3" t="s">
        <v>300</v>
      </c>
      <c r="E2938" s="1497"/>
      <c r="F2938" s="1497">
        <v>4800</v>
      </c>
      <c r="G2938" s="267" t="s">
        <v>56</v>
      </c>
      <c r="H2938" s="3"/>
    </row>
    <row r="2939" spans="1:8">
      <c r="A2939" s="270">
        <v>45029</v>
      </c>
      <c r="B2939" s="267"/>
      <c r="C2939" s="267" t="s">
        <v>199</v>
      </c>
      <c r="D2939" s="3" t="s">
        <v>1806</v>
      </c>
      <c r="E2939" s="1497"/>
      <c r="F2939" s="1497">
        <v>104000</v>
      </c>
      <c r="G2939" s="267" t="s">
        <v>56</v>
      </c>
      <c r="H2939" s="3"/>
    </row>
    <row r="2940" spans="1:8">
      <c r="A2940" s="270">
        <v>45029</v>
      </c>
      <c r="B2940" s="267"/>
      <c r="C2940" s="267" t="s">
        <v>79</v>
      </c>
      <c r="D2940" s="3" t="s">
        <v>1810</v>
      </c>
      <c r="E2940" s="1497">
        <v>7838</v>
      </c>
      <c r="F2940" s="1497"/>
      <c r="G2940" s="267"/>
      <c r="H2940" s="3"/>
    </row>
    <row r="2941" spans="1:8">
      <c r="A2941" s="270">
        <v>45030</v>
      </c>
      <c r="B2941" s="267"/>
      <c r="C2941" s="267" t="s">
        <v>205</v>
      </c>
      <c r="D2941" s="3" t="s">
        <v>689</v>
      </c>
      <c r="E2941" s="1497">
        <v>4175</v>
      </c>
      <c r="F2941" s="1497"/>
      <c r="G2941" s="267" t="s">
        <v>72</v>
      </c>
      <c r="H2941" s="3" t="s">
        <v>1809</v>
      </c>
    </row>
    <row r="2942" spans="1:8">
      <c r="A2942" s="270">
        <v>45030</v>
      </c>
      <c r="B2942" s="267"/>
      <c r="C2942" s="267" t="s">
        <v>205</v>
      </c>
      <c r="D2942" s="3" t="s">
        <v>689</v>
      </c>
      <c r="E2942" s="1497">
        <v>43300</v>
      </c>
      <c r="F2942" s="1497"/>
      <c r="G2942" s="267" t="s">
        <v>72</v>
      </c>
      <c r="H2942" s="3" t="s">
        <v>1808</v>
      </c>
    </row>
    <row r="2943" spans="1:8">
      <c r="A2943" s="270">
        <v>45030</v>
      </c>
      <c r="B2943" s="267"/>
      <c r="C2943" s="267" t="s">
        <v>205</v>
      </c>
      <c r="D2943" s="3" t="s">
        <v>689</v>
      </c>
      <c r="E2943" s="1497">
        <v>17000</v>
      </c>
      <c r="F2943" s="1497"/>
      <c r="G2943" s="267" t="s">
        <v>72</v>
      </c>
      <c r="H2943" s="3" t="s">
        <v>1807</v>
      </c>
    </row>
    <row r="2944" spans="1:8">
      <c r="A2944" s="270">
        <v>45030</v>
      </c>
      <c r="B2944" s="267"/>
      <c r="C2944" s="267" t="s">
        <v>55</v>
      </c>
      <c r="D2944" s="3" t="s">
        <v>38</v>
      </c>
      <c r="E2944" s="1497">
        <v>450</v>
      </c>
      <c r="F2944" s="1497"/>
      <c r="G2944" s="267" t="s">
        <v>72</v>
      </c>
      <c r="H2944" s="3" t="s">
        <v>1802</v>
      </c>
    </row>
    <row r="2945" spans="1:8">
      <c r="A2945" s="270">
        <v>45030</v>
      </c>
      <c r="B2945" s="267"/>
      <c r="C2945" s="267" t="s">
        <v>1814</v>
      </c>
      <c r="D2945" s="3" t="s">
        <v>1813</v>
      </c>
      <c r="E2945" s="1497"/>
      <c r="F2945" s="1497">
        <v>6500</v>
      </c>
      <c r="G2945" s="267" t="s">
        <v>56</v>
      </c>
      <c r="H2945" s="3" t="s">
        <v>1812</v>
      </c>
    </row>
    <row r="2946" spans="1:8">
      <c r="A2946" s="270">
        <v>45030</v>
      </c>
      <c r="B2946" s="267"/>
      <c r="C2946" s="267" t="s">
        <v>94</v>
      </c>
      <c r="D2946" s="3" t="s">
        <v>795</v>
      </c>
      <c r="E2946" s="1497">
        <v>6322.9</v>
      </c>
      <c r="F2946" s="1497"/>
      <c r="G2946" s="267" t="s">
        <v>27</v>
      </c>
      <c r="H2946" s="3"/>
    </row>
    <row r="2947" spans="1:8">
      <c r="A2947" s="124">
        <v>45030</v>
      </c>
      <c r="B2947" s="266"/>
      <c r="C2947" s="266" t="s">
        <v>77</v>
      </c>
      <c r="D2947" s="79" t="s">
        <v>1815</v>
      </c>
      <c r="E2947" s="1496"/>
      <c r="F2947" s="1496">
        <v>3148500</v>
      </c>
      <c r="G2947" s="266" t="s">
        <v>27</v>
      </c>
      <c r="H2947" s="79"/>
    </row>
    <row r="2948" spans="1:8">
      <c r="A2948" s="124">
        <v>45030</v>
      </c>
      <c r="B2948" s="266"/>
      <c r="C2948" s="266" t="s">
        <v>1829</v>
      </c>
      <c r="D2948" s="79" t="s">
        <v>1828</v>
      </c>
      <c r="E2948" s="1496">
        <v>3200</v>
      </c>
      <c r="F2948" s="1496"/>
      <c r="G2948" s="266" t="s">
        <v>56</v>
      </c>
      <c r="H2948" s="79"/>
    </row>
    <row r="2949" spans="1:8">
      <c r="A2949" s="270">
        <v>45030</v>
      </c>
      <c r="B2949" s="267"/>
      <c r="C2949" s="267" t="s">
        <v>55</v>
      </c>
      <c r="D2949" s="3" t="s">
        <v>514</v>
      </c>
      <c r="E2949" s="1497">
        <v>1000</v>
      </c>
      <c r="F2949" s="1497"/>
      <c r="G2949" s="267" t="s">
        <v>27</v>
      </c>
      <c r="H2949" s="3"/>
    </row>
    <row r="2950" spans="1:8">
      <c r="A2950" s="270">
        <v>45030</v>
      </c>
      <c r="B2950" s="267"/>
      <c r="C2950" s="267" t="s">
        <v>92</v>
      </c>
      <c r="D2950" s="3" t="s">
        <v>1816</v>
      </c>
      <c r="E2950" s="1497"/>
      <c r="F2950" s="1497">
        <v>5420</v>
      </c>
      <c r="G2950" s="267" t="s">
        <v>56</v>
      </c>
      <c r="H2950" s="3"/>
    </row>
    <row r="2951" spans="1:8">
      <c r="A2951" s="270">
        <v>45030</v>
      </c>
      <c r="B2951" s="267"/>
      <c r="C2951" s="267" t="s">
        <v>94</v>
      </c>
      <c r="D2951" s="3" t="s">
        <v>1687</v>
      </c>
      <c r="E2951" s="1497">
        <v>2476.88</v>
      </c>
      <c r="F2951" s="1497"/>
      <c r="G2951" s="267" t="s">
        <v>27</v>
      </c>
      <c r="H2951" s="3"/>
    </row>
    <row r="2952" spans="1:8">
      <c r="A2952" s="270">
        <v>45030</v>
      </c>
      <c r="B2952" s="267"/>
      <c r="C2952" s="267" t="s">
        <v>205</v>
      </c>
      <c r="D2952" s="3" t="s">
        <v>71</v>
      </c>
      <c r="E2952" s="1497">
        <v>200000</v>
      </c>
      <c r="F2952" s="1497"/>
      <c r="G2952" s="267" t="s">
        <v>27</v>
      </c>
      <c r="H2952" s="3" t="s">
        <v>1817</v>
      </c>
    </row>
    <row r="2953" spans="1:8">
      <c r="A2953" s="270">
        <v>45030</v>
      </c>
      <c r="B2953" s="267"/>
      <c r="C2953" s="267" t="s">
        <v>205</v>
      </c>
      <c r="D2953" s="185" t="s">
        <v>71</v>
      </c>
      <c r="E2953" s="1497">
        <v>10000</v>
      </c>
      <c r="F2953" s="1497"/>
      <c r="G2953" s="267" t="s">
        <v>56</v>
      </c>
      <c r="H2953" s="3" t="s">
        <v>1817</v>
      </c>
    </row>
    <row r="2954" spans="1:8">
      <c r="A2954" s="270">
        <v>45030</v>
      </c>
      <c r="B2954" s="267"/>
      <c r="C2954" s="267" t="s">
        <v>79</v>
      </c>
      <c r="D2954" s="3" t="s">
        <v>1648</v>
      </c>
      <c r="E2954" s="1497">
        <v>30000</v>
      </c>
      <c r="F2954" s="1497"/>
      <c r="G2954" s="267"/>
      <c r="H2954" s="3"/>
    </row>
    <row r="2955" spans="1:8">
      <c r="A2955" s="270">
        <v>45030</v>
      </c>
      <c r="B2955" s="267"/>
      <c r="C2955" s="267" t="s">
        <v>88</v>
      </c>
      <c r="D2955" s="3" t="s">
        <v>144</v>
      </c>
      <c r="E2955" s="1497">
        <v>50000</v>
      </c>
      <c r="F2955" s="1497"/>
      <c r="G2955" s="267" t="s">
        <v>27</v>
      </c>
      <c r="H2955" s="3"/>
    </row>
    <row r="2956" spans="1:8">
      <c r="A2956" s="270">
        <v>45030</v>
      </c>
      <c r="B2956" s="267"/>
      <c r="C2956" s="267" t="s">
        <v>88</v>
      </c>
      <c r="D2956" s="3" t="s">
        <v>144</v>
      </c>
      <c r="E2956" s="1497">
        <v>16300</v>
      </c>
      <c r="F2956" s="1497"/>
      <c r="G2956" s="267"/>
      <c r="H2956" s="3"/>
    </row>
    <row r="2957" spans="1:8">
      <c r="A2957" s="270">
        <v>45030</v>
      </c>
      <c r="B2957" s="267"/>
      <c r="C2957" s="267" t="s">
        <v>88</v>
      </c>
      <c r="D2957" s="3" t="s">
        <v>193</v>
      </c>
      <c r="E2957" s="1497">
        <v>26000</v>
      </c>
      <c r="F2957" s="1497"/>
      <c r="G2957" s="267"/>
      <c r="H2957" s="3"/>
    </row>
    <row r="2958" spans="1:8">
      <c r="A2958" s="270">
        <v>45030</v>
      </c>
      <c r="B2958" s="267"/>
      <c r="C2958" s="267" t="s">
        <v>88</v>
      </c>
      <c r="D2958" s="3" t="s">
        <v>208</v>
      </c>
      <c r="E2958" s="1497">
        <v>32190</v>
      </c>
      <c r="F2958" s="1497"/>
      <c r="G2958" s="267"/>
      <c r="H2958" s="3"/>
    </row>
    <row r="2959" spans="1:8">
      <c r="A2959" s="270">
        <v>45030</v>
      </c>
      <c r="B2959" s="267"/>
      <c r="C2959" s="267" t="s">
        <v>88</v>
      </c>
      <c r="D2959" s="3" t="s">
        <v>219</v>
      </c>
      <c r="E2959" s="1497">
        <v>47600</v>
      </c>
      <c r="F2959" s="1497"/>
      <c r="G2959" s="267"/>
      <c r="H2959" s="3"/>
    </row>
    <row r="2960" spans="1:8">
      <c r="A2960" s="270">
        <v>45030</v>
      </c>
      <c r="B2960" s="267"/>
      <c r="C2960" s="267" t="s">
        <v>176</v>
      </c>
      <c r="D2960" s="3" t="s">
        <v>175</v>
      </c>
      <c r="E2960" s="1497">
        <v>15000</v>
      </c>
      <c r="F2960" s="1497"/>
      <c r="G2960" s="267" t="s">
        <v>27</v>
      </c>
      <c r="H2960" s="3"/>
    </row>
    <row r="2961" spans="1:8">
      <c r="A2961" s="267"/>
      <c r="B2961" s="267"/>
      <c r="C2961" s="267"/>
      <c r="D2961" s="3"/>
      <c r="E2961" s="1497"/>
      <c r="F2961" s="1497"/>
      <c r="G2961" s="267"/>
      <c r="H2961" s="128" t="s">
        <v>1821</v>
      </c>
    </row>
    <row r="2962" spans="1:8">
      <c r="H2962" s="133" t="s">
        <v>1819</v>
      </c>
    </row>
    <row r="2963" spans="1:8">
      <c r="H2963" s="132" t="s">
        <v>1818</v>
      </c>
    </row>
    <row r="2964" spans="1:8">
      <c r="H2964" s="117" t="s">
        <v>1823</v>
      </c>
    </row>
    <row r="2965" spans="1:8">
      <c r="H2965" s="117" t="s">
        <v>1323</v>
      </c>
    </row>
    <row r="2966" spans="1:8">
      <c r="H2966" s="117" t="s">
        <v>1636</v>
      </c>
    </row>
    <row r="2967" spans="1:8">
      <c r="H2967" s="117" t="s">
        <v>1822</v>
      </c>
    </row>
    <row r="2968" spans="1:8">
      <c r="H2968" s="118" t="s">
        <v>1820</v>
      </c>
    </row>
    <row r="2969" spans="1:8">
      <c r="A2969" s="270">
        <v>45033</v>
      </c>
      <c r="B2969" s="267"/>
      <c r="C2969" s="267" t="s">
        <v>103</v>
      </c>
      <c r="D2969" s="3" t="s">
        <v>1832</v>
      </c>
      <c r="E2969" s="1497">
        <v>14566.83</v>
      </c>
      <c r="F2969" s="1497"/>
      <c r="G2969" s="267" t="s">
        <v>27</v>
      </c>
      <c r="H2969" s="3"/>
    </row>
    <row r="2970" spans="1:8">
      <c r="A2970" s="270">
        <v>45033</v>
      </c>
      <c r="B2970" s="267"/>
      <c r="C2970" s="267" t="s">
        <v>156</v>
      </c>
      <c r="D2970" s="3" t="s">
        <v>1831</v>
      </c>
      <c r="E2970" s="1497">
        <v>22565.52</v>
      </c>
      <c r="F2970" s="1497"/>
      <c r="G2970" s="267" t="s">
        <v>27</v>
      </c>
      <c r="H2970" s="3"/>
    </row>
    <row r="2971" spans="1:8">
      <c r="A2971" s="270">
        <v>45033</v>
      </c>
      <c r="B2971" s="267"/>
      <c r="C2971" s="267" t="s">
        <v>327</v>
      </c>
      <c r="D2971" s="3" t="s">
        <v>1824</v>
      </c>
      <c r="E2971" s="1497">
        <v>14568.61</v>
      </c>
      <c r="F2971" s="1497"/>
      <c r="G2971" s="267" t="s">
        <v>27</v>
      </c>
      <c r="H2971" s="3"/>
    </row>
    <row r="2972" spans="1:8">
      <c r="A2972" s="270">
        <v>45033</v>
      </c>
      <c r="B2972" s="267"/>
      <c r="C2972" s="267" t="s">
        <v>86</v>
      </c>
      <c r="D2972" s="3" t="s">
        <v>104</v>
      </c>
      <c r="E2972" s="1497">
        <v>4000</v>
      </c>
      <c r="F2972" s="1497"/>
      <c r="G2972" s="267" t="s">
        <v>1826</v>
      </c>
      <c r="H2972" s="3"/>
    </row>
    <row r="2973" spans="1:8">
      <c r="A2973" s="270">
        <v>45033</v>
      </c>
      <c r="B2973" s="267"/>
      <c r="C2973" s="267" t="s">
        <v>1827</v>
      </c>
      <c r="D2973" s="3" t="s">
        <v>34</v>
      </c>
      <c r="E2973" s="1497">
        <v>3000</v>
      </c>
      <c r="F2973" s="1497"/>
      <c r="G2973" s="267" t="s">
        <v>1826</v>
      </c>
      <c r="H2973" s="3"/>
    </row>
    <row r="2974" spans="1:8">
      <c r="A2974" s="270">
        <v>45033</v>
      </c>
      <c r="B2974" s="267"/>
      <c r="C2974" s="267" t="s">
        <v>55</v>
      </c>
      <c r="D2974" s="3" t="s">
        <v>1830</v>
      </c>
      <c r="E2974" s="1497">
        <v>1140</v>
      </c>
      <c r="F2974" s="1497"/>
      <c r="G2974" s="267" t="s">
        <v>1826</v>
      </c>
      <c r="H2974" s="3"/>
    </row>
    <row r="2975" spans="1:8">
      <c r="A2975" s="270">
        <v>45034</v>
      </c>
      <c r="B2975" s="267"/>
      <c r="C2975" s="267" t="s">
        <v>199</v>
      </c>
      <c r="D2975" s="3" t="s">
        <v>1834</v>
      </c>
      <c r="E2975" s="1497"/>
      <c r="F2975" s="1497">
        <v>204500</v>
      </c>
      <c r="G2975" s="267" t="s">
        <v>781</v>
      </c>
      <c r="H2975" s="3"/>
    </row>
    <row r="2976" spans="1:8">
      <c r="A2976" s="270">
        <v>45034</v>
      </c>
      <c r="B2976" s="267"/>
      <c r="C2976" s="267" t="s">
        <v>92</v>
      </c>
      <c r="D2976" s="3" t="s">
        <v>1811</v>
      </c>
      <c r="E2976" s="1497"/>
      <c r="F2976" s="1497">
        <v>5300</v>
      </c>
      <c r="G2976" s="267" t="s">
        <v>56</v>
      </c>
      <c r="H2976" s="3"/>
    </row>
    <row r="2977" spans="1:8">
      <c r="A2977" s="270">
        <v>45034</v>
      </c>
      <c r="B2977" s="267"/>
      <c r="C2977" s="267" t="s">
        <v>55</v>
      </c>
      <c r="D2977" s="3" t="s">
        <v>1835</v>
      </c>
      <c r="E2977" s="1497">
        <v>1500</v>
      </c>
      <c r="F2977" s="1497"/>
      <c r="G2977" s="267" t="s">
        <v>56</v>
      </c>
      <c r="H2977" s="3"/>
    </row>
    <row r="2978" spans="1:8">
      <c r="A2978" s="270">
        <v>45034</v>
      </c>
      <c r="B2978" s="267"/>
      <c r="C2978" s="267" t="s">
        <v>205</v>
      </c>
      <c r="D2978" s="3" t="s">
        <v>1836</v>
      </c>
      <c r="E2978" s="1497">
        <v>11981</v>
      </c>
      <c r="F2978" s="1497"/>
      <c r="G2978" s="267" t="s">
        <v>27</v>
      </c>
      <c r="H2978" s="3"/>
    </row>
    <row r="2979" spans="1:8">
      <c r="A2979" s="270">
        <v>45034</v>
      </c>
      <c r="B2979" s="267"/>
      <c r="C2979" s="267" t="s">
        <v>537</v>
      </c>
      <c r="D2979" s="3" t="s">
        <v>144</v>
      </c>
      <c r="E2979" s="1497">
        <v>2000</v>
      </c>
      <c r="F2979" s="1497"/>
      <c r="G2979" s="267" t="s">
        <v>27</v>
      </c>
      <c r="H2979" s="3"/>
    </row>
    <row r="2980" spans="1:8">
      <c r="A2980" s="270">
        <v>45034</v>
      </c>
      <c r="B2980" s="267"/>
      <c r="C2980" s="267" t="s">
        <v>205</v>
      </c>
      <c r="D2980" s="3" t="s">
        <v>1670</v>
      </c>
      <c r="E2980" s="1497">
        <v>25680</v>
      </c>
      <c r="F2980" s="1497"/>
      <c r="G2980" s="267" t="s">
        <v>27</v>
      </c>
      <c r="H2980" s="3"/>
    </row>
    <row r="2981" spans="1:8">
      <c r="A2981" s="270">
        <v>45034</v>
      </c>
      <c r="B2981" s="267"/>
      <c r="C2981" s="267" t="s">
        <v>205</v>
      </c>
      <c r="D2981" s="3" t="s">
        <v>36</v>
      </c>
      <c r="E2981" s="1497">
        <v>10000</v>
      </c>
      <c r="F2981" s="1497"/>
      <c r="G2981" s="267" t="s">
        <v>27</v>
      </c>
      <c r="H2981" s="3"/>
    </row>
    <row r="2982" spans="1:8">
      <c r="A2982" s="270">
        <v>45034</v>
      </c>
      <c r="B2982" s="267"/>
      <c r="C2982" s="267" t="s">
        <v>1148</v>
      </c>
      <c r="D2982" s="3" t="s">
        <v>207</v>
      </c>
      <c r="E2982" s="1497">
        <v>24000</v>
      </c>
      <c r="F2982" s="1497"/>
      <c r="G2982" s="267" t="s">
        <v>27</v>
      </c>
      <c r="H2982" s="3"/>
    </row>
    <row r="2983" spans="1:8">
      <c r="A2983" s="270">
        <v>45034</v>
      </c>
      <c r="B2983" s="267"/>
      <c r="C2983" s="267" t="s">
        <v>28</v>
      </c>
      <c r="D2983" s="3" t="s">
        <v>1838</v>
      </c>
      <c r="E2983" s="1497">
        <v>12077</v>
      </c>
      <c r="F2983" s="1497"/>
      <c r="G2983" s="267" t="s">
        <v>27</v>
      </c>
      <c r="H2983" s="3"/>
    </row>
    <row r="2984" spans="1:8">
      <c r="A2984" s="270">
        <v>45034</v>
      </c>
      <c r="B2984" s="267"/>
      <c r="C2984" s="267" t="s">
        <v>90</v>
      </c>
      <c r="D2984" s="3" t="s">
        <v>1839</v>
      </c>
      <c r="E2984" s="1497">
        <v>8863</v>
      </c>
      <c r="F2984" s="1497"/>
      <c r="G2984" s="267" t="s">
        <v>27</v>
      </c>
      <c r="H2984" s="3"/>
    </row>
    <row r="2985" spans="1:8">
      <c r="A2985" s="267" t="s">
        <v>1841</v>
      </c>
      <c r="B2985" s="267"/>
      <c r="C2985" s="267" t="s">
        <v>205</v>
      </c>
      <c r="D2985" s="3" t="s">
        <v>38</v>
      </c>
      <c r="E2985" s="1497">
        <v>2700</v>
      </c>
      <c r="F2985" s="1497"/>
      <c r="G2985" s="267" t="s">
        <v>56</v>
      </c>
      <c r="H2985" s="3" t="s">
        <v>1842</v>
      </c>
    </row>
    <row r="2986" spans="1:8">
      <c r="A2986" s="270">
        <v>45034</v>
      </c>
      <c r="B2986" s="267"/>
      <c r="C2986" s="267" t="s">
        <v>77</v>
      </c>
      <c r="D2986" s="3" t="s">
        <v>1578</v>
      </c>
      <c r="E2986" s="1497"/>
      <c r="F2986" s="1497">
        <v>125000</v>
      </c>
      <c r="G2986" s="267" t="s">
        <v>27</v>
      </c>
      <c r="H2986" s="3"/>
    </row>
    <row r="2987" spans="1:8">
      <c r="A2987" s="270">
        <v>45035</v>
      </c>
      <c r="B2987" s="267"/>
      <c r="C2987" s="267" t="s">
        <v>205</v>
      </c>
      <c r="D2987" s="3" t="s">
        <v>38</v>
      </c>
      <c r="E2987" s="1497">
        <v>995</v>
      </c>
      <c r="F2987" s="1497"/>
      <c r="G2987" s="267" t="s">
        <v>56</v>
      </c>
      <c r="H2987" s="3"/>
    </row>
    <row r="2988" spans="1:8">
      <c r="A2988" s="270">
        <v>45035</v>
      </c>
      <c r="B2988" s="267"/>
      <c r="C2988" s="267" t="s">
        <v>205</v>
      </c>
      <c r="D2988" s="3" t="s">
        <v>63</v>
      </c>
      <c r="E2988" s="1497">
        <v>1024.07</v>
      </c>
      <c r="F2988" s="1497"/>
      <c r="G2988" s="267" t="s">
        <v>56</v>
      </c>
      <c r="H2988" s="3"/>
    </row>
    <row r="2989" spans="1:8">
      <c r="A2989" s="270">
        <v>45035</v>
      </c>
      <c r="B2989" s="267"/>
      <c r="C2989" s="267" t="s">
        <v>77</v>
      </c>
      <c r="D2989" s="3" t="s">
        <v>266</v>
      </c>
      <c r="E2989" s="1497"/>
      <c r="F2989" s="1497">
        <v>104150</v>
      </c>
      <c r="G2989" s="267" t="s">
        <v>1279</v>
      </c>
      <c r="H2989" s="3" t="s">
        <v>1844</v>
      </c>
    </row>
    <row r="2990" spans="1:8">
      <c r="A2990" s="270">
        <v>45035</v>
      </c>
      <c r="B2990" s="267"/>
      <c r="C2990" s="267" t="s">
        <v>92</v>
      </c>
      <c r="D2990" s="3" t="s">
        <v>266</v>
      </c>
      <c r="E2990" s="1497"/>
      <c r="F2990" s="1497">
        <v>42600</v>
      </c>
      <c r="G2990" s="267" t="s">
        <v>56</v>
      </c>
      <c r="H2990" s="3"/>
    </row>
    <row r="2991" spans="1:8">
      <c r="A2991" s="270">
        <v>45035</v>
      </c>
      <c r="B2991" s="267"/>
      <c r="C2991" s="267" t="s">
        <v>92</v>
      </c>
      <c r="D2991" s="3" t="s">
        <v>1736</v>
      </c>
      <c r="E2991" s="1497"/>
      <c r="F2991" s="1497">
        <v>98000</v>
      </c>
      <c r="G2991" s="267" t="s">
        <v>27</v>
      </c>
      <c r="H2991" s="3"/>
    </row>
    <row r="2992" spans="1:8">
      <c r="A2992" s="270">
        <v>45035</v>
      </c>
      <c r="B2992" s="267"/>
      <c r="C2992" s="267" t="s">
        <v>205</v>
      </c>
      <c r="D2992" s="3" t="s">
        <v>1845</v>
      </c>
      <c r="E2992" s="1497">
        <v>4500</v>
      </c>
      <c r="F2992" s="1497"/>
      <c r="G2992" s="267" t="s">
        <v>56</v>
      </c>
      <c r="H2992" s="3"/>
    </row>
    <row r="2993" spans="1:8">
      <c r="A2993" s="270">
        <v>45035</v>
      </c>
      <c r="B2993" s="267"/>
      <c r="C2993" s="267" t="s">
        <v>205</v>
      </c>
      <c r="D2993" s="15" t="s">
        <v>283</v>
      </c>
      <c r="E2993" s="1497"/>
      <c r="F2993" s="1497">
        <v>1292300</v>
      </c>
      <c r="G2993" s="267" t="s">
        <v>27</v>
      </c>
      <c r="H2993" s="3"/>
    </row>
    <row r="2994" spans="1:8">
      <c r="A2994" s="270">
        <v>45036</v>
      </c>
      <c r="B2994" s="267"/>
      <c r="C2994" s="267" t="s">
        <v>92</v>
      </c>
      <c r="D2994" s="3" t="s">
        <v>1846</v>
      </c>
      <c r="E2994" s="1497"/>
      <c r="F2994" s="1497">
        <v>6200</v>
      </c>
      <c r="G2994" s="267"/>
      <c r="H2994" s="3"/>
    </row>
    <row r="2995" spans="1:8">
      <c r="A2995" s="270">
        <v>45036</v>
      </c>
      <c r="B2995" s="267"/>
      <c r="C2995" s="267" t="s">
        <v>92</v>
      </c>
      <c r="D2995" s="3" t="s">
        <v>1848</v>
      </c>
      <c r="E2995" s="1497"/>
      <c r="F2995" s="1497">
        <v>80000</v>
      </c>
      <c r="G2995" s="267" t="s">
        <v>72</v>
      </c>
      <c r="H2995" s="3" t="s">
        <v>1847</v>
      </c>
    </row>
    <row r="2996" spans="1:8">
      <c r="A2996" s="270">
        <v>45036</v>
      </c>
      <c r="B2996" s="267"/>
      <c r="C2996" s="267" t="s">
        <v>92</v>
      </c>
      <c r="D2996" s="3" t="s">
        <v>1848</v>
      </c>
      <c r="E2996" s="1497"/>
      <c r="F2996" s="1497">
        <v>6100</v>
      </c>
      <c r="G2996" s="267" t="s">
        <v>56</v>
      </c>
      <c r="H2996" s="3"/>
    </row>
    <row r="2997" spans="1:8">
      <c r="A2997" s="270">
        <v>45036</v>
      </c>
      <c r="B2997" s="267"/>
      <c r="C2997" s="267" t="s">
        <v>205</v>
      </c>
      <c r="D2997" s="3" t="s">
        <v>1748</v>
      </c>
      <c r="E2997" s="1497">
        <v>1370.4</v>
      </c>
      <c r="F2997" s="1497"/>
      <c r="G2997" s="267" t="s">
        <v>56</v>
      </c>
      <c r="H2997" s="3" t="s">
        <v>1532</v>
      </c>
    </row>
    <row r="2998" spans="1:8">
      <c r="A2998" s="267"/>
      <c r="B2998" s="267"/>
      <c r="C2998" s="267"/>
      <c r="D2998" s="3" t="s">
        <v>1852</v>
      </c>
      <c r="E2998" s="1497"/>
      <c r="F2998" s="1497"/>
      <c r="G2998" s="267"/>
      <c r="H2998" s="3" t="s">
        <v>1853</v>
      </c>
    </row>
    <row r="2999" spans="1:8">
      <c r="A2999" s="186">
        <v>45036</v>
      </c>
      <c r="B2999" s="187"/>
      <c r="C2999" s="187"/>
      <c r="D2999" s="188" t="s">
        <v>1840</v>
      </c>
      <c r="E2999" s="187">
        <v>2000</v>
      </c>
      <c r="F2999" s="189"/>
      <c r="G2999" s="187"/>
      <c r="H2999" s="190"/>
    </row>
    <row r="3000" spans="1:8">
      <c r="A3000" s="187"/>
      <c r="B3000" s="187"/>
      <c r="C3000" s="187"/>
      <c r="D3000" s="188" t="s">
        <v>1849</v>
      </c>
      <c r="E3000" s="187">
        <v>4000</v>
      </c>
      <c r="F3000" s="189"/>
      <c r="G3000" s="187"/>
      <c r="H3000" s="190"/>
    </row>
    <row r="3001" spans="1:8">
      <c r="A3001" s="270">
        <v>45036</v>
      </c>
      <c r="B3001" s="267"/>
      <c r="C3001" s="267" t="s">
        <v>79</v>
      </c>
      <c r="D3001" s="3" t="s">
        <v>166</v>
      </c>
      <c r="E3001" s="1497">
        <v>60000</v>
      </c>
      <c r="F3001" s="70"/>
      <c r="G3001" s="267" t="s">
        <v>27</v>
      </c>
      <c r="H3001" s="3"/>
    </row>
    <row r="3002" spans="1:8">
      <c r="A3002" s="270">
        <v>45036</v>
      </c>
      <c r="B3002" s="267"/>
      <c r="C3002" s="267" t="s">
        <v>205</v>
      </c>
      <c r="D3002" s="3" t="s">
        <v>45</v>
      </c>
      <c r="E3002" s="1497">
        <v>99240</v>
      </c>
      <c r="F3002" s="70"/>
      <c r="G3002" s="267" t="s">
        <v>1850</v>
      </c>
      <c r="H3002" s="3" t="s">
        <v>1851</v>
      </c>
    </row>
    <row r="3003" spans="1:8">
      <c r="A3003" s="270">
        <v>45036</v>
      </c>
      <c r="B3003" s="267"/>
      <c r="C3003" s="267" t="s">
        <v>55</v>
      </c>
      <c r="D3003" s="3" t="s">
        <v>61</v>
      </c>
      <c r="E3003" s="1497">
        <v>260</v>
      </c>
      <c r="F3003" s="1497"/>
      <c r="G3003" s="267" t="s">
        <v>56</v>
      </c>
      <c r="H3003" s="3"/>
    </row>
    <row r="3004" spans="1:8">
      <c r="A3004" s="270">
        <v>45036</v>
      </c>
      <c r="B3004" s="267"/>
      <c r="C3004" s="267" t="s">
        <v>205</v>
      </c>
      <c r="D3004" s="3" t="s">
        <v>1854</v>
      </c>
      <c r="E3004" s="1497"/>
      <c r="F3004" s="1497">
        <v>13600</v>
      </c>
      <c r="G3004" s="267" t="s">
        <v>72</v>
      </c>
      <c r="H3004" s="3"/>
    </row>
    <row r="3005" spans="1:8">
      <c r="A3005" s="270">
        <v>45036</v>
      </c>
      <c r="B3005" s="267"/>
      <c r="C3005" s="267" t="s">
        <v>205</v>
      </c>
      <c r="D3005" s="3" t="s">
        <v>1854</v>
      </c>
      <c r="E3005" s="1497"/>
      <c r="F3005" s="1497">
        <v>21930</v>
      </c>
      <c r="G3005" s="267" t="s">
        <v>72</v>
      </c>
      <c r="H3005" s="3"/>
    </row>
    <row r="3006" spans="1:8">
      <c r="A3006" s="270">
        <v>45036</v>
      </c>
      <c r="B3006" s="267"/>
      <c r="C3006" s="267" t="s">
        <v>205</v>
      </c>
      <c r="D3006" s="3" t="s">
        <v>1854</v>
      </c>
      <c r="E3006" s="1497"/>
      <c r="F3006" s="1497">
        <v>5570</v>
      </c>
      <c r="G3006" s="267" t="s">
        <v>124</v>
      </c>
      <c r="H3006" s="3"/>
    </row>
    <row r="3007" spans="1:8">
      <c r="A3007" s="270">
        <v>45037</v>
      </c>
      <c r="B3007" s="267"/>
      <c r="C3007" s="267" t="s">
        <v>205</v>
      </c>
      <c r="D3007" s="3" t="s">
        <v>190</v>
      </c>
      <c r="E3007" s="1497">
        <v>80000</v>
      </c>
      <c r="F3007" s="1497"/>
      <c r="G3007" s="267"/>
      <c r="H3007" s="3" t="s">
        <v>1847</v>
      </c>
    </row>
    <row r="3008" spans="1:8">
      <c r="A3008" s="270">
        <v>45037</v>
      </c>
      <c r="B3008" s="267"/>
      <c r="C3008" s="267" t="s">
        <v>199</v>
      </c>
      <c r="D3008" s="3" t="s">
        <v>1855</v>
      </c>
      <c r="E3008" s="1497"/>
      <c r="F3008" s="1497">
        <v>131300</v>
      </c>
      <c r="G3008" s="267" t="s">
        <v>27</v>
      </c>
      <c r="H3008" s="3"/>
    </row>
    <row r="3009" spans="1:8">
      <c r="A3009" s="270">
        <v>45037</v>
      </c>
      <c r="B3009" s="267"/>
      <c r="C3009" s="267" t="s">
        <v>77</v>
      </c>
      <c r="D3009" s="3" t="s">
        <v>1532</v>
      </c>
      <c r="E3009" s="1497"/>
      <c r="F3009" s="1497">
        <v>203100</v>
      </c>
      <c r="G3009" s="267" t="s">
        <v>1739</v>
      </c>
      <c r="H3009" s="3"/>
    </row>
    <row r="3010" spans="1:8">
      <c r="A3010" s="270">
        <v>45037</v>
      </c>
      <c r="B3010" s="267"/>
      <c r="C3010" s="267" t="s">
        <v>1625</v>
      </c>
      <c r="D3010" s="3" t="s">
        <v>1532</v>
      </c>
      <c r="E3010" s="1497"/>
      <c r="F3010" s="1497">
        <v>65500</v>
      </c>
      <c r="G3010" s="267" t="s">
        <v>56</v>
      </c>
      <c r="H3010" s="3"/>
    </row>
    <row r="3011" spans="1:8">
      <c r="A3011" s="270">
        <v>45037</v>
      </c>
      <c r="B3011" s="267"/>
      <c r="C3011" s="267" t="s">
        <v>92</v>
      </c>
      <c r="D3011" s="3" t="s">
        <v>1763</v>
      </c>
      <c r="E3011" s="1497"/>
      <c r="F3011" s="1497">
        <v>6400</v>
      </c>
      <c r="G3011" s="267" t="s">
        <v>27</v>
      </c>
      <c r="H3011" s="3"/>
    </row>
    <row r="3012" spans="1:8">
      <c r="A3012" s="270">
        <v>45037</v>
      </c>
      <c r="B3012" s="267"/>
      <c r="C3012" s="267"/>
      <c r="D3012" s="3"/>
      <c r="E3012" s="1497"/>
      <c r="F3012" s="1497">
        <v>55700</v>
      </c>
      <c r="G3012" s="267" t="s">
        <v>56</v>
      </c>
      <c r="H3012" s="3"/>
    </row>
    <row r="3013" spans="1:8">
      <c r="A3013" s="270">
        <v>45037</v>
      </c>
      <c r="B3013" s="267"/>
      <c r="C3013" s="267"/>
      <c r="D3013" s="3"/>
      <c r="E3013" s="1497"/>
      <c r="F3013" s="1497">
        <v>38580</v>
      </c>
      <c r="G3013" s="267" t="s">
        <v>27</v>
      </c>
      <c r="H3013" s="3"/>
    </row>
    <row r="3014" spans="1:8">
      <c r="A3014" s="270">
        <v>45037</v>
      </c>
      <c r="B3014" s="267"/>
      <c r="C3014" s="267" t="s">
        <v>205</v>
      </c>
      <c r="D3014" s="3" t="s">
        <v>846</v>
      </c>
      <c r="E3014" s="1497">
        <v>142555.01</v>
      </c>
      <c r="F3014" s="1497"/>
      <c r="G3014" s="267" t="s">
        <v>27</v>
      </c>
      <c r="H3014" s="3"/>
    </row>
    <row r="3015" spans="1:8">
      <c r="A3015" s="270">
        <v>45037</v>
      </c>
      <c r="B3015" s="267"/>
      <c r="C3015" s="267" t="s">
        <v>88</v>
      </c>
      <c r="D3015" s="3" t="s">
        <v>1857</v>
      </c>
      <c r="E3015" s="1497">
        <v>28750</v>
      </c>
      <c r="F3015" s="1497"/>
      <c r="G3015" s="267" t="s">
        <v>56</v>
      </c>
      <c r="H3015" s="3"/>
    </row>
    <row r="3016" spans="1:8">
      <c r="A3016" s="270">
        <v>45037</v>
      </c>
      <c r="B3016" s="267"/>
      <c r="C3016" s="267" t="s">
        <v>88</v>
      </c>
      <c r="D3016" s="3" t="s">
        <v>1856</v>
      </c>
      <c r="E3016" s="1497">
        <v>28750</v>
      </c>
      <c r="F3016" s="1497"/>
      <c r="G3016" s="267" t="s">
        <v>56</v>
      </c>
      <c r="H3016" s="3"/>
    </row>
    <row r="3017" spans="1:8">
      <c r="A3017" s="270">
        <v>45037</v>
      </c>
      <c r="B3017" s="267"/>
      <c r="C3017" s="267" t="s">
        <v>88</v>
      </c>
      <c r="D3017" s="3" t="s">
        <v>144</v>
      </c>
      <c r="E3017" s="1497">
        <v>52000</v>
      </c>
      <c r="F3017" s="1497"/>
      <c r="G3017" s="267" t="s">
        <v>27</v>
      </c>
      <c r="H3017" s="3"/>
    </row>
    <row r="3018" spans="1:8">
      <c r="A3018" s="270">
        <v>45037</v>
      </c>
      <c r="B3018" s="267"/>
      <c r="C3018" s="267" t="s">
        <v>88</v>
      </c>
      <c r="D3018" s="3" t="s">
        <v>144</v>
      </c>
      <c r="E3018" s="1497">
        <v>14000</v>
      </c>
      <c r="F3018" s="1497"/>
      <c r="G3018" s="267" t="s">
        <v>27</v>
      </c>
      <c r="H3018" s="3"/>
    </row>
    <row r="3019" spans="1:8">
      <c r="A3019" s="270">
        <v>45037</v>
      </c>
      <c r="B3019" s="267"/>
      <c r="C3019" s="267" t="s">
        <v>88</v>
      </c>
      <c r="D3019" s="3" t="s">
        <v>193</v>
      </c>
      <c r="E3019" s="1497">
        <v>26000</v>
      </c>
      <c r="F3019" s="1497"/>
      <c r="G3019" s="267" t="s">
        <v>56</v>
      </c>
      <c r="H3019" s="3"/>
    </row>
    <row r="3020" spans="1:8">
      <c r="A3020" s="270">
        <v>45037</v>
      </c>
      <c r="B3020" s="267"/>
      <c r="C3020" s="267" t="s">
        <v>88</v>
      </c>
      <c r="D3020" s="3" t="s">
        <v>219</v>
      </c>
      <c r="E3020" s="1497">
        <v>42500</v>
      </c>
      <c r="F3020" s="1497"/>
      <c r="G3020" s="267" t="s">
        <v>56</v>
      </c>
      <c r="H3020" s="3"/>
    </row>
    <row r="3021" spans="1:8">
      <c r="A3021" s="270"/>
      <c r="B3021" s="267"/>
      <c r="C3021" s="267"/>
      <c r="D3021" s="3"/>
      <c r="E3021" s="1497"/>
      <c r="F3021" s="1497"/>
      <c r="G3021" s="267"/>
      <c r="H3021" s="128" t="s">
        <v>1821</v>
      </c>
    </row>
    <row r="3022" spans="1:8">
      <c r="A3022" s="270"/>
      <c r="B3022" s="267"/>
      <c r="C3022" s="267"/>
      <c r="D3022" s="3"/>
      <c r="E3022" s="1497"/>
      <c r="F3022" s="1497"/>
      <c r="G3022" s="267"/>
      <c r="H3022" s="133" t="s">
        <v>1819</v>
      </c>
    </row>
    <row r="3023" spans="1:8">
      <c r="A3023" s="270"/>
      <c r="B3023" s="267"/>
      <c r="C3023" s="267"/>
      <c r="D3023" s="3"/>
      <c r="E3023" s="1497"/>
      <c r="F3023" s="1497"/>
      <c r="G3023" s="267"/>
      <c r="H3023" s="132" t="s">
        <v>1818</v>
      </c>
    </row>
    <row r="3024" spans="1:8">
      <c r="A3024" s="270"/>
      <c r="B3024" s="267"/>
      <c r="C3024" s="267"/>
      <c r="D3024" s="3"/>
      <c r="E3024" s="1497"/>
      <c r="F3024" s="1497"/>
      <c r="G3024" s="267"/>
      <c r="H3024" s="117" t="s">
        <v>1823</v>
      </c>
    </row>
    <row r="3025" spans="1:8">
      <c r="A3025" s="270"/>
      <c r="B3025" s="267"/>
      <c r="C3025" s="267"/>
      <c r="D3025" s="3"/>
      <c r="E3025" s="1497"/>
      <c r="F3025" s="1497"/>
      <c r="G3025" s="267"/>
      <c r="H3025" s="117" t="s">
        <v>1323</v>
      </c>
    </row>
    <row r="3026" spans="1:8">
      <c r="A3026" s="270"/>
      <c r="B3026" s="267"/>
      <c r="C3026" s="267"/>
      <c r="D3026" s="3"/>
      <c r="E3026" s="1497"/>
      <c r="F3026" s="1497"/>
      <c r="G3026" s="267"/>
      <c r="H3026" s="117" t="s">
        <v>1636</v>
      </c>
    </row>
    <row r="3027" spans="1:8">
      <c r="A3027" s="270">
        <v>45040</v>
      </c>
      <c r="B3027" s="267"/>
      <c r="C3027" s="267" t="s">
        <v>79</v>
      </c>
      <c r="D3027" s="3" t="s">
        <v>151</v>
      </c>
      <c r="E3027" s="1497">
        <v>7620</v>
      </c>
      <c r="F3027" s="1497"/>
      <c r="G3027" s="267" t="s">
        <v>27</v>
      </c>
      <c r="H3027" s="117" t="s">
        <v>1822</v>
      </c>
    </row>
    <row r="3028" spans="1:8">
      <c r="A3028" s="270">
        <v>45040</v>
      </c>
      <c r="B3028" s="267"/>
      <c r="C3028" s="267" t="s">
        <v>79</v>
      </c>
      <c r="D3028" s="3" t="s">
        <v>277</v>
      </c>
      <c r="E3028" s="1497">
        <v>11486.73</v>
      </c>
      <c r="F3028" s="1497"/>
      <c r="G3028" s="267" t="s">
        <v>27</v>
      </c>
      <c r="H3028" s="118" t="s">
        <v>1820</v>
      </c>
    </row>
    <row r="3029" spans="1:8">
      <c r="A3029" s="270">
        <v>45040</v>
      </c>
      <c r="B3029" s="267"/>
      <c r="C3029" s="267" t="s">
        <v>79</v>
      </c>
      <c r="D3029" s="3" t="s">
        <v>151</v>
      </c>
      <c r="E3029" s="1497">
        <v>7620</v>
      </c>
      <c r="F3029" s="1497"/>
      <c r="G3029" s="267" t="s">
        <v>27</v>
      </c>
      <c r="H3029" s="3"/>
    </row>
    <row r="3030" spans="1:8">
      <c r="A3030" s="270">
        <v>45040</v>
      </c>
      <c r="B3030" s="267"/>
      <c r="C3030" s="267" t="s">
        <v>79</v>
      </c>
      <c r="D3030" s="3" t="s">
        <v>277</v>
      </c>
      <c r="E3030" s="1497">
        <v>11486.73</v>
      </c>
      <c r="F3030" s="1497"/>
      <c r="G3030" s="267" t="s">
        <v>27</v>
      </c>
      <c r="H3030" s="3"/>
    </row>
    <row r="3031" spans="1:8">
      <c r="A3031" s="270">
        <v>45040</v>
      </c>
      <c r="B3031" s="267"/>
      <c r="C3031" s="267" t="s">
        <v>79</v>
      </c>
      <c r="D3031" s="3" t="s">
        <v>277</v>
      </c>
      <c r="E3031" s="1497">
        <v>7400</v>
      </c>
      <c r="F3031" s="1497"/>
      <c r="G3031" s="267" t="s">
        <v>27</v>
      </c>
      <c r="H3031" s="3"/>
    </row>
    <row r="3032" spans="1:8">
      <c r="A3032" s="270">
        <v>45040</v>
      </c>
      <c r="B3032" s="267"/>
      <c r="C3032" s="267" t="s">
        <v>92</v>
      </c>
      <c r="D3032" s="3" t="s">
        <v>477</v>
      </c>
      <c r="E3032" s="1497"/>
      <c r="F3032" s="1497">
        <v>5200</v>
      </c>
      <c r="G3032" s="267" t="s">
        <v>56</v>
      </c>
      <c r="H3032" s="3"/>
    </row>
    <row r="3033" spans="1:8">
      <c r="A3033" s="270">
        <v>45040</v>
      </c>
      <c r="B3033" s="267"/>
      <c r="C3033" s="267" t="s">
        <v>77</v>
      </c>
      <c r="D3033" s="3" t="s">
        <v>1858</v>
      </c>
      <c r="E3033" s="1497"/>
      <c r="F3033" s="1497">
        <v>1220100</v>
      </c>
      <c r="G3033" s="267" t="s">
        <v>27</v>
      </c>
      <c r="H3033" s="3"/>
    </row>
    <row r="3034" spans="1:8">
      <c r="A3034" s="270">
        <v>45040</v>
      </c>
      <c r="B3034" s="267"/>
      <c r="C3034" s="267" t="s">
        <v>205</v>
      </c>
      <c r="D3034" s="3" t="s">
        <v>71</v>
      </c>
      <c r="E3034" s="1497">
        <v>900000</v>
      </c>
      <c r="F3034" s="1497"/>
      <c r="G3034" s="267" t="s">
        <v>27</v>
      </c>
      <c r="H3034" s="3"/>
    </row>
    <row r="3035" spans="1:8">
      <c r="A3035" s="270">
        <v>45040</v>
      </c>
      <c r="B3035" s="267"/>
      <c r="C3035" s="267" t="s">
        <v>55</v>
      </c>
      <c r="D3035" s="3" t="s">
        <v>64</v>
      </c>
      <c r="E3035" s="1497">
        <v>1495</v>
      </c>
      <c r="F3035" s="1497"/>
      <c r="G3035" s="267" t="s">
        <v>27</v>
      </c>
      <c r="H3035" s="3"/>
    </row>
    <row r="3036" spans="1:8">
      <c r="A3036" s="270">
        <v>45040</v>
      </c>
      <c r="B3036" s="267"/>
      <c r="C3036" s="267" t="s">
        <v>308</v>
      </c>
      <c r="D3036" s="3" t="s">
        <v>232</v>
      </c>
      <c r="E3036" s="1497">
        <v>31130</v>
      </c>
      <c r="F3036" s="1497"/>
      <c r="G3036" s="267" t="s">
        <v>27</v>
      </c>
      <c r="H3036" s="3"/>
    </row>
    <row r="3037" spans="1:8">
      <c r="A3037" s="270">
        <v>45041</v>
      </c>
      <c r="B3037" s="267"/>
      <c r="C3037" s="267" t="s">
        <v>205</v>
      </c>
      <c r="D3037" s="3" t="s">
        <v>1859</v>
      </c>
      <c r="E3037" s="1497">
        <v>32000</v>
      </c>
      <c r="F3037" s="1497"/>
      <c r="G3037" s="267" t="s">
        <v>27</v>
      </c>
      <c r="H3037" s="3"/>
    </row>
    <row r="3038" spans="1:8">
      <c r="A3038" s="270">
        <v>45041</v>
      </c>
      <c r="B3038" s="267"/>
      <c r="C3038" s="267" t="s">
        <v>715</v>
      </c>
      <c r="D3038" s="3" t="s">
        <v>181</v>
      </c>
      <c r="E3038" s="1497" t="s">
        <v>1863</v>
      </c>
      <c r="F3038" s="1497"/>
      <c r="G3038" s="267" t="s">
        <v>27</v>
      </c>
      <c r="H3038" s="3"/>
    </row>
    <row r="3039" spans="1:8">
      <c r="A3039" s="270">
        <v>45041</v>
      </c>
      <c r="B3039" s="267"/>
      <c r="C3039" s="267" t="s">
        <v>715</v>
      </c>
      <c r="D3039" s="3" t="s">
        <v>379</v>
      </c>
      <c r="E3039" s="1497">
        <v>1547.86</v>
      </c>
      <c r="F3039" s="1497"/>
      <c r="G3039" s="267" t="s">
        <v>27</v>
      </c>
      <c r="H3039" s="3"/>
    </row>
    <row r="3040" spans="1:8">
      <c r="A3040" s="270">
        <v>45041</v>
      </c>
      <c r="B3040" s="267"/>
      <c r="C3040" s="267" t="s">
        <v>715</v>
      </c>
      <c r="D3040" s="3" t="s">
        <v>379</v>
      </c>
      <c r="E3040" s="1497">
        <v>1547.86</v>
      </c>
      <c r="F3040" s="1497"/>
      <c r="G3040" s="267" t="s">
        <v>27</v>
      </c>
      <c r="H3040" s="3"/>
    </row>
    <row r="3041" spans="1:8">
      <c r="A3041" s="270">
        <v>45041</v>
      </c>
      <c r="B3041" s="267"/>
      <c r="C3041" s="267" t="s">
        <v>205</v>
      </c>
      <c r="D3041" s="3" t="s">
        <v>57</v>
      </c>
      <c r="E3041" s="1497">
        <v>37290</v>
      </c>
      <c r="F3041" s="1497"/>
      <c r="G3041" s="267" t="s">
        <v>27</v>
      </c>
      <c r="H3041" s="45" t="s">
        <v>1860</v>
      </c>
    </row>
    <row r="3042" spans="1:8">
      <c r="A3042" s="270">
        <v>45041</v>
      </c>
      <c r="B3042" s="267"/>
      <c r="C3042" s="267" t="s">
        <v>77</v>
      </c>
      <c r="D3042" s="3" t="s">
        <v>1862</v>
      </c>
      <c r="E3042" s="1497"/>
      <c r="F3042" s="1497">
        <v>213000</v>
      </c>
      <c r="G3042" s="267" t="s">
        <v>72</v>
      </c>
      <c r="H3042" s="3" t="s">
        <v>1864</v>
      </c>
    </row>
    <row r="3043" spans="1:8">
      <c r="A3043" s="270">
        <v>45041</v>
      </c>
      <c r="B3043" s="267"/>
      <c r="C3043" s="267" t="s">
        <v>92</v>
      </c>
      <c r="D3043" s="3" t="s">
        <v>404</v>
      </c>
      <c r="E3043" s="1497"/>
      <c r="F3043" s="1497">
        <v>7550</v>
      </c>
      <c r="G3043" s="267" t="s">
        <v>56</v>
      </c>
      <c r="H3043" s="3"/>
    </row>
    <row r="3044" spans="1:8">
      <c r="A3044" s="270">
        <v>45041</v>
      </c>
      <c r="B3044" s="267"/>
      <c r="C3044" s="267" t="s">
        <v>199</v>
      </c>
      <c r="D3044" s="3" t="s">
        <v>1865</v>
      </c>
      <c r="E3044" s="1497"/>
      <c r="F3044" s="1497">
        <v>8800</v>
      </c>
      <c r="G3044" s="267" t="s">
        <v>27</v>
      </c>
      <c r="H3044" s="3"/>
    </row>
    <row r="3045" spans="1:8">
      <c r="A3045" s="270">
        <v>45041</v>
      </c>
      <c r="B3045" s="267"/>
      <c r="C3045" s="267" t="s">
        <v>86</v>
      </c>
      <c r="D3045" s="3" t="s">
        <v>104</v>
      </c>
      <c r="E3045" s="1497">
        <v>5000</v>
      </c>
      <c r="F3045" s="1497"/>
      <c r="G3045" s="267" t="s">
        <v>27</v>
      </c>
      <c r="H3045" s="3"/>
    </row>
    <row r="3046" spans="1:8">
      <c r="A3046" s="270">
        <v>45041</v>
      </c>
      <c r="B3046" s="267"/>
      <c r="C3046" s="267" t="s">
        <v>97</v>
      </c>
      <c r="D3046" s="3" t="s">
        <v>1406</v>
      </c>
      <c r="E3046" s="1497">
        <v>37790</v>
      </c>
      <c r="F3046" s="1497"/>
      <c r="G3046" s="267" t="s">
        <v>27</v>
      </c>
      <c r="H3046" s="3"/>
    </row>
    <row r="3047" spans="1:8">
      <c r="A3047" s="270">
        <v>45042</v>
      </c>
      <c r="B3047" s="267"/>
      <c r="C3047" s="267" t="s">
        <v>156</v>
      </c>
      <c r="D3047" s="3" t="s">
        <v>1831</v>
      </c>
      <c r="E3047" s="1497">
        <v>22216.12</v>
      </c>
      <c r="F3047" s="1497"/>
      <c r="G3047" s="267" t="s">
        <v>27</v>
      </c>
      <c r="H3047" s="3"/>
    </row>
    <row r="3048" spans="1:8">
      <c r="A3048" s="270">
        <v>46138</v>
      </c>
      <c r="B3048" s="267"/>
      <c r="C3048" s="267" t="s">
        <v>92</v>
      </c>
      <c r="D3048" s="3" t="s">
        <v>1867</v>
      </c>
      <c r="E3048" s="1497"/>
      <c r="F3048" s="1497">
        <v>7550</v>
      </c>
      <c r="G3048" s="267" t="s">
        <v>1866</v>
      </c>
      <c r="H3048" s="3"/>
    </row>
    <row r="3049" spans="1:8">
      <c r="A3049" s="270">
        <v>45042</v>
      </c>
      <c r="B3049" s="267"/>
      <c r="C3049" s="267" t="s">
        <v>90</v>
      </c>
      <c r="D3049" s="3" t="s">
        <v>1431</v>
      </c>
      <c r="E3049" s="1497">
        <v>2000</v>
      </c>
      <c r="F3049" s="1497"/>
      <c r="G3049" s="267" t="s">
        <v>56</v>
      </c>
      <c r="H3049" s="3"/>
    </row>
    <row r="3050" spans="1:8">
      <c r="A3050" s="270">
        <v>45042</v>
      </c>
      <c r="B3050" s="267"/>
      <c r="C3050" s="267" t="s">
        <v>205</v>
      </c>
      <c r="D3050" s="3" t="s">
        <v>71</v>
      </c>
      <c r="E3050" s="1497">
        <v>85366.66</v>
      </c>
      <c r="F3050" s="1497"/>
      <c r="G3050" s="267" t="s">
        <v>72</v>
      </c>
      <c r="H3050" s="3"/>
    </row>
    <row r="3051" spans="1:8">
      <c r="A3051" s="270">
        <v>45042</v>
      </c>
      <c r="B3051" s="267"/>
      <c r="C3051" s="267" t="s">
        <v>205</v>
      </c>
      <c r="D3051" s="3" t="s">
        <v>71</v>
      </c>
      <c r="E3051" s="1497">
        <v>72500</v>
      </c>
      <c r="F3051" s="1497"/>
      <c r="G3051" s="267" t="s">
        <v>287</v>
      </c>
      <c r="H3051" s="3" t="s">
        <v>1868</v>
      </c>
    </row>
    <row r="3052" spans="1:8">
      <c r="A3052" s="270">
        <v>45042</v>
      </c>
      <c r="B3052" s="267"/>
      <c r="C3052" s="267" t="s">
        <v>86</v>
      </c>
      <c r="D3052" s="3" t="s">
        <v>1873</v>
      </c>
      <c r="E3052" s="1497">
        <v>5000</v>
      </c>
      <c r="F3052" s="1497"/>
      <c r="G3052" s="267" t="s">
        <v>56</v>
      </c>
      <c r="H3052" s="3" t="s">
        <v>1875</v>
      </c>
    </row>
    <row r="3053" spans="1:8">
      <c r="A3053" s="270">
        <v>45042</v>
      </c>
      <c r="B3053" s="267"/>
      <c r="C3053" s="267" t="s">
        <v>1177</v>
      </c>
      <c r="D3053" s="3" t="s">
        <v>1874</v>
      </c>
      <c r="E3053" s="1497">
        <v>3900</v>
      </c>
      <c r="F3053" s="1497"/>
      <c r="G3053" s="267" t="s">
        <v>56</v>
      </c>
      <c r="H3053" s="3" t="s">
        <v>1875</v>
      </c>
    </row>
    <row r="3054" spans="1:8">
      <c r="A3054" s="270">
        <v>45043</v>
      </c>
      <c r="B3054" s="267"/>
      <c r="C3054" s="267" t="s">
        <v>1869</v>
      </c>
      <c r="D3054" s="3" t="s">
        <v>34</v>
      </c>
      <c r="E3054" s="1497">
        <v>3000</v>
      </c>
      <c r="F3054" s="1497"/>
      <c r="G3054" s="267" t="s">
        <v>56</v>
      </c>
      <c r="H3054" s="3"/>
    </row>
    <row r="3055" spans="1:8">
      <c r="A3055" s="270">
        <v>45043</v>
      </c>
      <c r="B3055" s="267"/>
      <c r="C3055" s="267" t="s">
        <v>92</v>
      </c>
      <c r="D3055" s="3" t="s">
        <v>1870</v>
      </c>
      <c r="E3055" s="1497"/>
      <c r="F3055" s="1497">
        <v>23400</v>
      </c>
      <c r="G3055" s="267" t="s">
        <v>56</v>
      </c>
      <c r="H3055" s="3"/>
    </row>
    <row r="3056" spans="1:8">
      <c r="A3056" s="270">
        <v>45043</v>
      </c>
      <c r="B3056" s="267"/>
      <c r="C3056" s="267" t="s">
        <v>205</v>
      </c>
      <c r="D3056" s="3" t="s">
        <v>48</v>
      </c>
      <c r="E3056" s="1497">
        <v>45000</v>
      </c>
      <c r="F3056" s="1497"/>
      <c r="G3056" s="267" t="s">
        <v>27</v>
      </c>
      <c r="H3056" s="3"/>
    </row>
    <row r="3057" spans="1:8">
      <c r="A3057" s="270">
        <v>45043</v>
      </c>
      <c r="B3057" s="267"/>
      <c r="C3057" s="267" t="s">
        <v>205</v>
      </c>
      <c r="D3057" s="3" t="s">
        <v>207</v>
      </c>
      <c r="E3057" s="1497">
        <v>24000</v>
      </c>
      <c r="F3057" s="1497"/>
      <c r="G3057" s="267" t="s">
        <v>27</v>
      </c>
      <c r="H3057" s="3"/>
    </row>
    <row r="3058" spans="1:8">
      <c r="A3058" s="270">
        <v>45043</v>
      </c>
      <c r="B3058" s="267"/>
      <c r="C3058" s="267" t="s">
        <v>79</v>
      </c>
      <c r="D3058" s="3" t="s">
        <v>1872</v>
      </c>
      <c r="E3058" s="1497" t="s">
        <v>1871</v>
      </c>
      <c r="F3058" s="1497"/>
      <c r="G3058" s="267" t="s">
        <v>27</v>
      </c>
      <c r="H3058" s="3"/>
    </row>
    <row r="3059" spans="1:8">
      <c r="A3059" s="270">
        <v>45043</v>
      </c>
      <c r="B3059" s="267"/>
      <c r="C3059" s="267" t="s">
        <v>79</v>
      </c>
      <c r="D3059" s="3" t="s">
        <v>1648</v>
      </c>
      <c r="E3059" s="1497">
        <v>32000</v>
      </c>
      <c r="F3059" s="1497"/>
      <c r="G3059" s="267" t="s">
        <v>27</v>
      </c>
      <c r="H3059" s="3"/>
    </row>
    <row r="3060" spans="1:8">
      <c r="A3060" s="270">
        <v>45043</v>
      </c>
      <c r="B3060" s="267"/>
      <c r="C3060" s="267" t="s">
        <v>537</v>
      </c>
      <c r="D3060" s="3" t="s">
        <v>144</v>
      </c>
      <c r="E3060" s="1497">
        <v>60000</v>
      </c>
      <c r="F3060" s="1497"/>
      <c r="G3060" s="267" t="s">
        <v>27</v>
      </c>
      <c r="H3060" s="3"/>
    </row>
    <row r="3061" spans="1:8">
      <c r="A3061" s="270">
        <v>45043</v>
      </c>
      <c r="B3061" s="267"/>
      <c r="C3061" s="267" t="s">
        <v>86</v>
      </c>
      <c r="D3061" s="3" t="s">
        <v>107</v>
      </c>
      <c r="E3061" s="1497">
        <v>5000</v>
      </c>
      <c r="F3061" s="1497"/>
      <c r="G3061" s="267" t="s">
        <v>27</v>
      </c>
      <c r="H3061" s="3"/>
    </row>
    <row r="3062" spans="1:8">
      <c r="A3062" s="270">
        <v>45043</v>
      </c>
      <c r="B3062" s="267"/>
      <c r="C3062" s="267" t="s">
        <v>79</v>
      </c>
      <c r="D3062" s="3" t="s">
        <v>277</v>
      </c>
      <c r="E3062" s="1497">
        <v>3000</v>
      </c>
      <c r="F3062" s="1497"/>
      <c r="G3062" s="267" t="s">
        <v>56</v>
      </c>
      <c r="H3062" s="3"/>
    </row>
    <row r="3063" spans="1:8">
      <c r="A3063" s="270">
        <v>45043</v>
      </c>
      <c r="B3063" s="267"/>
      <c r="C3063" s="267" t="s">
        <v>205</v>
      </c>
      <c r="D3063" s="3" t="s">
        <v>1845</v>
      </c>
      <c r="E3063" s="1497">
        <v>3500</v>
      </c>
      <c r="F3063" s="1497"/>
      <c r="G3063" s="267" t="s">
        <v>56</v>
      </c>
      <c r="H3063" s="3"/>
    </row>
    <row r="3064" spans="1:8">
      <c r="A3064" s="270">
        <v>45043</v>
      </c>
      <c r="B3064" s="267"/>
      <c r="C3064" s="267" t="s">
        <v>86</v>
      </c>
      <c r="D3064" s="3" t="s">
        <v>104</v>
      </c>
      <c r="E3064" s="1497">
        <v>5000</v>
      </c>
      <c r="F3064" s="1497"/>
      <c r="G3064" s="267" t="s">
        <v>56</v>
      </c>
      <c r="H3064" s="3"/>
    </row>
    <row r="3065" spans="1:8">
      <c r="A3065" s="270">
        <v>45043</v>
      </c>
      <c r="B3065" s="267"/>
      <c r="C3065" s="267" t="s">
        <v>831</v>
      </c>
      <c r="D3065" s="3" t="s">
        <v>1876</v>
      </c>
      <c r="E3065" s="1497">
        <v>3900</v>
      </c>
      <c r="F3065" s="1497"/>
      <c r="G3065" s="267" t="s">
        <v>56</v>
      </c>
      <c r="H3065" s="3"/>
    </row>
    <row r="3066" spans="1:8">
      <c r="A3066" s="270">
        <v>45044</v>
      </c>
      <c r="B3066" s="267"/>
      <c r="C3066" s="267" t="s">
        <v>55</v>
      </c>
      <c r="D3066" s="3" t="s">
        <v>62</v>
      </c>
      <c r="E3066" s="1497">
        <v>440</v>
      </c>
      <c r="F3066" s="1497"/>
      <c r="G3066" s="267" t="s">
        <v>56</v>
      </c>
      <c r="H3066" s="3"/>
    </row>
    <row r="3067" spans="1:8">
      <c r="A3067" s="270">
        <v>45044</v>
      </c>
      <c r="B3067" s="267"/>
      <c r="C3067" s="267" t="s">
        <v>92</v>
      </c>
      <c r="D3067" s="3" t="s">
        <v>1877</v>
      </c>
      <c r="E3067" s="1497"/>
      <c r="F3067" s="1497">
        <v>15860</v>
      </c>
      <c r="G3067" s="267" t="s">
        <v>72</v>
      </c>
      <c r="H3067" s="3" t="s">
        <v>1878</v>
      </c>
    </row>
    <row r="3068" spans="1:8">
      <c r="A3068" s="270">
        <v>45044</v>
      </c>
      <c r="B3068" s="267"/>
      <c r="C3068" s="267" t="s">
        <v>92</v>
      </c>
      <c r="D3068" s="3" t="s">
        <v>1879</v>
      </c>
      <c r="E3068" s="1497"/>
      <c r="F3068" s="1497">
        <v>7400</v>
      </c>
      <c r="G3068" s="267" t="s">
        <v>56</v>
      </c>
      <c r="H3068" s="3"/>
    </row>
    <row r="3069" spans="1:8">
      <c r="A3069" s="270">
        <v>45044</v>
      </c>
      <c r="B3069" s="267"/>
      <c r="C3069" s="267" t="s">
        <v>92</v>
      </c>
      <c r="D3069" s="3" t="s">
        <v>1795</v>
      </c>
      <c r="E3069" s="1497"/>
      <c r="F3069" s="1497">
        <v>5400</v>
      </c>
      <c r="G3069" s="267" t="s">
        <v>56</v>
      </c>
      <c r="H3069" s="3"/>
    </row>
    <row r="3070" spans="1:8">
      <c r="A3070" s="270">
        <v>45044</v>
      </c>
      <c r="B3070" s="267"/>
      <c r="C3070" s="267" t="s">
        <v>537</v>
      </c>
      <c r="D3070" s="3" t="s">
        <v>219</v>
      </c>
      <c r="E3070" s="1497">
        <v>42500</v>
      </c>
      <c r="F3070" s="1497"/>
      <c r="G3070" s="267" t="s">
        <v>56</v>
      </c>
      <c r="H3070" s="3"/>
    </row>
    <row r="3071" spans="1:8">
      <c r="A3071" s="270">
        <v>45044</v>
      </c>
      <c r="B3071" s="267"/>
      <c r="C3071" s="267" t="s">
        <v>537</v>
      </c>
      <c r="D3071" s="3" t="s">
        <v>144</v>
      </c>
      <c r="E3071" s="1497">
        <v>26000</v>
      </c>
      <c r="F3071" s="1497"/>
      <c r="G3071" s="267" t="s">
        <v>27</v>
      </c>
      <c r="H3071" s="3"/>
    </row>
    <row r="3072" spans="1:8">
      <c r="A3072" s="270">
        <v>45044</v>
      </c>
      <c r="B3072" s="267"/>
      <c r="C3072" s="267" t="s">
        <v>176</v>
      </c>
      <c r="D3072" s="15" t="s">
        <v>175</v>
      </c>
      <c r="E3072" s="1497">
        <v>10000</v>
      </c>
      <c r="F3072" s="1497"/>
      <c r="G3072" s="267" t="s">
        <v>56</v>
      </c>
      <c r="H3072" s="3"/>
    </row>
    <row r="3073" spans="1:8">
      <c r="H3073" s="122" t="s">
        <v>1880</v>
      </c>
    </row>
    <row r="3074" spans="1:8">
      <c r="H3074" s="133" t="s">
        <v>1819</v>
      </c>
    </row>
    <row r="3075" spans="1:8">
      <c r="H3075" s="132" t="s">
        <v>1882</v>
      </c>
    </row>
    <row r="3076" spans="1:8">
      <c r="H3076" s="117" t="s">
        <v>1538</v>
      </c>
    </row>
    <row r="3077" spans="1:8">
      <c r="H3077" s="117" t="s">
        <v>1680</v>
      </c>
    </row>
    <row r="3078" spans="1:8">
      <c r="H3078" s="117" t="s">
        <v>1636</v>
      </c>
    </row>
    <row r="3079" spans="1:8">
      <c r="H3079" s="117" t="s">
        <v>1881</v>
      </c>
    </row>
    <row r="3080" spans="1:8">
      <c r="H3080" s="118" t="s">
        <v>1883</v>
      </c>
    </row>
    <row r="3081" spans="1:8">
      <c r="A3081" s="270">
        <v>45048</v>
      </c>
      <c r="B3081" s="267"/>
      <c r="C3081" s="267" t="s">
        <v>79</v>
      </c>
      <c r="D3081" s="3" t="s">
        <v>151</v>
      </c>
      <c r="E3081" s="1497">
        <v>10000</v>
      </c>
      <c r="F3081" s="1497"/>
      <c r="G3081" s="267" t="s">
        <v>56</v>
      </c>
      <c r="H3081" s="3"/>
    </row>
    <row r="3082" spans="1:8">
      <c r="A3082" s="270">
        <v>45048</v>
      </c>
      <c r="B3082" s="267"/>
      <c r="C3082" s="267" t="s">
        <v>1886</v>
      </c>
      <c r="D3082" s="3" t="s">
        <v>1884</v>
      </c>
      <c r="E3082" s="1497">
        <v>800000</v>
      </c>
      <c r="F3082" s="1497"/>
      <c r="G3082" s="267" t="s">
        <v>27</v>
      </c>
      <c r="H3082" s="3"/>
    </row>
    <row r="3083" spans="1:8">
      <c r="A3083" s="270">
        <v>45048</v>
      </c>
      <c r="B3083" s="267"/>
      <c r="C3083" s="267" t="s">
        <v>1886</v>
      </c>
      <c r="D3083" s="3" t="s">
        <v>1885</v>
      </c>
      <c r="E3083" s="1497"/>
      <c r="F3083" s="1497">
        <v>800000</v>
      </c>
      <c r="G3083" s="267" t="s">
        <v>1886</v>
      </c>
      <c r="H3083" s="3"/>
    </row>
    <row r="3084" spans="1:8">
      <c r="A3084" s="270">
        <v>45048</v>
      </c>
      <c r="B3084" s="267"/>
      <c r="C3084" s="267" t="s">
        <v>79</v>
      </c>
      <c r="D3084" s="3" t="s">
        <v>151</v>
      </c>
      <c r="E3084" s="1497">
        <v>1359</v>
      </c>
      <c r="F3084" s="1497"/>
      <c r="G3084" s="267" t="s">
        <v>27</v>
      </c>
      <c r="H3084" s="3"/>
    </row>
    <row r="3085" spans="1:8">
      <c r="A3085" s="270">
        <v>45048</v>
      </c>
      <c r="B3085" s="267"/>
      <c r="C3085" s="267" t="s">
        <v>345</v>
      </c>
      <c r="D3085" s="3" t="s">
        <v>667</v>
      </c>
      <c r="E3085" s="1497">
        <v>9030</v>
      </c>
      <c r="F3085" s="1497"/>
      <c r="G3085" s="267" t="s">
        <v>27</v>
      </c>
      <c r="H3085" s="3"/>
    </row>
    <row r="3086" spans="1:8">
      <c r="A3086" s="270">
        <v>45049</v>
      </c>
      <c r="B3086" s="267"/>
      <c r="C3086" s="267" t="s">
        <v>55</v>
      </c>
      <c r="D3086" s="3" t="s">
        <v>63</v>
      </c>
      <c r="E3086" s="1497">
        <v>2409</v>
      </c>
      <c r="F3086" s="1497"/>
      <c r="G3086" s="267" t="s">
        <v>56</v>
      </c>
      <c r="H3086" s="3"/>
    </row>
    <row r="3087" spans="1:8">
      <c r="A3087" s="270">
        <v>45049</v>
      </c>
      <c r="B3087" s="267"/>
      <c r="C3087" s="267" t="s">
        <v>86</v>
      </c>
      <c r="D3087" s="15" t="s">
        <v>783</v>
      </c>
      <c r="E3087" s="1497">
        <v>5100</v>
      </c>
      <c r="F3087" s="1497"/>
      <c r="G3087" s="267" t="s">
        <v>56</v>
      </c>
      <c r="H3087" s="3" t="s">
        <v>811</v>
      </c>
    </row>
    <row r="3088" spans="1:8">
      <c r="A3088" s="270">
        <v>45049</v>
      </c>
      <c r="B3088" s="267"/>
      <c r="C3088" s="267" t="s">
        <v>160</v>
      </c>
      <c r="D3088" s="3" t="s">
        <v>1887</v>
      </c>
      <c r="E3088" s="1497"/>
      <c r="F3088" s="1497">
        <v>73266.12</v>
      </c>
      <c r="G3088" s="267" t="s">
        <v>287</v>
      </c>
      <c r="H3088" s="3"/>
    </row>
    <row r="3089" spans="1:8">
      <c r="A3089" s="270">
        <v>45049</v>
      </c>
      <c r="B3089" s="267"/>
      <c r="C3089" s="267" t="s">
        <v>205</v>
      </c>
      <c r="D3089" s="3" t="s">
        <v>283</v>
      </c>
      <c r="E3089" s="1497">
        <v>73266.12</v>
      </c>
      <c r="F3089" s="1497"/>
      <c r="G3089" s="267" t="s">
        <v>287</v>
      </c>
      <c r="H3089" s="3"/>
    </row>
    <row r="3090" spans="1:8">
      <c r="A3090" s="270">
        <v>45049</v>
      </c>
      <c r="B3090" s="267"/>
      <c r="C3090" s="267" t="s">
        <v>205</v>
      </c>
      <c r="D3090" s="3" t="s">
        <v>283</v>
      </c>
      <c r="E3090" s="1497">
        <v>1724.2</v>
      </c>
      <c r="F3090" s="1497"/>
      <c r="G3090" s="267" t="s">
        <v>27</v>
      </c>
      <c r="H3090" s="3"/>
    </row>
    <row r="3091" spans="1:8">
      <c r="A3091" s="270">
        <v>45049</v>
      </c>
      <c r="B3091" s="267"/>
      <c r="C3091" s="267" t="s">
        <v>205</v>
      </c>
      <c r="D3091" s="3" t="s">
        <v>43</v>
      </c>
      <c r="E3091" s="1497">
        <v>33802.49</v>
      </c>
      <c r="F3091" s="1497"/>
      <c r="G3091" s="267" t="s">
        <v>27</v>
      </c>
      <c r="H3091" s="3"/>
    </row>
    <row r="3092" spans="1:8">
      <c r="A3092" s="270">
        <v>45049</v>
      </c>
      <c r="B3092" s="267"/>
      <c r="C3092" s="267" t="s">
        <v>55</v>
      </c>
      <c r="D3092" s="15" t="s">
        <v>831</v>
      </c>
      <c r="E3092" s="1497">
        <v>5000</v>
      </c>
      <c r="F3092" s="1497"/>
      <c r="G3092" s="267" t="s">
        <v>56</v>
      </c>
      <c r="H3092" s="75" t="s">
        <v>811</v>
      </c>
    </row>
    <row r="3093" spans="1:8">
      <c r="A3093" s="269">
        <v>45050</v>
      </c>
      <c r="B3093" s="268"/>
      <c r="C3093" s="268"/>
      <c r="D3093" s="83" t="s">
        <v>831</v>
      </c>
      <c r="E3093" s="1501">
        <v>3900</v>
      </c>
      <c r="F3093" s="1501"/>
      <c r="G3093" s="268"/>
      <c r="H3093" s="83" t="s">
        <v>811</v>
      </c>
    </row>
    <row r="3094" spans="1:8">
      <c r="A3094" s="270">
        <v>45050</v>
      </c>
      <c r="B3094" s="267"/>
      <c r="C3094" s="267" t="s">
        <v>92</v>
      </c>
      <c r="D3094" s="3" t="s">
        <v>1888</v>
      </c>
      <c r="E3094" s="1497"/>
      <c r="F3094" s="1497">
        <v>7800</v>
      </c>
      <c r="G3094" s="267" t="s">
        <v>56</v>
      </c>
      <c r="H3094" s="3"/>
    </row>
    <row r="3095" spans="1:8">
      <c r="A3095" s="270">
        <v>45050</v>
      </c>
      <c r="B3095" s="267"/>
      <c r="C3095" s="267" t="s">
        <v>92</v>
      </c>
      <c r="D3095" s="3" t="s">
        <v>784</v>
      </c>
      <c r="E3095" s="1497"/>
      <c r="F3095" s="1497">
        <v>47950</v>
      </c>
      <c r="G3095" s="267" t="s">
        <v>56</v>
      </c>
      <c r="H3095" s="3"/>
    </row>
    <row r="3096" spans="1:8">
      <c r="A3096" s="270">
        <v>45050</v>
      </c>
      <c r="B3096" s="267"/>
      <c r="C3096" s="267" t="s">
        <v>97</v>
      </c>
      <c r="D3096" s="3" t="s">
        <v>450</v>
      </c>
      <c r="E3096" s="1497">
        <v>14750</v>
      </c>
      <c r="F3096" s="1497"/>
      <c r="G3096" s="267" t="s">
        <v>27</v>
      </c>
      <c r="H3096" s="3"/>
    </row>
    <row r="3097" spans="1:8">
      <c r="A3097" s="270">
        <v>45050</v>
      </c>
      <c r="B3097" s="267"/>
      <c r="C3097" s="267" t="s">
        <v>55</v>
      </c>
      <c r="D3097" s="3" t="s">
        <v>63</v>
      </c>
      <c r="E3097" s="1497">
        <v>1023</v>
      </c>
      <c r="F3097" s="1497"/>
      <c r="G3097" s="267" t="s">
        <v>56</v>
      </c>
      <c r="H3097" s="3"/>
    </row>
    <row r="3098" spans="1:8">
      <c r="A3098" s="270">
        <v>45050</v>
      </c>
      <c r="B3098" s="267"/>
      <c r="C3098" s="267" t="s">
        <v>92</v>
      </c>
      <c r="D3098" s="3" t="s">
        <v>1889</v>
      </c>
      <c r="E3098" s="1497"/>
      <c r="F3098" s="1497">
        <v>54100</v>
      </c>
      <c r="G3098" s="267" t="s">
        <v>72</v>
      </c>
      <c r="H3098" s="3" t="s">
        <v>1890</v>
      </c>
    </row>
    <row r="3099" spans="1:8">
      <c r="A3099" s="270">
        <v>45050</v>
      </c>
      <c r="B3099" s="267"/>
      <c r="C3099" s="267" t="s">
        <v>55</v>
      </c>
      <c r="D3099" s="3" t="s">
        <v>1891</v>
      </c>
      <c r="E3099" s="1497">
        <v>5000</v>
      </c>
      <c r="F3099" s="1497"/>
      <c r="G3099" s="267" t="s">
        <v>56</v>
      </c>
      <c r="H3099" s="3"/>
    </row>
    <row r="3100" spans="1:8">
      <c r="A3100" s="270">
        <v>45051</v>
      </c>
      <c r="B3100" s="267"/>
      <c r="C3100" s="267" t="s">
        <v>205</v>
      </c>
      <c r="D3100" s="3" t="s">
        <v>1592</v>
      </c>
      <c r="E3100" s="1497">
        <v>16600</v>
      </c>
      <c r="F3100" s="1497"/>
      <c r="G3100" s="267" t="s">
        <v>27</v>
      </c>
      <c r="H3100" s="3"/>
    </row>
    <row r="3101" spans="1:8">
      <c r="A3101" s="270">
        <v>45051</v>
      </c>
      <c r="B3101" s="267"/>
      <c r="C3101" s="267" t="s">
        <v>205</v>
      </c>
      <c r="D3101" s="3" t="s">
        <v>1670</v>
      </c>
      <c r="E3101" s="1497">
        <v>18868</v>
      </c>
      <c r="F3101" s="1497"/>
      <c r="G3101" s="267" t="s">
        <v>27</v>
      </c>
      <c r="H3101" s="3"/>
    </row>
    <row r="3102" spans="1:8">
      <c r="A3102" s="270">
        <v>45051</v>
      </c>
      <c r="B3102" s="267"/>
      <c r="C3102" s="267" t="s">
        <v>28</v>
      </c>
      <c r="D3102" s="3" t="s">
        <v>1894</v>
      </c>
      <c r="E3102" s="1497">
        <v>8458.6</v>
      </c>
      <c r="F3102" s="1497"/>
      <c r="G3102" s="267"/>
      <c r="H3102" s="3"/>
    </row>
    <row r="3103" spans="1:8">
      <c r="A3103" s="270">
        <v>45051</v>
      </c>
      <c r="B3103" s="267"/>
      <c r="C3103" s="267" t="s">
        <v>88</v>
      </c>
      <c r="D3103" s="3" t="s">
        <v>144</v>
      </c>
      <c r="E3103" s="1497">
        <v>50000</v>
      </c>
      <c r="F3103" s="1497"/>
      <c r="G3103" s="267" t="s">
        <v>27</v>
      </c>
      <c r="H3103" s="3"/>
    </row>
    <row r="3104" spans="1:8">
      <c r="A3104" s="270">
        <v>45051</v>
      </c>
      <c r="B3104" s="267"/>
      <c r="C3104" s="267" t="s">
        <v>88</v>
      </c>
      <c r="D3104" s="3" t="s">
        <v>144</v>
      </c>
      <c r="E3104" s="1497">
        <v>16200</v>
      </c>
      <c r="F3104" s="1497"/>
      <c r="G3104" s="267" t="s">
        <v>56</v>
      </c>
      <c r="H3104" s="3"/>
    </row>
    <row r="3105" spans="1:8">
      <c r="A3105" s="270">
        <v>45051</v>
      </c>
      <c r="B3105" s="267"/>
      <c r="C3105" s="267" t="s">
        <v>88</v>
      </c>
      <c r="D3105" s="3" t="s">
        <v>1898</v>
      </c>
      <c r="E3105" s="1497">
        <v>26000</v>
      </c>
      <c r="F3105" s="1497"/>
      <c r="G3105" s="267" t="s">
        <v>56</v>
      </c>
      <c r="H3105" s="3"/>
    </row>
    <row r="3106" spans="1:8">
      <c r="A3106" s="270">
        <v>45051</v>
      </c>
      <c r="B3106" s="267"/>
      <c r="C3106" s="267" t="s">
        <v>88</v>
      </c>
      <c r="D3106" s="15" t="s">
        <v>219</v>
      </c>
      <c r="E3106" s="1497">
        <v>42500</v>
      </c>
      <c r="F3106" s="1497"/>
      <c r="G3106" s="267" t="s">
        <v>56</v>
      </c>
      <c r="H3106" s="3"/>
    </row>
    <row r="3107" spans="1:8">
      <c r="A3107" s="270">
        <v>45051</v>
      </c>
      <c r="B3107" s="267"/>
      <c r="C3107" s="267" t="s">
        <v>88</v>
      </c>
      <c r="D3107" s="15" t="s">
        <v>1899</v>
      </c>
      <c r="E3107" s="1497">
        <v>28750</v>
      </c>
      <c r="F3107" s="1497"/>
      <c r="G3107" s="267" t="s">
        <v>56</v>
      </c>
      <c r="H3107" s="3"/>
    </row>
    <row r="3108" spans="1:8">
      <c r="H3108" s="128" t="s">
        <v>1892</v>
      </c>
    </row>
    <row r="3109" spans="1:8">
      <c r="H3109" s="133" t="s">
        <v>1819</v>
      </c>
    </row>
    <row r="3110" spans="1:8">
      <c r="H3110" s="132" t="s">
        <v>1896</v>
      </c>
    </row>
    <row r="3111" spans="1:8">
      <c r="H3111" s="117" t="s">
        <v>1897</v>
      </c>
    </row>
    <row r="3112" spans="1:8">
      <c r="H3112" s="117" t="s">
        <v>1900</v>
      </c>
    </row>
    <row r="3113" spans="1:8">
      <c r="H3113" s="117" t="s">
        <v>1895</v>
      </c>
    </row>
    <row r="3114" spans="1:8">
      <c r="H3114" s="117" t="s">
        <v>1636</v>
      </c>
    </row>
    <row r="3115" spans="1:8">
      <c r="H3115" s="117" t="s">
        <v>1893</v>
      </c>
    </row>
    <row r="3116" spans="1:8">
      <c r="H3116" s="118" t="s">
        <v>1883</v>
      </c>
    </row>
    <row r="3117" spans="1:8">
      <c r="A3117" s="270">
        <v>45052</v>
      </c>
      <c r="B3117" s="267"/>
      <c r="C3117" s="267" t="s">
        <v>205</v>
      </c>
      <c r="D3117" s="3" t="s">
        <v>1901</v>
      </c>
      <c r="E3117" s="1497">
        <v>10000</v>
      </c>
      <c r="F3117" s="1497"/>
      <c r="G3117" s="267" t="s">
        <v>56</v>
      </c>
      <c r="H3117" s="3"/>
    </row>
    <row r="3118" spans="1:8">
      <c r="A3118" s="270">
        <v>45052</v>
      </c>
      <c r="B3118" s="267"/>
      <c r="C3118" s="267"/>
      <c r="D3118" s="3" t="s">
        <v>1902</v>
      </c>
      <c r="E3118" s="1497"/>
      <c r="F3118" s="1497">
        <v>81085.460000000006</v>
      </c>
      <c r="G3118" s="267" t="s">
        <v>27</v>
      </c>
      <c r="H3118" s="3"/>
    </row>
    <row r="3119" spans="1:8">
      <c r="A3119" s="270">
        <v>45052</v>
      </c>
      <c r="B3119" s="267"/>
      <c r="C3119" s="267" t="s">
        <v>199</v>
      </c>
      <c r="D3119" s="3" t="s">
        <v>1903</v>
      </c>
      <c r="E3119" s="1497"/>
      <c r="F3119" s="1497">
        <v>155600</v>
      </c>
      <c r="G3119" s="267" t="s">
        <v>27</v>
      </c>
      <c r="H3119" s="3"/>
    </row>
    <row r="3120" spans="1:8">
      <c r="A3120" s="270">
        <v>45054</v>
      </c>
      <c r="B3120" s="267"/>
      <c r="C3120" s="267" t="s">
        <v>309</v>
      </c>
      <c r="D3120" s="3" t="s">
        <v>1904</v>
      </c>
      <c r="E3120" s="1497"/>
      <c r="F3120" s="1497">
        <v>11855.6</v>
      </c>
      <c r="G3120" s="267" t="s">
        <v>27</v>
      </c>
      <c r="H3120" s="3"/>
    </row>
    <row r="3121" spans="1:8" ht="30">
      <c r="A3121" s="116">
        <v>45054</v>
      </c>
      <c r="B3121" s="267"/>
      <c r="C3121" s="51" t="s">
        <v>205</v>
      </c>
      <c r="D3121" s="52" t="s">
        <v>49</v>
      </c>
      <c r="E3121" s="1497">
        <v>174183.66</v>
      </c>
      <c r="F3121" s="1497"/>
      <c r="G3121" s="267" t="s">
        <v>1279</v>
      </c>
      <c r="H3121" s="69" t="s">
        <v>1905</v>
      </c>
    </row>
    <row r="3122" spans="1:8">
      <c r="A3122" s="270">
        <v>45054</v>
      </c>
      <c r="B3122" s="267"/>
      <c r="C3122" s="267" t="s">
        <v>94</v>
      </c>
      <c r="D3122" s="15" t="s">
        <v>1627</v>
      </c>
      <c r="E3122" s="1497">
        <v>1726.59</v>
      </c>
      <c r="F3122" s="1497"/>
      <c r="G3122" s="267" t="s">
        <v>27</v>
      </c>
      <c r="H3122" s="3"/>
    </row>
    <row r="3123" spans="1:8">
      <c r="A3123" s="270">
        <v>45054</v>
      </c>
      <c r="B3123" s="267"/>
      <c r="C3123" s="267" t="s">
        <v>92</v>
      </c>
      <c r="D3123" s="3" t="s">
        <v>1907</v>
      </c>
      <c r="E3123" s="1497"/>
      <c r="F3123" s="1497">
        <v>40990</v>
      </c>
      <c r="G3123" s="267" t="s">
        <v>56</v>
      </c>
      <c r="H3123" s="3"/>
    </row>
    <row r="3124" spans="1:8">
      <c r="A3124" s="270">
        <v>45054</v>
      </c>
      <c r="B3124" s="267"/>
      <c r="C3124" s="267" t="s">
        <v>92</v>
      </c>
      <c r="D3124" s="3" t="s">
        <v>1906</v>
      </c>
      <c r="E3124" s="1497"/>
      <c r="F3124" s="1497">
        <v>33480</v>
      </c>
      <c r="G3124" s="267" t="s">
        <v>56</v>
      </c>
      <c r="H3124" s="3"/>
    </row>
    <row r="3125" spans="1:8">
      <c r="A3125" s="270">
        <v>45054</v>
      </c>
      <c r="B3125" s="267"/>
      <c r="C3125" s="267" t="s">
        <v>205</v>
      </c>
      <c r="D3125" s="15" t="s">
        <v>48</v>
      </c>
      <c r="E3125" s="1497">
        <v>90000</v>
      </c>
      <c r="F3125" s="1497"/>
      <c r="G3125" s="267" t="s">
        <v>27</v>
      </c>
      <c r="H3125" s="3"/>
    </row>
    <row r="3126" spans="1:8">
      <c r="A3126" s="270">
        <v>45054</v>
      </c>
      <c r="B3126" s="267"/>
      <c r="C3126" s="267" t="s">
        <v>55</v>
      </c>
      <c r="D3126" s="3" t="s">
        <v>1908</v>
      </c>
      <c r="E3126" s="1497"/>
      <c r="F3126" s="1497">
        <v>50000</v>
      </c>
      <c r="G3126" s="267" t="s">
        <v>27</v>
      </c>
      <c r="H3126" s="71">
        <v>28000</v>
      </c>
    </row>
    <row r="3127" spans="1:8">
      <c r="A3127" s="270">
        <v>45054</v>
      </c>
      <c r="B3127" s="267"/>
      <c r="C3127" s="267" t="s">
        <v>205</v>
      </c>
      <c r="D3127" s="3" t="s">
        <v>45</v>
      </c>
      <c r="E3127" s="1497"/>
      <c r="F3127" s="1497">
        <v>43188.9</v>
      </c>
      <c r="G3127" s="267" t="s">
        <v>27</v>
      </c>
      <c r="H3127" s="3"/>
    </row>
    <row r="3128" spans="1:8">
      <c r="A3128" s="270">
        <v>45055</v>
      </c>
      <c r="B3128" s="267"/>
      <c r="C3128" s="267" t="s">
        <v>92</v>
      </c>
      <c r="D3128" s="3" t="s">
        <v>1254</v>
      </c>
      <c r="E3128" s="1497"/>
      <c r="F3128" s="1497">
        <v>8500</v>
      </c>
      <c r="G3128" s="267" t="s">
        <v>27</v>
      </c>
      <c r="H3128" s="3"/>
    </row>
    <row r="3129" spans="1:8">
      <c r="A3129" s="270">
        <v>45055</v>
      </c>
      <c r="B3129" s="267"/>
      <c r="C3129" s="267" t="s">
        <v>92</v>
      </c>
      <c r="D3129" s="15" t="s">
        <v>1796</v>
      </c>
      <c r="E3129" s="1497"/>
      <c r="F3129" s="1497">
        <v>19600</v>
      </c>
      <c r="G3129" s="267" t="s">
        <v>27</v>
      </c>
      <c r="H3129" s="3"/>
    </row>
    <row r="3130" spans="1:8">
      <c r="A3130" s="270">
        <v>45055</v>
      </c>
      <c r="B3130" s="267"/>
      <c r="C3130" s="267" t="s">
        <v>1911</v>
      </c>
      <c r="D3130" s="15" t="s">
        <v>1910</v>
      </c>
      <c r="E3130" s="1497">
        <v>20000</v>
      </c>
      <c r="F3130" s="1497"/>
      <c r="G3130" s="267" t="s">
        <v>27</v>
      </c>
      <c r="H3130" s="3"/>
    </row>
    <row r="3131" spans="1:8">
      <c r="A3131" s="270">
        <v>45055</v>
      </c>
      <c r="B3131" s="267"/>
      <c r="C3131" s="267" t="s">
        <v>92</v>
      </c>
      <c r="D3131" s="3" t="s">
        <v>1843</v>
      </c>
      <c r="E3131" s="1497"/>
      <c r="F3131" s="1497">
        <v>5200</v>
      </c>
      <c r="G3131" s="267" t="s">
        <v>56</v>
      </c>
      <c r="H3131" s="3"/>
    </row>
    <row r="3132" spans="1:8">
      <c r="A3132" s="270">
        <v>45055</v>
      </c>
      <c r="B3132" s="267"/>
      <c r="C3132" s="267" t="s">
        <v>92</v>
      </c>
      <c r="D3132" s="3" t="s">
        <v>1318</v>
      </c>
      <c r="E3132" s="1497"/>
      <c r="F3132" s="1497">
        <v>101100</v>
      </c>
      <c r="G3132" s="267" t="s">
        <v>27</v>
      </c>
      <c r="H3132" s="3"/>
    </row>
    <row r="3133" spans="1:8">
      <c r="A3133" s="270">
        <v>45055</v>
      </c>
      <c r="B3133" s="267"/>
      <c r="C3133" s="267" t="s">
        <v>103</v>
      </c>
      <c r="D3133" s="3" t="s">
        <v>22</v>
      </c>
      <c r="E3133" s="1497">
        <v>19169</v>
      </c>
      <c r="F3133" s="1497"/>
      <c r="G3133" s="267" t="s">
        <v>27</v>
      </c>
      <c r="H3133" s="3"/>
    </row>
    <row r="3134" spans="1:8">
      <c r="A3134" s="270">
        <v>45055</v>
      </c>
      <c r="B3134" s="267"/>
      <c r="C3134" s="267" t="s">
        <v>92</v>
      </c>
      <c r="D3134" s="3" t="s">
        <v>1912</v>
      </c>
      <c r="E3134" s="1497"/>
      <c r="F3134" s="1497">
        <v>71500</v>
      </c>
      <c r="G3134" s="267" t="s">
        <v>27</v>
      </c>
      <c r="H3134" s="3"/>
    </row>
    <row r="3135" spans="1:8">
      <c r="A3135" s="270">
        <v>45055</v>
      </c>
      <c r="B3135" s="267"/>
      <c r="C3135" s="267" t="s">
        <v>77</v>
      </c>
      <c r="D3135" s="3" t="s">
        <v>1913</v>
      </c>
      <c r="E3135" s="1497"/>
      <c r="F3135" s="1497">
        <v>1352900</v>
      </c>
      <c r="G3135" s="267" t="s">
        <v>56</v>
      </c>
      <c r="H3135" s="3" t="s">
        <v>1914</v>
      </c>
    </row>
    <row r="3136" spans="1:8">
      <c r="A3136" s="270">
        <v>45055</v>
      </c>
      <c r="B3136" s="267"/>
      <c r="C3136" s="267" t="s">
        <v>86</v>
      </c>
      <c r="D3136" s="3" t="s">
        <v>107</v>
      </c>
      <c r="E3136" s="1497">
        <v>6129.77</v>
      </c>
      <c r="F3136" s="1497"/>
      <c r="G3136" s="267" t="s">
        <v>27</v>
      </c>
      <c r="H3136" s="3"/>
    </row>
    <row r="3137" spans="1:8">
      <c r="A3137" s="270">
        <v>45056</v>
      </c>
      <c r="B3137" s="267"/>
      <c r="C3137" s="267" t="s">
        <v>92</v>
      </c>
      <c r="D3137" s="3" t="s">
        <v>1915</v>
      </c>
      <c r="E3137" s="1497"/>
      <c r="F3137" s="1497">
        <v>112520</v>
      </c>
      <c r="G3137" s="267" t="s">
        <v>27</v>
      </c>
      <c r="H3137" s="3"/>
    </row>
    <row r="3138" spans="1:8">
      <c r="A3138" s="270">
        <v>45056</v>
      </c>
      <c r="B3138" s="267"/>
      <c r="C3138" s="267" t="s">
        <v>92</v>
      </c>
      <c r="D3138" s="3" t="s">
        <v>1916</v>
      </c>
      <c r="E3138" s="1497">
        <v>644.16</v>
      </c>
      <c r="F3138" s="1497"/>
      <c r="G3138" s="267" t="s">
        <v>27</v>
      </c>
      <c r="H3138" s="3"/>
    </row>
    <row r="3139" spans="1:8">
      <c r="A3139" s="270">
        <v>45056</v>
      </c>
      <c r="B3139" s="267"/>
      <c r="C3139" s="267" t="s">
        <v>92</v>
      </c>
      <c r="D3139" s="3" t="s">
        <v>1917</v>
      </c>
      <c r="E3139" s="1497"/>
      <c r="F3139" s="1497">
        <v>6600</v>
      </c>
      <c r="G3139" s="267" t="s">
        <v>56</v>
      </c>
      <c r="H3139" s="3"/>
    </row>
    <row r="3140" spans="1:8">
      <c r="A3140" s="270">
        <v>45056</v>
      </c>
      <c r="B3140" s="267"/>
      <c r="C3140" s="267" t="s">
        <v>150</v>
      </c>
      <c r="D3140" s="3" t="s">
        <v>223</v>
      </c>
      <c r="E3140" s="1497">
        <v>20000</v>
      </c>
      <c r="F3140" s="1497"/>
      <c r="G3140" s="267" t="s">
        <v>27</v>
      </c>
      <c r="H3140" s="3"/>
    </row>
    <row r="3141" spans="1:8">
      <c r="A3141" s="270">
        <v>45056</v>
      </c>
      <c r="B3141" s="267"/>
      <c r="C3141" s="267" t="s">
        <v>150</v>
      </c>
      <c r="D3141" s="3" t="s">
        <v>223</v>
      </c>
      <c r="E3141" s="1497"/>
      <c r="F3141" s="1497">
        <v>20000</v>
      </c>
      <c r="G3141" s="267" t="s">
        <v>108</v>
      </c>
      <c r="H3141" s="3"/>
    </row>
    <row r="3142" spans="1:8">
      <c r="A3142" s="270">
        <v>45056</v>
      </c>
      <c r="B3142" s="267"/>
      <c r="C3142" s="267" t="s">
        <v>79</v>
      </c>
      <c r="D3142" s="15" t="s">
        <v>1648</v>
      </c>
      <c r="E3142" s="1497">
        <v>20000</v>
      </c>
      <c r="F3142" s="1497"/>
      <c r="G3142" s="267" t="s">
        <v>27</v>
      </c>
      <c r="H3142" s="3"/>
    </row>
    <row r="3143" spans="1:8">
      <c r="A3143" s="270">
        <v>45056</v>
      </c>
      <c r="B3143" s="267"/>
      <c r="C3143" s="267" t="s">
        <v>94</v>
      </c>
      <c r="D3143" s="15" t="s">
        <v>1687</v>
      </c>
      <c r="E3143" s="1497">
        <v>2499.77</v>
      </c>
      <c r="F3143" s="1497"/>
      <c r="G3143" s="267" t="s">
        <v>27</v>
      </c>
      <c r="H3143" s="3"/>
    </row>
    <row r="3144" spans="1:8">
      <c r="A3144" s="270">
        <v>45056</v>
      </c>
      <c r="B3144" s="267"/>
      <c r="C3144" s="267" t="s">
        <v>79</v>
      </c>
      <c r="D3144" s="15" t="s">
        <v>211</v>
      </c>
      <c r="E3144" s="1497">
        <v>14991.4</v>
      </c>
      <c r="F3144" s="1497"/>
      <c r="G3144" s="267" t="s">
        <v>27</v>
      </c>
      <c r="H3144" s="3"/>
    </row>
    <row r="3145" spans="1:8">
      <c r="A3145" s="270">
        <v>45056</v>
      </c>
      <c r="B3145" s="267"/>
      <c r="C3145" s="267" t="s">
        <v>205</v>
      </c>
      <c r="D3145" s="15" t="s">
        <v>1918</v>
      </c>
      <c r="E3145" s="1497">
        <v>20000</v>
      </c>
      <c r="F3145" s="1497"/>
      <c r="G3145" s="267" t="s">
        <v>27</v>
      </c>
      <c r="H3145" s="3"/>
    </row>
    <row r="3146" spans="1:8">
      <c r="A3146" s="270">
        <v>45056</v>
      </c>
      <c r="B3146" s="267"/>
      <c r="C3146" s="267" t="s">
        <v>94</v>
      </c>
      <c r="D3146" s="15" t="s">
        <v>1919</v>
      </c>
      <c r="E3146" s="1497">
        <v>15150.85</v>
      </c>
      <c r="F3146" s="1497"/>
      <c r="G3146" s="267" t="s">
        <v>27</v>
      </c>
      <c r="H3146" s="3"/>
    </row>
    <row r="3147" spans="1:8">
      <c r="A3147" s="270">
        <v>45056</v>
      </c>
      <c r="B3147" s="267"/>
      <c r="C3147" s="267" t="s">
        <v>176</v>
      </c>
      <c r="D3147" s="3" t="s">
        <v>175</v>
      </c>
      <c r="E3147" s="1497">
        <v>45000</v>
      </c>
      <c r="F3147" s="1497"/>
      <c r="G3147" s="267" t="s">
        <v>27</v>
      </c>
      <c r="H3147" s="3"/>
    </row>
    <row r="3148" spans="1:8">
      <c r="A3148" s="270">
        <v>45056</v>
      </c>
      <c r="B3148" s="267"/>
      <c r="C3148" s="267" t="s">
        <v>205</v>
      </c>
      <c r="D3148" s="3" t="s">
        <v>1793</v>
      </c>
      <c r="E3148" s="1497">
        <v>92500</v>
      </c>
      <c r="F3148" s="1497"/>
      <c r="G3148" s="267" t="s">
        <v>287</v>
      </c>
      <c r="H3148" s="3"/>
    </row>
    <row r="3149" spans="1:8">
      <c r="A3149" s="270">
        <v>45056</v>
      </c>
      <c r="B3149" s="267"/>
      <c r="C3149" s="267" t="s">
        <v>55</v>
      </c>
      <c r="D3149" s="3" t="s">
        <v>60</v>
      </c>
      <c r="E3149" s="1497">
        <v>800</v>
      </c>
      <c r="F3149" s="1497"/>
      <c r="G3149" s="267" t="s">
        <v>56</v>
      </c>
      <c r="H3149" s="3"/>
    </row>
    <row r="3150" spans="1:8">
      <c r="A3150" s="270">
        <v>45056</v>
      </c>
      <c r="B3150" s="267"/>
      <c r="C3150" s="267" t="s">
        <v>62</v>
      </c>
      <c r="D3150" s="3" t="s">
        <v>1920</v>
      </c>
      <c r="E3150" s="1497">
        <v>23800</v>
      </c>
      <c r="F3150" s="1497"/>
      <c r="G3150" s="267" t="s">
        <v>56</v>
      </c>
      <c r="H3150" s="3"/>
    </row>
    <row r="3151" spans="1:8">
      <c r="A3151" s="270">
        <v>45056</v>
      </c>
      <c r="B3151" s="267"/>
      <c r="C3151" s="267" t="s">
        <v>92</v>
      </c>
      <c r="D3151" s="15" t="s">
        <v>882</v>
      </c>
      <c r="E3151" s="1497"/>
      <c r="F3151" s="1497">
        <v>7500</v>
      </c>
      <c r="G3151" s="267" t="s">
        <v>1739</v>
      </c>
      <c r="H3151" s="3"/>
    </row>
    <row r="3152" spans="1:8">
      <c r="A3152" s="270">
        <v>45056</v>
      </c>
      <c r="B3152" s="267"/>
      <c r="C3152" s="267" t="s">
        <v>92</v>
      </c>
      <c r="D3152" s="15" t="s">
        <v>1308</v>
      </c>
      <c r="E3152" s="1497"/>
      <c r="F3152" s="1497">
        <v>6500</v>
      </c>
      <c r="G3152" s="267" t="s">
        <v>56</v>
      </c>
      <c r="H3152" s="3"/>
    </row>
    <row r="3153" spans="1:8">
      <c r="A3153" s="270">
        <v>45056</v>
      </c>
      <c r="B3153" s="267"/>
      <c r="C3153" s="267" t="s">
        <v>79</v>
      </c>
      <c r="D3153" s="3" t="s">
        <v>151</v>
      </c>
      <c r="E3153" s="1497">
        <v>11300</v>
      </c>
      <c r="F3153" s="1497"/>
      <c r="G3153" s="267" t="s">
        <v>27</v>
      </c>
      <c r="H3153" s="3"/>
    </row>
    <row r="3154" spans="1:8">
      <c r="A3154" s="270">
        <v>45057</v>
      </c>
      <c r="B3154" s="267"/>
      <c r="C3154" s="267" t="s">
        <v>205</v>
      </c>
      <c r="D3154" s="3" t="s">
        <v>63</v>
      </c>
      <c r="E3154" s="1497">
        <v>1395.2</v>
      </c>
      <c r="F3154" s="1497"/>
      <c r="G3154" s="267" t="s">
        <v>56</v>
      </c>
      <c r="H3154" s="3"/>
    </row>
    <row r="3155" spans="1:8">
      <c r="A3155" s="270">
        <v>45057</v>
      </c>
      <c r="B3155" s="267"/>
      <c r="C3155" s="267" t="s">
        <v>205</v>
      </c>
      <c r="D3155" s="15" t="s">
        <v>854</v>
      </c>
      <c r="E3155" s="1497">
        <v>499.63</v>
      </c>
      <c r="F3155" s="1497"/>
      <c r="G3155" s="267" t="s">
        <v>56</v>
      </c>
      <c r="H3155" s="3"/>
    </row>
    <row r="3156" spans="1:8">
      <c r="A3156" s="270">
        <v>45057</v>
      </c>
      <c r="B3156" s="267"/>
      <c r="C3156" s="267" t="s">
        <v>537</v>
      </c>
      <c r="D3156" s="3" t="s">
        <v>144</v>
      </c>
      <c r="E3156" s="1497">
        <v>10000</v>
      </c>
      <c r="F3156" s="1497"/>
      <c r="G3156" s="267" t="s">
        <v>27</v>
      </c>
      <c r="H3156" s="3"/>
    </row>
    <row r="3157" spans="1:8">
      <c r="A3157" s="270">
        <v>45057</v>
      </c>
      <c r="B3157" s="267"/>
      <c r="C3157" s="267" t="s">
        <v>160</v>
      </c>
      <c r="D3157" s="3" t="s">
        <v>1921</v>
      </c>
      <c r="E3157" s="1497"/>
      <c r="F3157" s="1497">
        <v>300</v>
      </c>
      <c r="G3157" s="267" t="s">
        <v>56</v>
      </c>
      <c r="H3157" s="45" t="s">
        <v>1922</v>
      </c>
    </row>
    <row r="3158" spans="1:8">
      <c r="A3158" s="270">
        <v>45057</v>
      </c>
      <c r="B3158" s="267"/>
      <c r="C3158" s="267" t="s">
        <v>205</v>
      </c>
      <c r="D3158" s="3" t="s">
        <v>11</v>
      </c>
      <c r="E3158" s="1497">
        <v>50577</v>
      </c>
      <c r="F3158" s="1497"/>
      <c r="G3158" s="267" t="s">
        <v>1279</v>
      </c>
      <c r="H3158" s="3"/>
    </row>
    <row r="3159" spans="1:8">
      <c r="A3159" s="270">
        <v>45057</v>
      </c>
      <c r="B3159" s="267"/>
      <c r="C3159" s="267" t="s">
        <v>205</v>
      </c>
      <c r="D3159" s="3" t="s">
        <v>11</v>
      </c>
      <c r="E3159" s="1497">
        <v>16000</v>
      </c>
      <c r="F3159" s="1497"/>
      <c r="G3159" s="267" t="s">
        <v>56</v>
      </c>
      <c r="H3159" s="3"/>
    </row>
    <row r="3160" spans="1:8">
      <c r="A3160" s="270">
        <v>45057</v>
      </c>
      <c r="B3160" s="267"/>
      <c r="C3160" s="267" t="s">
        <v>55</v>
      </c>
      <c r="D3160" s="3" t="s">
        <v>369</v>
      </c>
      <c r="E3160" s="1497">
        <v>500</v>
      </c>
      <c r="F3160" s="1497"/>
      <c r="G3160" s="267" t="s">
        <v>56</v>
      </c>
      <c r="H3160" s="3"/>
    </row>
    <row r="3161" spans="1:8">
      <c r="A3161" s="270">
        <v>45058</v>
      </c>
      <c r="B3161" s="267"/>
      <c r="C3161" s="267" t="s">
        <v>176</v>
      </c>
      <c r="D3161" s="3" t="s">
        <v>1923</v>
      </c>
      <c r="E3161" s="1497">
        <v>25000</v>
      </c>
      <c r="F3161" s="1497"/>
      <c r="G3161" s="267" t="s">
        <v>56</v>
      </c>
      <c r="H3161" s="3"/>
    </row>
    <row r="3162" spans="1:8">
      <c r="A3162" s="270">
        <v>45058</v>
      </c>
      <c r="B3162" s="267"/>
      <c r="C3162" s="267" t="s">
        <v>150</v>
      </c>
      <c r="D3162" s="3" t="s">
        <v>450</v>
      </c>
      <c r="E3162" s="1497">
        <v>9500</v>
      </c>
      <c r="F3162" s="1497"/>
      <c r="G3162" s="267" t="s">
        <v>27</v>
      </c>
      <c r="H3162" s="3"/>
    </row>
    <row r="3163" spans="1:8">
      <c r="A3163" s="270">
        <v>45058</v>
      </c>
      <c r="B3163" s="267"/>
      <c r="C3163" s="267" t="s">
        <v>92</v>
      </c>
      <c r="D3163" s="3" t="s">
        <v>1924</v>
      </c>
      <c r="E3163" s="1497"/>
      <c r="F3163" s="1497">
        <v>8200</v>
      </c>
      <c r="G3163" s="267" t="s">
        <v>27</v>
      </c>
      <c r="H3163" s="3"/>
    </row>
    <row r="3164" spans="1:8">
      <c r="A3164" s="270">
        <v>45058</v>
      </c>
      <c r="B3164" s="267"/>
      <c r="C3164" s="267" t="s">
        <v>86</v>
      </c>
      <c r="D3164" s="3" t="s">
        <v>104</v>
      </c>
      <c r="E3164" s="1497">
        <v>5100</v>
      </c>
      <c r="F3164" s="1497"/>
      <c r="G3164" s="267" t="s">
        <v>56</v>
      </c>
      <c r="H3164" s="3" t="s">
        <v>1925</v>
      </c>
    </row>
    <row r="3165" spans="1:8">
      <c r="A3165" s="270">
        <v>45058</v>
      </c>
      <c r="B3165" s="267"/>
      <c r="C3165" s="267" t="s">
        <v>55</v>
      </c>
      <c r="D3165" s="3" t="s">
        <v>633</v>
      </c>
      <c r="E3165" s="1497">
        <v>500</v>
      </c>
      <c r="F3165" s="1497"/>
      <c r="G3165" s="267" t="s">
        <v>56</v>
      </c>
      <c r="H3165" s="3"/>
    </row>
    <row r="3166" spans="1:8">
      <c r="A3166" s="270">
        <v>45058</v>
      </c>
      <c r="B3166" s="267"/>
      <c r="C3166" s="267" t="s">
        <v>55</v>
      </c>
      <c r="D3166" s="3" t="s">
        <v>1926</v>
      </c>
      <c r="E3166" s="1497">
        <v>600</v>
      </c>
      <c r="F3166" s="1497"/>
      <c r="G3166" s="267" t="s">
        <v>56</v>
      </c>
      <c r="H3166" s="3"/>
    </row>
    <row r="3167" spans="1:8">
      <c r="A3167" s="270">
        <v>45058</v>
      </c>
      <c r="B3167" s="267"/>
      <c r="C3167" s="267" t="s">
        <v>79</v>
      </c>
      <c r="D3167" s="3" t="s">
        <v>277</v>
      </c>
      <c r="E3167" s="1497">
        <v>13500</v>
      </c>
      <c r="F3167" s="1497"/>
      <c r="G3167" s="267" t="s">
        <v>56</v>
      </c>
      <c r="H3167" s="3"/>
    </row>
    <row r="3168" spans="1:8">
      <c r="A3168" s="270">
        <v>45058</v>
      </c>
      <c r="B3168" s="267"/>
      <c r="C3168" s="267" t="s">
        <v>88</v>
      </c>
      <c r="D3168" s="3" t="s">
        <v>144</v>
      </c>
      <c r="E3168" s="1497">
        <v>10000</v>
      </c>
      <c r="F3168" s="1497"/>
      <c r="G3168" s="267" t="s">
        <v>27</v>
      </c>
      <c r="H3168" s="3"/>
    </row>
    <row r="3169" spans="1:8">
      <c r="A3169" s="270">
        <v>45058</v>
      </c>
      <c r="B3169" s="267"/>
      <c r="C3169" s="267" t="s">
        <v>88</v>
      </c>
      <c r="D3169" s="3" t="s">
        <v>144</v>
      </c>
      <c r="E3169" s="1497">
        <v>56300</v>
      </c>
      <c r="F3169" s="1497"/>
      <c r="G3169" s="267" t="s">
        <v>56</v>
      </c>
      <c r="H3169" s="3"/>
    </row>
    <row r="3170" spans="1:8">
      <c r="A3170" s="270">
        <v>45058</v>
      </c>
      <c r="B3170" s="267"/>
      <c r="C3170" s="267" t="s">
        <v>88</v>
      </c>
      <c r="D3170" s="3" t="s">
        <v>219</v>
      </c>
      <c r="E3170" s="1497">
        <v>43800</v>
      </c>
      <c r="F3170" s="1497"/>
      <c r="G3170" s="267" t="s">
        <v>56</v>
      </c>
      <c r="H3170" s="3"/>
    </row>
    <row r="3171" spans="1:8">
      <c r="A3171" s="270">
        <v>45058</v>
      </c>
      <c r="B3171" s="267"/>
      <c r="C3171" s="267" t="s">
        <v>88</v>
      </c>
      <c r="D3171" s="3" t="s">
        <v>208</v>
      </c>
      <c r="E3171" s="1497">
        <v>29000</v>
      </c>
      <c r="F3171" s="1497"/>
      <c r="G3171" s="267" t="s">
        <v>56</v>
      </c>
      <c r="H3171" s="3"/>
    </row>
    <row r="3172" spans="1:8">
      <c r="A3172" s="270">
        <v>45058</v>
      </c>
      <c r="B3172" s="267"/>
      <c r="C3172" s="267" t="s">
        <v>88</v>
      </c>
      <c r="D3172" s="3" t="s">
        <v>1898</v>
      </c>
      <c r="E3172" s="1497">
        <v>26000</v>
      </c>
      <c r="F3172" s="1497"/>
      <c r="G3172" s="267" t="s">
        <v>56</v>
      </c>
      <c r="H3172" s="3"/>
    </row>
    <row r="3173" spans="1:8">
      <c r="A3173" s="270">
        <v>45058</v>
      </c>
      <c r="B3173" s="267"/>
      <c r="C3173" s="267" t="s">
        <v>1625</v>
      </c>
      <c r="D3173" s="3" t="s">
        <v>1934</v>
      </c>
      <c r="E3173" s="1497"/>
      <c r="F3173" s="1497">
        <v>87300</v>
      </c>
      <c r="G3173" s="267" t="s">
        <v>287</v>
      </c>
      <c r="H3173" s="3"/>
    </row>
    <row r="3174" spans="1:8">
      <c r="A3174" s="267"/>
      <c r="B3174" s="267"/>
      <c r="C3174" s="267"/>
      <c r="D3174" s="3"/>
      <c r="E3174" s="1497"/>
      <c r="F3174" s="1497"/>
      <c r="G3174" s="267"/>
      <c r="H3174" s="128" t="s">
        <v>1928</v>
      </c>
    </row>
    <row r="3175" spans="1:8">
      <c r="A3175" s="267"/>
      <c r="B3175" s="267"/>
      <c r="C3175" s="267"/>
      <c r="D3175" s="3"/>
      <c r="E3175" s="1497"/>
      <c r="F3175" s="1497"/>
      <c r="G3175" s="267"/>
      <c r="H3175" s="133" t="s">
        <v>1936</v>
      </c>
    </row>
    <row r="3176" spans="1:8">
      <c r="H3176" s="132" t="s">
        <v>1935</v>
      </c>
    </row>
    <row r="3177" spans="1:8">
      <c r="H3177" s="117" t="s">
        <v>1931</v>
      </c>
    </row>
    <row r="3178" spans="1:8">
      <c r="H3178" s="117" t="s">
        <v>1929</v>
      </c>
    </row>
    <row r="3179" spans="1:8">
      <c r="H3179" s="117" t="s">
        <v>1932</v>
      </c>
    </row>
    <row r="3180" spans="1:8">
      <c r="H3180" s="117" t="s">
        <v>1937</v>
      </c>
    </row>
    <row r="3181" spans="1:8">
      <c r="H3181" s="117" t="s">
        <v>1930</v>
      </c>
    </row>
    <row r="3182" spans="1:8">
      <c r="H3182" s="118" t="s">
        <v>1933</v>
      </c>
    </row>
    <row r="3183" spans="1:8">
      <c r="A3183" s="270">
        <v>45058</v>
      </c>
      <c r="B3183" s="267"/>
      <c r="C3183" s="267" t="s">
        <v>55</v>
      </c>
      <c r="D3183" s="3" t="s">
        <v>1938</v>
      </c>
      <c r="E3183" s="1497">
        <v>19764</v>
      </c>
      <c r="F3183" s="1497"/>
      <c r="G3183" s="267" t="s">
        <v>27</v>
      </c>
      <c r="H3183" s="3"/>
    </row>
    <row r="3184" spans="1:8">
      <c r="A3184" s="270">
        <v>45061</v>
      </c>
      <c r="B3184" s="267"/>
      <c r="C3184" s="267" t="s">
        <v>79</v>
      </c>
      <c r="D3184" s="3" t="s">
        <v>277</v>
      </c>
      <c r="E3184" s="1497">
        <v>8000</v>
      </c>
      <c r="F3184" s="1497"/>
      <c r="G3184" s="267" t="s">
        <v>56</v>
      </c>
      <c r="H3184" s="3"/>
    </row>
    <row r="3185" spans="1:8">
      <c r="A3185" s="270">
        <v>45061</v>
      </c>
      <c r="B3185" s="267"/>
      <c r="C3185" s="267" t="s">
        <v>62</v>
      </c>
      <c r="D3185" s="3" t="s">
        <v>38</v>
      </c>
      <c r="E3185" s="1497">
        <v>1200</v>
      </c>
      <c r="F3185" s="1497"/>
      <c r="G3185" s="267" t="s">
        <v>56</v>
      </c>
      <c r="H3185" s="3"/>
    </row>
    <row r="3186" spans="1:8">
      <c r="A3186" s="270">
        <v>45061</v>
      </c>
      <c r="B3186" s="267"/>
      <c r="C3186" s="267" t="s">
        <v>77</v>
      </c>
      <c r="D3186" s="3" t="s">
        <v>1939</v>
      </c>
      <c r="E3186" s="1497">
        <v>650000</v>
      </c>
      <c r="F3186" s="1497"/>
      <c r="G3186" s="267" t="s">
        <v>56</v>
      </c>
      <c r="H3186" s="3"/>
    </row>
    <row r="3187" spans="1:8">
      <c r="A3187" s="270">
        <v>45061</v>
      </c>
      <c r="B3187" s="267"/>
      <c r="C3187" s="267" t="s">
        <v>92</v>
      </c>
      <c r="D3187" s="3" t="s">
        <v>1940</v>
      </c>
      <c r="E3187" s="1497"/>
      <c r="F3187" s="1497">
        <v>10250</v>
      </c>
      <c r="G3187" s="267" t="s">
        <v>1941</v>
      </c>
      <c r="H3187" s="3"/>
    </row>
    <row r="3188" spans="1:8">
      <c r="A3188" s="270">
        <v>45061</v>
      </c>
      <c r="B3188" s="267"/>
      <c r="C3188" s="267" t="s">
        <v>79</v>
      </c>
      <c r="D3188" s="3" t="s">
        <v>151</v>
      </c>
      <c r="E3188" s="1497">
        <v>5822.99</v>
      </c>
      <c r="F3188" s="1497"/>
      <c r="G3188" s="267" t="s">
        <v>27</v>
      </c>
      <c r="H3188" s="3"/>
    </row>
    <row r="3189" spans="1:8">
      <c r="A3189" s="270">
        <v>45061</v>
      </c>
      <c r="B3189" s="267"/>
      <c r="C3189" s="267" t="s">
        <v>79</v>
      </c>
      <c r="D3189" s="3" t="s">
        <v>151</v>
      </c>
      <c r="E3189" s="1497">
        <v>3665</v>
      </c>
      <c r="F3189" s="1497"/>
      <c r="G3189" s="267" t="s">
        <v>27</v>
      </c>
      <c r="H3189" s="3"/>
    </row>
    <row r="3190" spans="1:8">
      <c r="A3190" s="270">
        <v>45061</v>
      </c>
      <c r="B3190" s="267"/>
      <c r="C3190" s="267" t="s">
        <v>205</v>
      </c>
      <c r="D3190" s="3" t="s">
        <v>1918</v>
      </c>
      <c r="E3190" s="1497">
        <v>17760</v>
      </c>
      <c r="F3190" s="1497"/>
      <c r="G3190" s="267" t="s">
        <v>27</v>
      </c>
      <c r="H3190" s="3"/>
    </row>
    <row r="3191" spans="1:8">
      <c r="A3191" s="124">
        <v>45061</v>
      </c>
      <c r="B3191" s="266"/>
      <c r="C3191" s="266" t="s">
        <v>55</v>
      </c>
      <c r="D3191" s="79" t="s">
        <v>104</v>
      </c>
      <c r="E3191" s="1496">
        <v>5105.7700000000004</v>
      </c>
      <c r="F3191" s="1496"/>
      <c r="G3191" s="266" t="s">
        <v>56</v>
      </c>
      <c r="H3191" s="79"/>
    </row>
    <row r="3192" spans="1:8">
      <c r="A3192" s="270">
        <v>45061</v>
      </c>
      <c r="B3192" s="267"/>
      <c r="C3192" s="267" t="s">
        <v>205</v>
      </c>
      <c r="D3192" s="3" t="s">
        <v>1146</v>
      </c>
      <c r="E3192" s="1497">
        <v>500000</v>
      </c>
      <c r="F3192" s="1497"/>
      <c r="G3192" s="267" t="s">
        <v>56</v>
      </c>
      <c r="H3192" s="3"/>
    </row>
    <row r="3193" spans="1:8">
      <c r="A3193" s="270">
        <v>45062</v>
      </c>
      <c r="B3193" s="267"/>
      <c r="C3193" s="267" t="s">
        <v>122</v>
      </c>
      <c r="D3193" s="3" t="s">
        <v>1946</v>
      </c>
      <c r="E3193" s="1497">
        <v>24000</v>
      </c>
      <c r="F3193" s="1497"/>
      <c r="G3193" s="267" t="s">
        <v>27</v>
      </c>
      <c r="H3193" s="3"/>
    </row>
    <row r="3194" spans="1:8">
      <c r="A3194" s="270">
        <v>45062</v>
      </c>
      <c r="B3194" s="267"/>
      <c r="C3194" s="267" t="s">
        <v>150</v>
      </c>
      <c r="D3194" s="3" t="s">
        <v>1942</v>
      </c>
      <c r="E3194" s="1497">
        <v>2000</v>
      </c>
      <c r="F3194" s="1497"/>
      <c r="G3194" s="267" t="s">
        <v>27</v>
      </c>
      <c r="H3194" s="3"/>
    </row>
    <row r="3195" spans="1:8">
      <c r="A3195" s="270">
        <v>45062</v>
      </c>
      <c r="B3195" s="267"/>
      <c r="C3195" s="267" t="s">
        <v>150</v>
      </c>
      <c r="D3195" s="3" t="s">
        <v>1942</v>
      </c>
      <c r="E3195" s="1497"/>
      <c r="F3195" s="1497">
        <v>2000</v>
      </c>
      <c r="G3195" s="267" t="s">
        <v>108</v>
      </c>
      <c r="H3195" s="3"/>
    </row>
    <row r="3196" spans="1:8">
      <c r="A3196" s="270">
        <v>45062</v>
      </c>
      <c r="B3196" s="267"/>
      <c r="C3196" s="267" t="s">
        <v>327</v>
      </c>
      <c r="D3196" s="3" t="s">
        <v>266</v>
      </c>
      <c r="E3196" s="1497"/>
      <c r="F3196" s="1497">
        <v>7000</v>
      </c>
      <c r="G3196" s="267" t="s">
        <v>56</v>
      </c>
      <c r="H3196" s="3"/>
    </row>
    <row r="3197" spans="1:8">
      <c r="A3197" s="270">
        <v>45062</v>
      </c>
      <c r="B3197" s="267"/>
      <c r="C3197" s="267" t="s">
        <v>327</v>
      </c>
      <c r="D3197" s="3" t="s">
        <v>1943</v>
      </c>
      <c r="E3197" s="1497"/>
      <c r="F3197" s="1497">
        <v>38550</v>
      </c>
      <c r="G3197" s="267" t="s">
        <v>56</v>
      </c>
      <c r="H3197" s="3"/>
    </row>
    <row r="3198" spans="1:8">
      <c r="A3198" s="270">
        <v>45062</v>
      </c>
      <c r="B3198" s="267"/>
      <c r="C3198" s="267" t="s">
        <v>156</v>
      </c>
      <c r="D3198" s="3" t="s">
        <v>1831</v>
      </c>
      <c r="E3198" s="1497">
        <v>22165.02</v>
      </c>
      <c r="F3198" s="1497"/>
      <c r="G3198" s="267" t="s">
        <v>27</v>
      </c>
      <c r="H3198" s="3"/>
    </row>
    <row r="3199" spans="1:8">
      <c r="A3199" s="270">
        <v>45063</v>
      </c>
      <c r="B3199" s="267"/>
      <c r="C3199" s="267" t="s">
        <v>86</v>
      </c>
      <c r="D3199" s="3" t="s">
        <v>104</v>
      </c>
      <c r="E3199" s="1497">
        <v>5105.66</v>
      </c>
      <c r="F3199" s="1497"/>
      <c r="G3199" s="267" t="s">
        <v>56</v>
      </c>
      <c r="H3199" s="3"/>
    </row>
    <row r="3200" spans="1:8">
      <c r="A3200" s="270">
        <v>45063</v>
      </c>
      <c r="B3200" s="267"/>
      <c r="C3200" s="267" t="s">
        <v>1945</v>
      </c>
      <c r="D3200" s="3" t="s">
        <v>1944</v>
      </c>
      <c r="E3200" s="1497">
        <v>1500</v>
      </c>
      <c r="F3200" s="1497"/>
      <c r="G3200" s="267" t="s">
        <v>56</v>
      </c>
      <c r="H3200" s="3"/>
    </row>
    <row r="3201" spans="1:8">
      <c r="A3201" s="270">
        <v>45063</v>
      </c>
      <c r="B3201" s="267"/>
      <c r="C3201" s="267" t="s">
        <v>92</v>
      </c>
      <c r="D3201" s="3" t="s">
        <v>1318</v>
      </c>
      <c r="E3201" s="1497"/>
      <c r="F3201" s="1497">
        <v>133900</v>
      </c>
      <c r="G3201" s="267" t="s">
        <v>27</v>
      </c>
      <c r="H3201" s="3"/>
    </row>
    <row r="3202" spans="1:8">
      <c r="A3202" s="270">
        <v>45063</v>
      </c>
      <c r="B3202" s="267"/>
      <c r="C3202" s="267" t="s">
        <v>92</v>
      </c>
      <c r="D3202" s="15" t="s">
        <v>1318</v>
      </c>
      <c r="E3202" s="1497"/>
      <c r="F3202" s="1497">
        <v>385100</v>
      </c>
      <c r="G3202" s="267" t="s">
        <v>27</v>
      </c>
      <c r="H3202" s="3"/>
    </row>
    <row r="3203" spans="1:8">
      <c r="A3203" s="270">
        <v>45063</v>
      </c>
      <c r="B3203" s="267"/>
      <c r="C3203" s="267" t="s">
        <v>92</v>
      </c>
      <c r="D3203" s="15" t="s">
        <v>1947</v>
      </c>
      <c r="E3203" s="1497">
        <v>10058.85</v>
      </c>
      <c r="F3203" s="1497"/>
      <c r="G3203" s="267" t="s">
        <v>27</v>
      </c>
      <c r="H3203" s="3"/>
    </row>
    <row r="3204" spans="1:8">
      <c r="A3204" s="270">
        <v>45063</v>
      </c>
      <c r="B3204" s="267"/>
      <c r="C3204" s="267" t="s">
        <v>205</v>
      </c>
      <c r="D3204" s="3" t="s">
        <v>190</v>
      </c>
      <c r="E3204" s="1497">
        <v>85366.36</v>
      </c>
      <c r="F3204" s="1497"/>
      <c r="G3204" s="267" t="s">
        <v>72</v>
      </c>
      <c r="H3204" s="3" t="s">
        <v>1948</v>
      </c>
    </row>
    <row r="3205" spans="1:8">
      <c r="A3205" s="270">
        <v>45063</v>
      </c>
      <c r="B3205" s="267"/>
      <c r="C3205" s="267" t="s">
        <v>92</v>
      </c>
      <c r="D3205" s="3" t="s">
        <v>1949</v>
      </c>
      <c r="E3205" s="1497"/>
      <c r="F3205" s="1497">
        <v>97700</v>
      </c>
      <c r="G3205" s="267" t="s">
        <v>56</v>
      </c>
      <c r="H3205" s="3"/>
    </row>
    <row r="3206" spans="1:8">
      <c r="A3206" s="270">
        <v>45063</v>
      </c>
      <c r="B3206" s="267"/>
      <c r="C3206" s="267" t="s">
        <v>79</v>
      </c>
      <c r="D3206" s="3" t="s">
        <v>166</v>
      </c>
      <c r="E3206" s="1497">
        <v>60000</v>
      </c>
      <c r="F3206" s="1497"/>
      <c r="G3206" s="267" t="s">
        <v>27</v>
      </c>
      <c r="H3206" s="3"/>
    </row>
    <row r="3207" spans="1:8">
      <c r="A3207" s="270">
        <v>45063</v>
      </c>
      <c r="B3207" s="267"/>
      <c r="C3207" s="267" t="s">
        <v>537</v>
      </c>
      <c r="D3207" s="3" t="s">
        <v>208</v>
      </c>
      <c r="E3207" s="1497">
        <v>5000</v>
      </c>
      <c r="F3207" s="1497"/>
      <c r="G3207" s="267" t="s">
        <v>56</v>
      </c>
      <c r="H3207" s="3"/>
    </row>
    <row r="3208" spans="1:8">
      <c r="A3208" s="270">
        <v>45063</v>
      </c>
      <c r="B3208" s="267"/>
      <c r="C3208" s="267" t="s">
        <v>55</v>
      </c>
      <c r="D3208" s="3" t="s">
        <v>70</v>
      </c>
      <c r="E3208" s="1497">
        <v>1620</v>
      </c>
      <c r="F3208" s="1497"/>
      <c r="G3208" s="267" t="s">
        <v>56</v>
      </c>
      <c r="H3208" s="3"/>
    </row>
    <row r="3209" spans="1:8">
      <c r="A3209" s="270">
        <v>45063</v>
      </c>
      <c r="B3209" s="267"/>
      <c r="C3209" s="267" t="s">
        <v>831</v>
      </c>
      <c r="D3209" s="3" t="s">
        <v>1950</v>
      </c>
      <c r="E3209" s="1497">
        <v>13548.99</v>
      </c>
      <c r="F3209" s="1497"/>
      <c r="G3209" s="267" t="s">
        <v>56</v>
      </c>
      <c r="H3209" s="3" t="s">
        <v>1925</v>
      </c>
    </row>
    <row r="3210" spans="1:8">
      <c r="A3210" s="270">
        <v>45064</v>
      </c>
      <c r="B3210" s="267"/>
      <c r="C3210" s="267" t="s">
        <v>29</v>
      </c>
      <c r="D3210" s="3" t="s">
        <v>1845</v>
      </c>
      <c r="E3210" s="1497">
        <v>7000</v>
      </c>
      <c r="F3210" s="1497"/>
      <c r="G3210" s="267" t="s">
        <v>56</v>
      </c>
      <c r="H3210" s="3"/>
    </row>
    <row r="3211" spans="1:8">
      <c r="A3211" s="270">
        <v>45064</v>
      </c>
      <c r="B3211" s="267"/>
      <c r="C3211" s="267" t="s">
        <v>62</v>
      </c>
      <c r="D3211" s="3" t="s">
        <v>38</v>
      </c>
      <c r="E3211" s="1497">
        <v>300</v>
      </c>
      <c r="F3211" s="1497"/>
      <c r="G3211" s="267" t="s">
        <v>56</v>
      </c>
      <c r="H3211" s="3"/>
    </row>
    <row r="3212" spans="1:8">
      <c r="A3212" s="270">
        <v>45064</v>
      </c>
      <c r="B3212" s="267"/>
      <c r="C3212" s="267" t="s">
        <v>55</v>
      </c>
      <c r="D3212" s="3" t="s">
        <v>1951</v>
      </c>
      <c r="E3212" s="1497">
        <v>2250</v>
      </c>
      <c r="F3212" s="1497"/>
      <c r="G3212" s="267" t="s">
        <v>56</v>
      </c>
      <c r="H3212" s="3"/>
    </row>
    <row r="3213" spans="1:8">
      <c r="A3213" s="270">
        <v>45064</v>
      </c>
      <c r="B3213" s="267"/>
      <c r="C3213" s="267" t="s">
        <v>205</v>
      </c>
      <c r="D3213" s="3" t="s">
        <v>48</v>
      </c>
      <c r="E3213" s="1497">
        <v>419000</v>
      </c>
      <c r="F3213" s="1497"/>
      <c r="G3213" s="267" t="s">
        <v>56</v>
      </c>
      <c r="H3213" s="3"/>
    </row>
    <row r="3214" spans="1:8">
      <c r="A3214" s="270">
        <v>45064</v>
      </c>
      <c r="B3214" s="267"/>
      <c r="C3214" s="267" t="s">
        <v>205</v>
      </c>
      <c r="D3214" s="3" t="s">
        <v>48</v>
      </c>
      <c r="E3214" s="1497">
        <v>87300</v>
      </c>
      <c r="F3214" s="1497"/>
      <c r="G3214" s="267" t="s">
        <v>287</v>
      </c>
      <c r="H3214" s="3" t="s">
        <v>1952</v>
      </c>
    </row>
    <row r="3215" spans="1:8">
      <c r="A3215" s="270">
        <v>45064</v>
      </c>
      <c r="B3215" s="267"/>
      <c r="C3215" s="267" t="s">
        <v>92</v>
      </c>
      <c r="D3215" s="3" t="s">
        <v>1825</v>
      </c>
      <c r="E3215" s="1497"/>
      <c r="F3215" s="1497">
        <v>15900</v>
      </c>
      <c r="G3215" s="267" t="s">
        <v>56</v>
      </c>
      <c r="H3215" s="3"/>
    </row>
    <row r="3216" spans="1:8">
      <c r="A3216" s="270">
        <v>45064</v>
      </c>
      <c r="B3216" s="267"/>
      <c r="C3216" s="267" t="s">
        <v>92</v>
      </c>
      <c r="D3216" s="3" t="s">
        <v>1760</v>
      </c>
      <c r="E3216" s="1497"/>
      <c r="F3216" s="1497">
        <v>36200</v>
      </c>
      <c r="G3216" s="267" t="s">
        <v>27</v>
      </c>
      <c r="H3216" s="3"/>
    </row>
    <row r="3217" spans="1:8">
      <c r="A3217" s="270">
        <v>45064</v>
      </c>
      <c r="B3217" s="267"/>
      <c r="C3217" s="267" t="s">
        <v>92</v>
      </c>
      <c r="D3217" s="3" t="s">
        <v>1954</v>
      </c>
      <c r="E3217" s="1497">
        <v>24500</v>
      </c>
      <c r="F3217" s="1497"/>
      <c r="G3217" s="267" t="s">
        <v>27</v>
      </c>
      <c r="H3217" s="3"/>
    </row>
    <row r="3218" spans="1:8">
      <c r="A3218" s="270">
        <v>45064</v>
      </c>
      <c r="B3218" s="267"/>
      <c r="C3218" s="267" t="s">
        <v>65</v>
      </c>
      <c r="D3218" s="15" t="s">
        <v>560</v>
      </c>
      <c r="E3218" s="1497">
        <v>7500</v>
      </c>
      <c r="F3218" s="1497"/>
      <c r="G3218" s="267" t="s">
        <v>56</v>
      </c>
      <c r="H3218" s="3"/>
    </row>
    <row r="3219" spans="1:8">
      <c r="A3219" s="270">
        <v>45065</v>
      </c>
      <c r="B3219" s="267"/>
      <c r="C3219" s="267" t="s">
        <v>92</v>
      </c>
      <c r="D3219" s="3" t="s">
        <v>1955</v>
      </c>
      <c r="E3219" s="1497"/>
      <c r="F3219" s="1497">
        <v>5450</v>
      </c>
      <c r="G3219" s="267" t="s">
        <v>56</v>
      </c>
      <c r="H3219" s="3"/>
    </row>
    <row r="3220" spans="1:8">
      <c r="A3220" s="270">
        <v>45065</v>
      </c>
      <c r="B3220" s="267"/>
      <c r="C3220" s="267" t="s">
        <v>55</v>
      </c>
      <c r="D3220" s="3" t="s">
        <v>609</v>
      </c>
      <c r="E3220" s="1497"/>
      <c r="F3220" s="1497">
        <v>98700</v>
      </c>
      <c r="G3220" s="267" t="s">
        <v>27</v>
      </c>
      <c r="H3220" s="3"/>
    </row>
    <row r="3221" spans="1:8">
      <c r="A3221" s="270">
        <v>45065</v>
      </c>
      <c r="B3221" s="267"/>
      <c r="C3221" s="267" t="s">
        <v>205</v>
      </c>
      <c r="D3221" s="3" t="s">
        <v>1918</v>
      </c>
      <c r="E3221" s="1497">
        <v>14500</v>
      </c>
      <c r="F3221" s="1497"/>
      <c r="G3221" s="267" t="s">
        <v>27</v>
      </c>
      <c r="H3221" s="3"/>
    </row>
    <row r="3222" spans="1:8">
      <c r="A3222" s="270">
        <v>45065</v>
      </c>
      <c r="B3222" s="267"/>
      <c r="C3222" s="267" t="s">
        <v>79</v>
      </c>
      <c r="D3222" s="3" t="s">
        <v>1956</v>
      </c>
      <c r="E3222" s="1497">
        <v>115347.86</v>
      </c>
      <c r="F3222" s="1497"/>
      <c r="G3222" s="267" t="s">
        <v>27</v>
      </c>
      <c r="H3222" s="3"/>
    </row>
    <row r="3223" spans="1:8">
      <c r="A3223" s="270">
        <v>45065</v>
      </c>
      <c r="B3223" s="267"/>
      <c r="C3223" s="267" t="s">
        <v>94</v>
      </c>
      <c r="D3223" s="15" t="s">
        <v>1957</v>
      </c>
      <c r="E3223" s="1497">
        <v>6500</v>
      </c>
      <c r="F3223" s="1497"/>
      <c r="G3223" s="267" t="s">
        <v>27</v>
      </c>
      <c r="H3223" s="3"/>
    </row>
    <row r="3224" spans="1:8">
      <c r="A3224" s="270">
        <v>45065</v>
      </c>
      <c r="B3224" s="267"/>
      <c r="C3224" s="267" t="s">
        <v>62</v>
      </c>
      <c r="D3224" s="3" t="s">
        <v>635</v>
      </c>
      <c r="E3224" s="1497">
        <v>600</v>
      </c>
      <c r="F3224" s="1497"/>
      <c r="G3224" s="267" t="s">
        <v>56</v>
      </c>
      <c r="H3224" s="3"/>
    </row>
    <row r="3225" spans="1:8">
      <c r="A3225" s="270">
        <v>45065</v>
      </c>
      <c r="B3225" s="267"/>
      <c r="C3225" s="267" t="s">
        <v>62</v>
      </c>
      <c r="D3225" s="3" t="s">
        <v>38</v>
      </c>
      <c r="E3225" s="1497">
        <v>120</v>
      </c>
      <c r="F3225" s="1497"/>
      <c r="G3225" s="267" t="s">
        <v>56</v>
      </c>
      <c r="H3225" s="3"/>
    </row>
    <row r="3226" spans="1:8">
      <c r="A3226" s="270">
        <v>45065</v>
      </c>
      <c r="B3226" s="267"/>
      <c r="C3226" s="267" t="s">
        <v>1958</v>
      </c>
      <c r="D3226" s="3" t="s">
        <v>232</v>
      </c>
      <c r="E3226" s="1497">
        <v>5850</v>
      </c>
      <c r="F3226" s="1497"/>
      <c r="G3226" s="267" t="s">
        <v>27</v>
      </c>
      <c r="H3226" s="3"/>
    </row>
    <row r="3227" spans="1:8">
      <c r="A3227" s="270">
        <v>45065</v>
      </c>
      <c r="B3227" s="267"/>
      <c r="C3227" s="267"/>
      <c r="D3227" s="3"/>
      <c r="E3227" s="1497">
        <v>6134.51</v>
      </c>
      <c r="F3227" s="1497"/>
      <c r="G3227" s="267" t="s">
        <v>56</v>
      </c>
      <c r="H3227" s="3"/>
    </row>
    <row r="3228" spans="1:8">
      <c r="H3228" s="128" t="s">
        <v>1959</v>
      </c>
    </row>
    <row r="3229" spans="1:8">
      <c r="H3229" s="133" t="s">
        <v>1964</v>
      </c>
    </row>
    <row r="3230" spans="1:8">
      <c r="H3230" s="132" t="s">
        <v>1965</v>
      </c>
    </row>
    <row r="3231" spans="1:8">
      <c r="H3231" s="117" t="s">
        <v>1960</v>
      </c>
    </row>
    <row r="3232" spans="1:8">
      <c r="H3232" s="117" t="s">
        <v>1963</v>
      </c>
    </row>
    <row r="3233" spans="1:8">
      <c r="H3233" s="117" t="s">
        <v>1966</v>
      </c>
    </row>
    <row r="3234" spans="1:8">
      <c r="H3234" s="117" t="s">
        <v>1937</v>
      </c>
    </row>
    <row r="3235" spans="1:8">
      <c r="H3235" s="117" t="s">
        <v>1962</v>
      </c>
    </row>
    <row r="3236" spans="1:8">
      <c r="H3236" s="118" t="s">
        <v>1961</v>
      </c>
    </row>
    <row r="3237" spans="1:8">
      <c r="A3237" s="270">
        <v>45066</v>
      </c>
      <c r="B3237" s="267"/>
      <c r="C3237" s="267" t="s">
        <v>1968</v>
      </c>
      <c r="D3237" s="3" t="s">
        <v>1967</v>
      </c>
      <c r="E3237" s="1497">
        <v>20000</v>
      </c>
      <c r="F3237" s="1497"/>
      <c r="G3237" s="267" t="s">
        <v>56</v>
      </c>
      <c r="H3237" s="3"/>
    </row>
    <row r="3238" spans="1:8">
      <c r="A3238" s="270">
        <v>45068</v>
      </c>
      <c r="B3238" s="267"/>
      <c r="C3238" s="267" t="s">
        <v>205</v>
      </c>
      <c r="D3238" s="3" t="s">
        <v>48</v>
      </c>
      <c r="E3238" s="1497">
        <v>300000</v>
      </c>
      <c r="F3238" s="1497"/>
      <c r="G3238" s="267" t="s">
        <v>1739</v>
      </c>
      <c r="H3238" s="3"/>
    </row>
    <row r="3239" spans="1:8">
      <c r="A3239" s="270">
        <v>45068</v>
      </c>
      <c r="B3239" s="267"/>
      <c r="C3239" s="267" t="s">
        <v>205</v>
      </c>
      <c r="D3239" s="3" t="s">
        <v>190</v>
      </c>
      <c r="E3239" s="1497">
        <v>34717</v>
      </c>
      <c r="F3239" s="1497"/>
      <c r="G3239" s="267" t="s">
        <v>72</v>
      </c>
      <c r="H3239" s="3"/>
    </row>
    <row r="3240" spans="1:8">
      <c r="A3240" s="270">
        <v>45068</v>
      </c>
      <c r="B3240" s="267"/>
      <c r="C3240" s="267" t="s">
        <v>92</v>
      </c>
      <c r="D3240" s="3" t="s">
        <v>1277</v>
      </c>
      <c r="E3240" s="1497"/>
      <c r="F3240" s="1497">
        <v>16580</v>
      </c>
      <c r="G3240" s="267" t="s">
        <v>56</v>
      </c>
      <c r="H3240" s="3"/>
    </row>
    <row r="3241" spans="1:8">
      <c r="A3241" s="270">
        <v>45069</v>
      </c>
      <c r="B3241" s="267"/>
      <c r="C3241" s="267" t="s">
        <v>55</v>
      </c>
      <c r="D3241" s="3" t="s">
        <v>1971</v>
      </c>
      <c r="E3241" s="1497">
        <v>900</v>
      </c>
      <c r="F3241" s="1497"/>
      <c r="G3241" s="267" t="s">
        <v>1739</v>
      </c>
      <c r="H3241" s="3"/>
    </row>
    <row r="3242" spans="1:8">
      <c r="A3242" s="270">
        <v>45069</v>
      </c>
      <c r="B3242" s="267"/>
      <c r="C3242" s="267" t="s">
        <v>55</v>
      </c>
      <c r="D3242" s="3" t="s">
        <v>60</v>
      </c>
      <c r="E3242" s="1497">
        <v>800</v>
      </c>
      <c r="F3242" s="1497"/>
      <c r="G3242" s="267" t="s">
        <v>1739</v>
      </c>
      <c r="H3242" s="3"/>
    </row>
    <row r="3243" spans="1:8">
      <c r="A3243" s="270">
        <v>45069</v>
      </c>
      <c r="B3243" s="267"/>
      <c r="C3243" s="267" t="s">
        <v>86</v>
      </c>
      <c r="D3243" s="3" t="s">
        <v>86</v>
      </c>
      <c r="E3243" s="1497">
        <v>7111.05</v>
      </c>
      <c r="F3243" s="1497"/>
      <c r="G3243" s="267" t="s">
        <v>27</v>
      </c>
      <c r="H3243" s="3" t="s">
        <v>1972</v>
      </c>
    </row>
    <row r="3244" spans="1:8">
      <c r="A3244" s="270">
        <v>45069</v>
      </c>
      <c r="B3244" s="267"/>
      <c r="C3244" s="267" t="s">
        <v>55</v>
      </c>
      <c r="D3244" s="3" t="s">
        <v>1969</v>
      </c>
      <c r="E3244" s="1497">
        <v>210</v>
      </c>
      <c r="F3244" s="1497"/>
      <c r="G3244" s="267" t="s">
        <v>56</v>
      </c>
      <c r="H3244" s="3"/>
    </row>
    <row r="3245" spans="1:8">
      <c r="A3245" s="270">
        <v>45069</v>
      </c>
      <c r="B3245" s="267"/>
      <c r="C3245" s="267" t="s">
        <v>77</v>
      </c>
      <c r="D3245" s="3" t="s">
        <v>1908</v>
      </c>
      <c r="E3245" s="1497"/>
      <c r="F3245" s="1497">
        <v>28000</v>
      </c>
      <c r="G3245" s="267" t="s">
        <v>1739</v>
      </c>
      <c r="H3245" s="3"/>
    </row>
    <row r="3246" spans="1:8">
      <c r="A3246" s="270">
        <v>45069</v>
      </c>
      <c r="B3246" s="267"/>
      <c r="C3246" s="267" t="s">
        <v>150</v>
      </c>
      <c r="D3246" s="3" t="s">
        <v>252</v>
      </c>
      <c r="E3246" s="1497">
        <v>28000</v>
      </c>
      <c r="F3246" s="1497"/>
      <c r="G3246" s="267" t="s">
        <v>1739</v>
      </c>
      <c r="H3246" s="3"/>
    </row>
    <row r="3247" spans="1:8">
      <c r="A3247" s="270">
        <v>45070</v>
      </c>
      <c r="B3247" s="267"/>
      <c r="C3247" s="267" t="s">
        <v>92</v>
      </c>
      <c r="D3247" s="3" t="s">
        <v>1510</v>
      </c>
      <c r="E3247" s="1497"/>
      <c r="F3247" s="1497">
        <v>167000</v>
      </c>
      <c r="G3247" s="267" t="s">
        <v>1739</v>
      </c>
      <c r="H3247" s="3"/>
    </row>
    <row r="3248" spans="1:8">
      <c r="A3248" s="270">
        <v>45070</v>
      </c>
      <c r="B3248" s="267"/>
      <c r="C3248" s="267" t="s">
        <v>92</v>
      </c>
      <c r="D3248" s="3" t="s">
        <v>1973</v>
      </c>
      <c r="E3248" s="1497"/>
      <c r="F3248" s="1497">
        <v>255840</v>
      </c>
      <c r="G3248" s="267" t="s">
        <v>27</v>
      </c>
      <c r="H3248" s="3"/>
    </row>
    <row r="3249" spans="1:8">
      <c r="A3249" s="270">
        <v>45070</v>
      </c>
      <c r="B3249" s="267"/>
      <c r="C3249" s="267" t="s">
        <v>150</v>
      </c>
      <c r="D3249" s="3" t="s">
        <v>319</v>
      </c>
      <c r="E3249" s="1497">
        <v>255840</v>
      </c>
      <c r="F3249" s="1497"/>
      <c r="G3249" s="267" t="s">
        <v>27</v>
      </c>
      <c r="H3249" s="3"/>
    </row>
    <row r="3250" spans="1:8">
      <c r="A3250" s="270">
        <v>45070</v>
      </c>
      <c r="B3250" s="267"/>
      <c r="C3250" s="267" t="s">
        <v>79</v>
      </c>
      <c r="D3250" s="3" t="s">
        <v>151</v>
      </c>
      <c r="E3250" s="1497">
        <v>4300</v>
      </c>
      <c r="F3250" s="1497"/>
      <c r="G3250" s="267" t="s">
        <v>56</v>
      </c>
      <c r="H3250" s="3"/>
    </row>
    <row r="3251" spans="1:8">
      <c r="A3251" s="270">
        <v>45070</v>
      </c>
      <c r="B3251" s="267"/>
      <c r="C3251" s="267" t="s">
        <v>55</v>
      </c>
      <c r="D3251" s="3" t="s">
        <v>60</v>
      </c>
      <c r="E3251" s="1497">
        <v>700</v>
      </c>
      <c r="F3251" s="1497"/>
      <c r="G3251" s="267" t="s">
        <v>56</v>
      </c>
      <c r="H3251" s="3"/>
    </row>
    <row r="3252" spans="1:8">
      <c r="A3252" s="270">
        <v>45070</v>
      </c>
      <c r="B3252" s="267"/>
      <c r="C3252" s="267" t="s">
        <v>308</v>
      </c>
      <c r="D3252" s="3" t="s">
        <v>307</v>
      </c>
      <c r="E3252" s="1497">
        <v>22000</v>
      </c>
      <c r="F3252" s="1497"/>
      <c r="G3252" s="267" t="s">
        <v>27</v>
      </c>
      <c r="H3252" s="3"/>
    </row>
    <row r="3253" spans="1:8">
      <c r="A3253" s="270">
        <v>45070</v>
      </c>
      <c r="B3253" s="267"/>
      <c r="C3253" s="267" t="s">
        <v>205</v>
      </c>
      <c r="D3253" s="3" t="s">
        <v>1970</v>
      </c>
      <c r="E3253" s="1497">
        <v>104941</v>
      </c>
      <c r="F3253" s="1497"/>
      <c r="G3253" s="267" t="s">
        <v>27</v>
      </c>
      <c r="H3253" s="3"/>
    </row>
    <row r="3254" spans="1:8">
      <c r="A3254" s="270">
        <v>45070</v>
      </c>
      <c r="B3254" s="267"/>
      <c r="C3254" s="267" t="s">
        <v>79</v>
      </c>
      <c r="D3254" s="3" t="s">
        <v>86</v>
      </c>
      <c r="E3254" s="1497">
        <v>13378.86</v>
      </c>
      <c r="F3254" s="1497"/>
      <c r="G3254" s="267" t="s">
        <v>27</v>
      </c>
      <c r="H3254" s="3"/>
    </row>
    <row r="3255" spans="1:8">
      <c r="A3255" s="270">
        <v>45070</v>
      </c>
      <c r="B3255" s="267"/>
      <c r="C3255" s="267" t="s">
        <v>88</v>
      </c>
      <c r="D3255" s="3" t="s">
        <v>88</v>
      </c>
      <c r="E3255" s="1497">
        <v>169700</v>
      </c>
      <c r="F3255" s="1497"/>
      <c r="G3255" s="267" t="s">
        <v>56</v>
      </c>
      <c r="H3255" s="3"/>
    </row>
    <row r="3256" spans="1:8">
      <c r="A3256" s="270">
        <v>45041</v>
      </c>
      <c r="B3256" s="267"/>
      <c r="C3256" s="267" t="s">
        <v>79</v>
      </c>
      <c r="D3256" s="3" t="s">
        <v>86</v>
      </c>
      <c r="E3256" s="1497">
        <v>9400</v>
      </c>
      <c r="F3256" s="1497"/>
      <c r="G3256" s="267" t="s">
        <v>27</v>
      </c>
      <c r="H3256" s="3"/>
    </row>
    <row r="3257" spans="1:8">
      <c r="A3257" s="270">
        <v>45075</v>
      </c>
      <c r="B3257" s="267"/>
      <c r="C3257" s="267" t="s">
        <v>55</v>
      </c>
      <c r="D3257" s="3" t="s">
        <v>70</v>
      </c>
      <c r="E3257" s="1497">
        <v>2730</v>
      </c>
      <c r="F3257" s="1497"/>
      <c r="G3257" s="267" t="s">
        <v>1826</v>
      </c>
      <c r="H3257" s="3"/>
    </row>
    <row r="3258" spans="1:8">
      <c r="A3258" s="270">
        <v>45075</v>
      </c>
      <c r="B3258" s="267"/>
      <c r="C3258" s="267" t="s">
        <v>79</v>
      </c>
      <c r="D3258" s="3" t="s">
        <v>277</v>
      </c>
      <c r="E3258" s="1497">
        <v>30000</v>
      </c>
      <c r="F3258" s="1497"/>
      <c r="G3258" s="267" t="s">
        <v>1826</v>
      </c>
      <c r="H3258" s="3"/>
    </row>
    <row r="3259" spans="1:8">
      <c r="A3259" s="270">
        <v>45075</v>
      </c>
      <c r="B3259" s="267"/>
      <c r="C3259" s="267" t="s">
        <v>79</v>
      </c>
      <c r="D3259" s="3" t="s">
        <v>277</v>
      </c>
      <c r="E3259" s="1497">
        <v>23821</v>
      </c>
      <c r="F3259" s="1497"/>
      <c r="G3259" s="267" t="s">
        <v>27</v>
      </c>
      <c r="H3259" s="3"/>
    </row>
    <row r="3260" spans="1:8">
      <c r="A3260" s="270">
        <v>45075</v>
      </c>
      <c r="B3260" s="267"/>
      <c r="C3260" s="267" t="s">
        <v>77</v>
      </c>
      <c r="D3260" s="3" t="s">
        <v>1974</v>
      </c>
      <c r="E3260" s="1497"/>
      <c r="F3260" s="1497">
        <v>6950</v>
      </c>
      <c r="G3260" s="267" t="s">
        <v>1739</v>
      </c>
      <c r="H3260" s="3"/>
    </row>
    <row r="3261" spans="1:8">
      <c r="A3261" s="270">
        <v>45075</v>
      </c>
      <c r="B3261" s="267"/>
      <c r="C3261" s="267" t="s">
        <v>156</v>
      </c>
      <c r="D3261" s="3" t="s">
        <v>1831</v>
      </c>
      <c r="E3261" s="1497">
        <v>24328.61</v>
      </c>
      <c r="F3261" s="1497"/>
      <c r="G3261" s="267" t="s">
        <v>27</v>
      </c>
      <c r="H3261" s="3"/>
    </row>
    <row r="3262" spans="1:8">
      <c r="A3262" s="270">
        <v>45076</v>
      </c>
      <c r="B3262" s="267"/>
      <c r="C3262" s="267" t="s">
        <v>1980</v>
      </c>
      <c r="D3262" s="3" t="s">
        <v>45</v>
      </c>
      <c r="E3262" s="1497">
        <v>24500</v>
      </c>
      <c r="F3262" s="1497"/>
      <c r="G3262" s="267" t="s">
        <v>27</v>
      </c>
      <c r="H3262" s="3"/>
    </row>
    <row r="3263" spans="1:8">
      <c r="A3263" s="270">
        <v>45076</v>
      </c>
      <c r="B3263" s="267"/>
      <c r="C3263" s="267" t="s">
        <v>122</v>
      </c>
      <c r="D3263" s="3" t="s">
        <v>71</v>
      </c>
      <c r="E3263" s="1497">
        <v>9500</v>
      </c>
      <c r="F3263" s="1497"/>
      <c r="G3263" s="267" t="s">
        <v>27</v>
      </c>
      <c r="H3263" s="3"/>
    </row>
    <row r="3264" spans="1:8">
      <c r="A3264" s="270">
        <v>45076</v>
      </c>
      <c r="B3264" s="267"/>
      <c r="C3264" s="267" t="s">
        <v>205</v>
      </c>
      <c r="D3264" s="3" t="s">
        <v>207</v>
      </c>
      <c r="E3264" s="1497">
        <v>14500</v>
      </c>
      <c r="F3264" s="1497"/>
      <c r="G3264" s="267" t="s">
        <v>27</v>
      </c>
      <c r="H3264" s="3"/>
    </row>
    <row r="3265" spans="1:8">
      <c r="A3265" s="270">
        <v>45076</v>
      </c>
      <c r="B3265" s="267"/>
      <c r="C3265" s="267" t="s">
        <v>205</v>
      </c>
      <c r="D3265" s="3" t="s">
        <v>48</v>
      </c>
      <c r="E3265" s="1497">
        <v>50000</v>
      </c>
      <c r="F3265" s="1497"/>
      <c r="G3265" s="267" t="s">
        <v>56</v>
      </c>
      <c r="H3265" s="3"/>
    </row>
    <row r="3266" spans="1:8">
      <c r="A3266" s="270">
        <v>45076</v>
      </c>
      <c r="B3266" s="267"/>
      <c r="C3266" s="267" t="s">
        <v>205</v>
      </c>
      <c r="D3266" s="3" t="s">
        <v>48</v>
      </c>
      <c r="E3266" s="1497">
        <v>66160</v>
      </c>
      <c r="F3266" s="1497"/>
      <c r="G3266" s="267" t="s">
        <v>287</v>
      </c>
      <c r="H3266" s="3"/>
    </row>
    <row r="3267" spans="1:8">
      <c r="A3267" s="270">
        <v>45076</v>
      </c>
      <c r="B3267" s="267"/>
      <c r="C3267" s="267" t="s">
        <v>77</v>
      </c>
      <c r="D3267" s="3" t="s">
        <v>1975</v>
      </c>
      <c r="E3267" s="1497"/>
      <c r="F3267" s="1497">
        <v>38000</v>
      </c>
      <c r="G3267" s="267" t="s">
        <v>72</v>
      </c>
      <c r="H3267" s="3" t="s">
        <v>1976</v>
      </c>
    </row>
    <row r="3268" spans="1:8">
      <c r="A3268" s="270">
        <v>45076</v>
      </c>
      <c r="B3268" s="267"/>
      <c r="C3268" s="267" t="s">
        <v>77</v>
      </c>
      <c r="D3268" s="3" t="s">
        <v>1975</v>
      </c>
      <c r="E3268" s="1497"/>
      <c r="F3268" s="1497">
        <v>90000</v>
      </c>
      <c r="G3268" s="267" t="s">
        <v>56</v>
      </c>
      <c r="H3268" s="3"/>
    </row>
    <row r="3269" spans="1:8">
      <c r="A3269" s="270">
        <v>45076</v>
      </c>
      <c r="B3269" s="267"/>
      <c r="C3269" s="267" t="s">
        <v>94</v>
      </c>
      <c r="D3269" s="3" t="s">
        <v>14</v>
      </c>
      <c r="E3269" s="1497">
        <v>6000</v>
      </c>
      <c r="F3269" s="1497"/>
      <c r="G3269" s="267" t="s">
        <v>27</v>
      </c>
      <c r="H3269" s="3"/>
    </row>
    <row r="3270" spans="1:8">
      <c r="A3270" s="270">
        <v>45077</v>
      </c>
      <c r="B3270" s="267"/>
      <c r="C3270" s="267" t="s">
        <v>205</v>
      </c>
      <c r="D3270" s="3" t="s">
        <v>1977</v>
      </c>
      <c r="E3270" s="1497">
        <v>160042</v>
      </c>
      <c r="F3270" s="1497"/>
      <c r="G3270" s="267" t="s">
        <v>27</v>
      </c>
      <c r="H3270" s="3"/>
    </row>
    <row r="3271" spans="1:8" ht="15.75" thickBot="1">
      <c r="A3271" s="119">
        <v>45077</v>
      </c>
      <c r="B3271" s="57"/>
      <c r="C3271" s="57" t="s">
        <v>77</v>
      </c>
      <c r="D3271" s="85" t="s">
        <v>1978</v>
      </c>
      <c r="E3271" s="57"/>
      <c r="F3271" s="57">
        <v>2354100</v>
      </c>
      <c r="G3271" s="57" t="s">
        <v>287</v>
      </c>
      <c r="H3271" s="85"/>
    </row>
    <row r="3272" spans="1:8" ht="15.75" thickBot="1">
      <c r="A3272" s="239"/>
      <c r="B3272" s="240"/>
      <c r="C3272" s="240"/>
      <c r="D3272" s="240"/>
      <c r="E3272" s="1490"/>
      <c r="F3272" s="1490"/>
      <c r="G3272" s="240"/>
      <c r="H3272" s="242"/>
    </row>
    <row r="3273" spans="1:8">
      <c r="A3273" s="77">
        <v>45078</v>
      </c>
      <c r="B3273" s="62"/>
      <c r="C3273" s="62" t="s">
        <v>65</v>
      </c>
      <c r="D3273" s="5" t="s">
        <v>1981</v>
      </c>
      <c r="E3273" s="62">
        <v>4180</v>
      </c>
      <c r="F3273" s="62"/>
      <c r="G3273" s="62" t="s">
        <v>27</v>
      </c>
      <c r="H3273" s="5"/>
    </row>
    <row r="3274" spans="1:8">
      <c r="A3274" s="270">
        <v>45078</v>
      </c>
      <c r="B3274" s="267"/>
      <c r="C3274" s="267" t="s">
        <v>79</v>
      </c>
      <c r="D3274" s="3" t="s">
        <v>435</v>
      </c>
      <c r="E3274" s="1497">
        <v>8190</v>
      </c>
      <c r="F3274" s="1497"/>
      <c r="G3274" s="267" t="s">
        <v>27</v>
      </c>
      <c r="H3274" s="3"/>
    </row>
    <row r="3275" spans="1:8">
      <c r="A3275" s="270">
        <v>45078</v>
      </c>
      <c r="B3275" s="267"/>
      <c r="C3275" s="267" t="s">
        <v>55</v>
      </c>
      <c r="D3275" s="3" t="s">
        <v>38</v>
      </c>
      <c r="E3275" s="1497">
        <v>1200</v>
      </c>
      <c r="F3275" s="1497"/>
      <c r="G3275" s="267" t="s">
        <v>56</v>
      </c>
      <c r="H3275" s="3"/>
    </row>
    <row r="3276" spans="1:8">
      <c r="A3276" s="270">
        <v>45078</v>
      </c>
      <c r="B3276" s="267"/>
      <c r="C3276" s="267" t="s">
        <v>68</v>
      </c>
      <c r="D3276" s="3" t="s">
        <v>1982</v>
      </c>
      <c r="E3276" s="1497">
        <v>3000</v>
      </c>
      <c r="F3276" s="1497"/>
      <c r="G3276" s="267" t="s">
        <v>56</v>
      </c>
      <c r="H3276" s="3"/>
    </row>
    <row r="3277" spans="1:8">
      <c r="A3277" s="270">
        <v>45078</v>
      </c>
      <c r="B3277" s="267"/>
      <c r="C3277" s="267" t="s">
        <v>92</v>
      </c>
      <c r="D3277" s="3" t="s">
        <v>1984</v>
      </c>
      <c r="E3277" s="1497"/>
      <c r="F3277" s="1497">
        <v>12100</v>
      </c>
      <c r="G3277" s="267" t="s">
        <v>27</v>
      </c>
      <c r="H3277" s="3"/>
    </row>
    <row r="3278" spans="1:8">
      <c r="A3278" s="270">
        <v>45078</v>
      </c>
      <c r="B3278" s="267"/>
      <c r="C3278" s="267" t="s">
        <v>537</v>
      </c>
      <c r="D3278" s="3" t="s">
        <v>208</v>
      </c>
      <c r="E3278" s="1497">
        <v>5000</v>
      </c>
      <c r="F3278" s="1497"/>
      <c r="G3278" s="267" t="s">
        <v>56</v>
      </c>
      <c r="H3278" s="3"/>
    </row>
    <row r="3279" spans="1:8">
      <c r="A3279" s="270">
        <v>45078</v>
      </c>
      <c r="B3279" s="267"/>
      <c r="C3279" s="267" t="s">
        <v>205</v>
      </c>
      <c r="D3279" s="3" t="s">
        <v>48</v>
      </c>
      <c r="E3279" s="57">
        <v>2354100</v>
      </c>
      <c r="F3279" s="1497"/>
      <c r="G3279" s="267" t="s">
        <v>996</v>
      </c>
      <c r="H3279" s="3"/>
    </row>
    <row r="3280" spans="1:8">
      <c r="A3280" s="270">
        <v>45079</v>
      </c>
      <c r="B3280" s="267"/>
      <c r="C3280" s="267"/>
      <c r="D3280" s="3" t="s">
        <v>1992</v>
      </c>
      <c r="E3280" s="57">
        <v>5570</v>
      </c>
      <c r="F3280" s="1497"/>
      <c r="G3280" s="267" t="s">
        <v>27</v>
      </c>
      <c r="H3280" s="3"/>
    </row>
    <row r="3281" spans="1:8">
      <c r="A3281" s="270">
        <v>45079</v>
      </c>
      <c r="B3281" s="267"/>
      <c r="C3281" s="267" t="s">
        <v>88</v>
      </c>
      <c r="D3281" s="3" t="s">
        <v>88</v>
      </c>
      <c r="E3281" s="1497">
        <v>87000</v>
      </c>
      <c r="F3281" s="1497"/>
      <c r="G3281" s="267" t="s">
        <v>56</v>
      </c>
      <c r="H3281" s="3"/>
    </row>
    <row r="3282" spans="1:8">
      <c r="A3282" s="270">
        <v>45079</v>
      </c>
      <c r="B3282" s="267"/>
      <c r="C3282" s="267" t="s">
        <v>92</v>
      </c>
      <c r="D3282" s="3" t="s">
        <v>1985</v>
      </c>
      <c r="E3282" s="1497"/>
      <c r="F3282" s="1497">
        <v>150000</v>
      </c>
      <c r="G3282" s="267" t="s">
        <v>56</v>
      </c>
      <c r="H3282" s="3"/>
    </row>
    <row r="3283" spans="1:8">
      <c r="A3283" s="270">
        <v>45079</v>
      </c>
      <c r="B3283" s="267"/>
      <c r="C3283" s="267" t="s">
        <v>205</v>
      </c>
      <c r="D3283" s="3" t="s">
        <v>38</v>
      </c>
      <c r="E3283" s="1497">
        <v>1540</v>
      </c>
      <c r="F3283" s="1497"/>
      <c r="G3283" s="267" t="s">
        <v>56</v>
      </c>
      <c r="H3283" s="3"/>
    </row>
    <row r="3284" spans="1:8">
      <c r="A3284" s="270">
        <v>45079</v>
      </c>
      <c r="B3284" s="267"/>
      <c r="C3284" s="267" t="s">
        <v>55</v>
      </c>
      <c r="D3284" s="3" t="s">
        <v>1986</v>
      </c>
      <c r="E3284" s="1497">
        <v>1000</v>
      </c>
      <c r="F3284" s="1497"/>
      <c r="G3284" s="267" t="s">
        <v>56</v>
      </c>
      <c r="H3284" s="3"/>
    </row>
    <row r="3285" spans="1:8">
      <c r="A3285" s="270">
        <v>45079</v>
      </c>
      <c r="B3285" s="267"/>
      <c r="C3285" s="267" t="s">
        <v>88</v>
      </c>
      <c r="D3285" s="3" t="s">
        <v>144</v>
      </c>
      <c r="E3285" s="1497">
        <v>53000</v>
      </c>
      <c r="F3285" s="1497"/>
      <c r="G3285" s="267" t="s">
        <v>27</v>
      </c>
      <c r="H3285" s="3"/>
    </row>
    <row r="3286" spans="1:8">
      <c r="A3286" s="270">
        <v>45082</v>
      </c>
      <c r="B3286" s="267"/>
      <c r="C3286" s="267" t="s">
        <v>79</v>
      </c>
      <c r="D3286" s="3" t="s">
        <v>151</v>
      </c>
      <c r="E3286" s="1497">
        <v>5000</v>
      </c>
      <c r="F3286" s="1497"/>
      <c r="G3286" s="267" t="s">
        <v>27</v>
      </c>
      <c r="H3286" s="3"/>
    </row>
    <row r="3287" spans="1:8">
      <c r="A3287" s="270">
        <v>45082</v>
      </c>
      <c r="B3287" s="267"/>
      <c r="C3287" s="267" t="s">
        <v>92</v>
      </c>
      <c r="D3287" s="3" t="s">
        <v>1254</v>
      </c>
      <c r="E3287" s="1497"/>
      <c r="F3287" s="1497">
        <v>17900</v>
      </c>
      <c r="G3287" s="267" t="s">
        <v>27</v>
      </c>
      <c r="H3287" s="3"/>
    </row>
    <row r="3288" spans="1:8">
      <c r="A3288" s="270">
        <v>45082</v>
      </c>
      <c r="B3288" s="267"/>
      <c r="C3288" s="267" t="s">
        <v>79</v>
      </c>
      <c r="D3288" s="3" t="s">
        <v>1987</v>
      </c>
      <c r="E3288" s="1497">
        <v>5000</v>
      </c>
      <c r="F3288" s="1497"/>
      <c r="G3288" s="267" t="s">
        <v>56</v>
      </c>
      <c r="H3288" s="3"/>
    </row>
    <row r="3289" spans="1:8">
      <c r="A3289" s="270">
        <v>45082</v>
      </c>
      <c r="B3289" s="267"/>
      <c r="C3289" s="267" t="s">
        <v>205</v>
      </c>
      <c r="D3289" s="3" t="s">
        <v>1988</v>
      </c>
      <c r="E3289" s="1497">
        <v>3220</v>
      </c>
      <c r="F3289" s="1497"/>
      <c r="G3289" s="267" t="s">
        <v>56</v>
      </c>
      <c r="H3289" s="3"/>
    </row>
    <row r="3290" spans="1:8">
      <c r="A3290" s="270">
        <v>45082</v>
      </c>
      <c r="B3290" s="267"/>
      <c r="C3290" s="267" t="s">
        <v>160</v>
      </c>
      <c r="D3290" s="3" t="s">
        <v>1989</v>
      </c>
      <c r="E3290" s="1497"/>
      <c r="F3290" s="1497">
        <v>5000</v>
      </c>
      <c r="G3290" s="267" t="s">
        <v>56</v>
      </c>
      <c r="H3290" s="3"/>
    </row>
    <row r="3291" spans="1:8">
      <c r="A3291" s="270">
        <v>45082</v>
      </c>
      <c r="B3291" s="267"/>
      <c r="C3291" s="267" t="s">
        <v>160</v>
      </c>
      <c r="D3291" s="3" t="s">
        <v>1990</v>
      </c>
      <c r="E3291" s="1497"/>
      <c r="F3291" s="1497">
        <v>16000</v>
      </c>
      <c r="G3291" s="267" t="s">
        <v>56</v>
      </c>
      <c r="H3291" s="3"/>
    </row>
    <row r="3292" spans="1:8">
      <c r="A3292" s="270">
        <v>45082</v>
      </c>
      <c r="B3292" s="267"/>
      <c r="C3292" s="267" t="s">
        <v>209</v>
      </c>
      <c r="D3292" s="3" t="s">
        <v>1991</v>
      </c>
      <c r="E3292" s="1497">
        <v>9240</v>
      </c>
      <c r="F3292" s="1497"/>
      <c r="G3292" s="267" t="s">
        <v>27</v>
      </c>
      <c r="H3292" s="3"/>
    </row>
    <row r="3293" spans="1:8">
      <c r="A3293" s="270">
        <v>45082</v>
      </c>
      <c r="B3293" s="267"/>
      <c r="C3293" s="267" t="s">
        <v>205</v>
      </c>
      <c r="D3293" s="3" t="s">
        <v>450</v>
      </c>
      <c r="E3293" s="1497">
        <v>14750</v>
      </c>
      <c r="F3293" s="1497"/>
      <c r="G3293" s="267" t="s">
        <v>27</v>
      </c>
      <c r="H3293" s="3"/>
    </row>
    <row r="3294" spans="1:8">
      <c r="A3294" s="13">
        <v>45082</v>
      </c>
      <c r="B3294" s="89"/>
      <c r="C3294" s="12" t="s">
        <v>92</v>
      </c>
      <c r="D3294" s="89" t="s">
        <v>582</v>
      </c>
      <c r="E3294" s="12"/>
      <c r="F3294" s="12">
        <v>25642.48</v>
      </c>
      <c r="G3294" s="12" t="s">
        <v>27</v>
      </c>
      <c r="H3294" s="3"/>
    </row>
    <row r="3295" spans="1:8" ht="33">
      <c r="A3295" s="270">
        <v>45083</v>
      </c>
      <c r="B3295" s="267"/>
      <c r="C3295" s="267" t="s">
        <v>79</v>
      </c>
      <c r="D3295" s="3" t="s">
        <v>151</v>
      </c>
      <c r="E3295" s="1497">
        <v>4486.3900000000003</v>
      </c>
      <c r="F3295" s="1512"/>
      <c r="G3295" s="267" t="s">
        <v>27</v>
      </c>
      <c r="H3295" s="3"/>
    </row>
    <row r="3296" spans="1:8">
      <c r="A3296" s="270">
        <v>45084</v>
      </c>
      <c r="B3296" s="267"/>
      <c r="C3296" s="267" t="s">
        <v>205</v>
      </c>
      <c r="D3296" s="3" t="s">
        <v>1709</v>
      </c>
      <c r="E3296" s="1497">
        <v>5715</v>
      </c>
      <c r="F3296" s="1497"/>
      <c r="G3296" s="267" t="s">
        <v>27</v>
      </c>
      <c r="H3296" s="3"/>
    </row>
    <row r="3297" spans="1:8">
      <c r="A3297" s="270">
        <v>45084</v>
      </c>
      <c r="B3297" s="267"/>
      <c r="C3297" s="267" t="s">
        <v>287</v>
      </c>
      <c r="D3297" s="3" t="s">
        <v>450</v>
      </c>
      <c r="E3297" s="1497">
        <v>14750</v>
      </c>
      <c r="F3297" s="1497"/>
      <c r="G3297" s="267" t="s">
        <v>27</v>
      </c>
      <c r="H3297" s="3"/>
    </row>
    <row r="3298" spans="1:8">
      <c r="A3298" s="270">
        <v>45084</v>
      </c>
      <c r="B3298" s="267"/>
      <c r="C3298" s="267" t="s">
        <v>327</v>
      </c>
      <c r="D3298" s="3" t="s">
        <v>694</v>
      </c>
      <c r="E3298" s="1497"/>
      <c r="F3298" s="1497">
        <v>89000</v>
      </c>
      <c r="G3298" s="267" t="s">
        <v>287</v>
      </c>
      <c r="H3298" s="3"/>
    </row>
    <row r="3299" spans="1:8">
      <c r="A3299" s="270">
        <v>45084</v>
      </c>
      <c r="B3299" s="267"/>
      <c r="C3299" s="267" t="s">
        <v>205</v>
      </c>
      <c r="D3299" s="3" t="s">
        <v>53</v>
      </c>
      <c r="E3299" s="1497">
        <v>45000</v>
      </c>
      <c r="F3299" s="1497"/>
      <c r="G3299" s="267" t="s">
        <v>287</v>
      </c>
      <c r="H3299" s="3"/>
    </row>
    <row r="3300" spans="1:8">
      <c r="A3300" s="270">
        <v>45084</v>
      </c>
      <c r="B3300" s="267"/>
      <c r="C3300" s="267" t="s">
        <v>55</v>
      </c>
      <c r="D3300" s="3" t="s">
        <v>862</v>
      </c>
      <c r="E3300" s="1497">
        <v>720</v>
      </c>
      <c r="F3300" s="1497"/>
      <c r="G3300" s="267" t="s">
        <v>56</v>
      </c>
      <c r="H3300" s="3"/>
    </row>
    <row r="3301" spans="1:8">
      <c r="A3301" s="270">
        <v>45085</v>
      </c>
      <c r="B3301" s="267"/>
      <c r="C3301" s="267" t="s">
        <v>90</v>
      </c>
      <c r="D3301" s="3" t="s">
        <v>1951</v>
      </c>
      <c r="E3301" s="1497">
        <v>30000</v>
      </c>
      <c r="F3301" s="1497"/>
      <c r="G3301" s="267" t="s">
        <v>56</v>
      </c>
      <c r="H3301" s="3"/>
    </row>
    <row r="3302" spans="1:8">
      <c r="A3302" s="270">
        <v>45085</v>
      </c>
      <c r="B3302" s="267"/>
      <c r="C3302" s="267" t="s">
        <v>730</v>
      </c>
      <c r="D3302" s="15" t="s">
        <v>9</v>
      </c>
      <c r="E3302" s="1497">
        <v>24200</v>
      </c>
      <c r="F3302" s="1497"/>
      <c r="G3302" s="267" t="s">
        <v>287</v>
      </c>
      <c r="H3302" s="3" t="s">
        <v>1993</v>
      </c>
    </row>
    <row r="3303" spans="1:8">
      <c r="A3303" s="270">
        <v>45085</v>
      </c>
      <c r="B3303" s="267"/>
      <c r="C3303" s="267" t="s">
        <v>308</v>
      </c>
      <c r="D3303" s="3" t="s">
        <v>232</v>
      </c>
      <c r="E3303" s="1497">
        <v>20000</v>
      </c>
      <c r="F3303" s="1497"/>
      <c r="G3303" s="267" t="s">
        <v>27</v>
      </c>
      <c r="H3303" s="3"/>
    </row>
    <row r="3304" spans="1:8">
      <c r="A3304" s="270">
        <v>45085</v>
      </c>
      <c r="B3304" s="267"/>
      <c r="C3304" s="267" t="s">
        <v>1597</v>
      </c>
      <c r="D3304" s="3" t="s">
        <v>1985</v>
      </c>
      <c r="E3304" s="1497"/>
      <c r="F3304" s="1497">
        <v>130300</v>
      </c>
      <c r="G3304" s="267" t="s">
        <v>72</v>
      </c>
      <c r="H3304" s="3"/>
    </row>
    <row r="3305" spans="1:8">
      <c r="A3305" s="270">
        <v>45085</v>
      </c>
      <c r="B3305" s="267"/>
      <c r="C3305" s="267" t="s">
        <v>1995</v>
      </c>
      <c r="D3305" s="3" t="s">
        <v>1994</v>
      </c>
      <c r="E3305" s="1497">
        <v>40000</v>
      </c>
      <c r="F3305" s="1497"/>
      <c r="G3305" s="267" t="s">
        <v>56</v>
      </c>
      <c r="H3305" s="3"/>
    </row>
    <row r="3306" spans="1:8">
      <c r="A3306" s="270">
        <v>45085</v>
      </c>
      <c r="B3306" s="267"/>
      <c r="C3306" s="267" t="s">
        <v>55</v>
      </c>
      <c r="D3306" s="3" t="s">
        <v>53</v>
      </c>
      <c r="E3306" s="1497">
        <v>33250</v>
      </c>
      <c r="F3306" s="1497"/>
      <c r="G3306" s="267" t="s">
        <v>56</v>
      </c>
      <c r="H3306" s="3"/>
    </row>
    <row r="3307" spans="1:8">
      <c r="A3307" s="270">
        <v>45085</v>
      </c>
      <c r="B3307" s="267"/>
      <c r="C3307" s="267" t="s">
        <v>205</v>
      </c>
      <c r="D3307" s="3" t="s">
        <v>1997</v>
      </c>
      <c r="E3307" s="1497">
        <v>4500</v>
      </c>
      <c r="F3307" s="1497"/>
      <c r="G3307" s="267" t="s">
        <v>56</v>
      </c>
      <c r="H3307" s="3"/>
    </row>
    <row r="3308" spans="1:8">
      <c r="A3308" s="270">
        <v>45085</v>
      </c>
      <c r="B3308" s="267"/>
      <c r="C3308" s="267" t="s">
        <v>205</v>
      </c>
      <c r="D3308" s="3" t="s">
        <v>1998</v>
      </c>
      <c r="E3308" s="1497">
        <v>6500</v>
      </c>
      <c r="F3308" s="1497"/>
      <c r="G3308" s="267" t="s">
        <v>56</v>
      </c>
      <c r="H3308" s="3"/>
    </row>
    <row r="3309" spans="1:8">
      <c r="A3309" s="270">
        <v>45086</v>
      </c>
      <c r="B3309" s="267"/>
      <c r="C3309" s="267" t="s">
        <v>86</v>
      </c>
      <c r="D3309" s="3" t="s">
        <v>104</v>
      </c>
      <c r="E3309" s="1497">
        <v>5100</v>
      </c>
      <c r="F3309" s="1497"/>
      <c r="G3309" s="267" t="s">
        <v>56</v>
      </c>
      <c r="H3309" s="3"/>
    </row>
    <row r="3310" spans="1:8">
      <c r="A3310" s="270">
        <v>45086</v>
      </c>
      <c r="B3310" s="267"/>
      <c r="C3310" s="267" t="s">
        <v>730</v>
      </c>
      <c r="D3310" s="15" t="s">
        <v>9</v>
      </c>
      <c r="E3310" s="1497">
        <v>4950</v>
      </c>
      <c r="F3310" s="1497"/>
      <c r="G3310" s="267" t="s">
        <v>56</v>
      </c>
      <c r="H3310" s="3"/>
    </row>
    <row r="3311" spans="1:8">
      <c r="A3311" s="270">
        <v>45086</v>
      </c>
      <c r="B3311" s="267"/>
      <c r="C3311" s="267" t="s">
        <v>88</v>
      </c>
      <c r="D3311" s="3" t="s">
        <v>208</v>
      </c>
      <c r="E3311" s="1497">
        <v>25000</v>
      </c>
      <c r="F3311" s="1497"/>
      <c r="G3311" s="267" t="s">
        <v>56</v>
      </c>
      <c r="H3311" s="3"/>
    </row>
    <row r="3312" spans="1:8">
      <c r="A3312" s="270">
        <v>45086</v>
      </c>
      <c r="B3312" s="267"/>
      <c r="C3312" s="267" t="s">
        <v>88</v>
      </c>
      <c r="D3312" s="3" t="s">
        <v>144</v>
      </c>
      <c r="E3312" s="1497">
        <v>30000</v>
      </c>
      <c r="F3312" s="1497"/>
      <c r="G3312" s="267" t="s">
        <v>27</v>
      </c>
      <c r="H3312" s="3"/>
    </row>
    <row r="3313" spans="1:8">
      <c r="A3313" s="270">
        <v>45086</v>
      </c>
      <c r="B3313" s="267"/>
      <c r="C3313" s="267" t="s">
        <v>88</v>
      </c>
      <c r="D3313" s="3" t="s">
        <v>144</v>
      </c>
      <c r="E3313" s="1497">
        <v>23000</v>
      </c>
      <c r="F3313" s="1497"/>
      <c r="G3313" s="267" t="s">
        <v>56</v>
      </c>
      <c r="H3313" s="3"/>
    </row>
    <row r="3314" spans="1:8">
      <c r="A3314" s="270">
        <v>45086</v>
      </c>
      <c r="B3314" s="267"/>
      <c r="C3314" s="267" t="s">
        <v>88</v>
      </c>
      <c r="D3314" s="3" t="s">
        <v>193</v>
      </c>
      <c r="E3314" s="1497">
        <v>30000</v>
      </c>
      <c r="F3314" s="1497"/>
      <c r="G3314" s="267" t="s">
        <v>56</v>
      </c>
      <c r="H3314" s="3"/>
    </row>
    <row r="3315" spans="1:8">
      <c r="A3315" s="270">
        <v>45086</v>
      </c>
      <c r="B3315" s="267"/>
      <c r="C3315" s="267" t="s">
        <v>88</v>
      </c>
      <c r="D3315" s="3" t="s">
        <v>219</v>
      </c>
      <c r="E3315" s="1497">
        <v>37000</v>
      </c>
      <c r="F3315" s="1497"/>
      <c r="G3315" s="267" t="s">
        <v>56</v>
      </c>
      <c r="H3315" s="3"/>
    </row>
    <row r="3316" spans="1:8">
      <c r="A3316" s="270">
        <v>45086</v>
      </c>
      <c r="B3316" s="267"/>
      <c r="C3316" s="267" t="s">
        <v>308</v>
      </c>
      <c r="D3316" s="3" t="s">
        <v>232</v>
      </c>
      <c r="E3316" s="1497">
        <v>22300</v>
      </c>
      <c r="F3316" s="1497"/>
      <c r="G3316" s="267" t="s">
        <v>56</v>
      </c>
      <c r="H3316" s="3"/>
    </row>
    <row r="3317" spans="1:8">
      <c r="A3317" s="270">
        <v>45086</v>
      </c>
      <c r="B3317" s="267"/>
      <c r="C3317" s="267"/>
      <c r="D3317" s="3"/>
      <c r="E3317" s="1497"/>
      <c r="F3317" s="1497"/>
      <c r="G3317" s="267"/>
      <c r="H3317" s="128" t="s">
        <v>2002</v>
      </c>
    </row>
    <row r="3318" spans="1:8">
      <c r="H3318" s="133" t="s">
        <v>2005</v>
      </c>
    </row>
    <row r="3319" spans="1:8">
      <c r="H3319" s="132" t="s">
        <v>2004</v>
      </c>
    </row>
    <row r="3320" spans="1:8">
      <c r="H3320" s="117" t="s">
        <v>2003</v>
      </c>
    </row>
    <row r="3321" spans="1:8">
      <c r="H3321" s="117" t="s">
        <v>2000</v>
      </c>
    </row>
    <row r="3322" spans="1:8">
      <c r="H3322" s="117" t="s">
        <v>1966</v>
      </c>
    </row>
    <row r="3323" spans="1:8">
      <c r="H3323" s="117" t="s">
        <v>1937</v>
      </c>
    </row>
    <row r="3324" spans="1:8">
      <c r="H3324" s="117" t="s">
        <v>2001</v>
      </c>
    </row>
    <row r="3325" spans="1:8">
      <c r="H3325" s="118" t="s">
        <v>2006</v>
      </c>
    </row>
    <row r="3326" spans="1:8">
      <c r="A3326" s="270">
        <v>45087</v>
      </c>
      <c r="B3326" s="267"/>
      <c r="C3326" s="267" t="s">
        <v>79</v>
      </c>
      <c r="D3326" s="3" t="s">
        <v>195</v>
      </c>
      <c r="E3326" s="1497">
        <v>11742.14</v>
      </c>
      <c r="F3326" s="1497"/>
      <c r="G3326" s="267" t="s">
        <v>27</v>
      </c>
      <c r="H3326" s="3"/>
    </row>
    <row r="3327" spans="1:8">
      <c r="A3327" s="270">
        <v>45087</v>
      </c>
      <c r="B3327" s="267"/>
      <c r="C3327" s="267" t="s">
        <v>79</v>
      </c>
      <c r="D3327" s="3" t="s">
        <v>1397</v>
      </c>
      <c r="E3327" s="1497">
        <v>14290.06</v>
      </c>
      <c r="F3327" s="1497"/>
      <c r="G3327" s="267" t="s">
        <v>27</v>
      </c>
      <c r="H3327" s="3"/>
    </row>
    <row r="3328" spans="1:8">
      <c r="A3328" s="270">
        <v>45089</v>
      </c>
      <c r="B3328" s="267"/>
      <c r="C3328" s="267" t="s">
        <v>94</v>
      </c>
      <c r="D3328" s="3" t="s">
        <v>2009</v>
      </c>
      <c r="E3328" s="1497">
        <v>3030.79</v>
      </c>
      <c r="F3328" s="1497"/>
      <c r="G3328" s="267" t="s">
        <v>27</v>
      </c>
      <c r="H3328" s="3"/>
    </row>
    <row r="3329" spans="1:8">
      <c r="A3329" s="270">
        <v>45089</v>
      </c>
      <c r="B3329" s="267"/>
      <c r="C3329" s="267" t="s">
        <v>94</v>
      </c>
      <c r="D3329" s="3" t="s">
        <v>2008</v>
      </c>
      <c r="E3329" s="1497">
        <v>14290.06</v>
      </c>
      <c r="F3329" s="1497"/>
      <c r="G3329" s="267" t="s">
        <v>27</v>
      </c>
      <c r="H3329" s="3"/>
    </row>
    <row r="3330" spans="1:8">
      <c r="A3330" s="270">
        <v>45089</v>
      </c>
      <c r="B3330" s="267"/>
      <c r="C3330" s="267" t="s">
        <v>92</v>
      </c>
      <c r="D3330" s="3" t="s">
        <v>170</v>
      </c>
      <c r="E3330" s="1497">
        <v>15000</v>
      </c>
      <c r="F3330" s="1497"/>
      <c r="G3330" s="267" t="s">
        <v>27</v>
      </c>
      <c r="H3330" s="3"/>
    </row>
    <row r="3331" spans="1:8">
      <c r="A3331" s="270">
        <v>45090</v>
      </c>
      <c r="B3331" s="267"/>
      <c r="C3331" s="267" t="s">
        <v>176</v>
      </c>
      <c r="D3331" s="3" t="s">
        <v>175</v>
      </c>
      <c r="E3331" s="1497">
        <v>29142.799999999999</v>
      </c>
      <c r="F3331" s="1497"/>
      <c r="G3331" s="267" t="s">
        <v>27</v>
      </c>
      <c r="H3331" s="3"/>
    </row>
    <row r="3332" spans="1:8">
      <c r="A3332" s="270">
        <v>45090</v>
      </c>
      <c r="B3332" s="267"/>
      <c r="C3332" s="267" t="s">
        <v>55</v>
      </c>
      <c r="D3332" s="3" t="s">
        <v>2011</v>
      </c>
      <c r="E3332" s="1497">
        <v>600</v>
      </c>
      <c r="F3332" s="1497"/>
      <c r="G3332" s="267" t="s">
        <v>56</v>
      </c>
      <c r="H3332" s="3"/>
    </row>
    <row r="3333" spans="1:8">
      <c r="A3333" s="270">
        <v>45090</v>
      </c>
      <c r="B3333" s="267"/>
      <c r="C3333" s="267" t="s">
        <v>205</v>
      </c>
      <c r="D3333" s="3" t="s">
        <v>2012</v>
      </c>
      <c r="E3333" s="1497">
        <v>66970</v>
      </c>
      <c r="F3333" s="1497"/>
      <c r="G3333" s="267" t="s">
        <v>27</v>
      </c>
      <c r="H3333" s="3"/>
    </row>
    <row r="3334" spans="1:8">
      <c r="A3334" s="270">
        <v>45090</v>
      </c>
      <c r="B3334" s="267"/>
      <c r="C3334" s="267" t="s">
        <v>1148</v>
      </c>
      <c r="D3334" s="3" t="s">
        <v>2013</v>
      </c>
      <c r="E3334" s="1497">
        <v>2000</v>
      </c>
      <c r="F3334" s="1497"/>
      <c r="G3334" s="267" t="s">
        <v>56</v>
      </c>
      <c r="H3334" s="3"/>
    </row>
    <row r="3335" spans="1:8">
      <c r="A3335" s="270">
        <v>45090</v>
      </c>
      <c r="B3335" s="267"/>
      <c r="C3335" s="267" t="s">
        <v>92</v>
      </c>
      <c r="D3335" s="3" t="s">
        <v>2015</v>
      </c>
      <c r="E3335" s="1497"/>
      <c r="F3335" s="1497">
        <v>70000</v>
      </c>
      <c r="G3335" s="267" t="s">
        <v>56</v>
      </c>
      <c r="H3335" s="3"/>
    </row>
    <row r="3336" spans="1:8">
      <c r="A3336" s="270">
        <v>45091</v>
      </c>
      <c r="B3336" s="267"/>
      <c r="C3336" s="267" t="s">
        <v>205</v>
      </c>
      <c r="D3336" s="3" t="s">
        <v>45</v>
      </c>
      <c r="E3336" s="1497">
        <v>44000</v>
      </c>
      <c r="F3336" s="1497"/>
      <c r="G3336" s="267" t="s">
        <v>287</v>
      </c>
      <c r="H3336" s="3"/>
    </row>
    <row r="3337" spans="1:8">
      <c r="A3337" s="270">
        <v>45091</v>
      </c>
      <c r="B3337" s="267"/>
      <c r="C3337" s="267" t="s">
        <v>205</v>
      </c>
      <c r="D3337" s="3" t="s">
        <v>45</v>
      </c>
      <c r="E3337" s="1497">
        <v>3507.8</v>
      </c>
      <c r="F3337" s="1497"/>
      <c r="G3337" s="267" t="s">
        <v>27</v>
      </c>
      <c r="H3337" s="3"/>
    </row>
    <row r="3338" spans="1:8">
      <c r="A3338" s="270">
        <v>45092</v>
      </c>
      <c r="B3338" s="267"/>
      <c r="C3338" s="267" t="s">
        <v>55</v>
      </c>
      <c r="D3338" s="3" t="s">
        <v>514</v>
      </c>
      <c r="E3338" s="1497">
        <v>1400</v>
      </c>
      <c r="F3338" s="1497"/>
      <c r="G3338" s="267" t="s">
        <v>27</v>
      </c>
      <c r="H3338" s="3"/>
    </row>
    <row r="3339" spans="1:8">
      <c r="A3339" s="270">
        <v>45092</v>
      </c>
      <c r="B3339" s="267"/>
      <c r="C3339" s="267" t="s">
        <v>90</v>
      </c>
      <c r="D3339" s="3" t="s">
        <v>2017</v>
      </c>
      <c r="E3339" s="1497">
        <v>2500</v>
      </c>
      <c r="F3339" s="1497"/>
      <c r="G3339" s="267" t="s">
        <v>56</v>
      </c>
      <c r="H3339" s="3"/>
    </row>
    <row r="3340" spans="1:8">
      <c r="A3340" s="270">
        <v>45092</v>
      </c>
      <c r="B3340" s="267"/>
      <c r="C3340" s="267" t="s">
        <v>55</v>
      </c>
      <c r="D3340" s="3" t="s">
        <v>2018</v>
      </c>
      <c r="E3340" s="1497">
        <v>2500</v>
      </c>
      <c r="F3340" s="1497"/>
      <c r="G3340" s="267" t="s">
        <v>56</v>
      </c>
      <c r="H3340" s="3"/>
    </row>
    <row r="3341" spans="1:8">
      <c r="A3341" s="270">
        <v>45092</v>
      </c>
      <c r="B3341" s="267"/>
      <c r="C3341" s="267" t="s">
        <v>205</v>
      </c>
      <c r="D3341" s="3" t="s">
        <v>48</v>
      </c>
      <c r="E3341" s="1497">
        <v>13000</v>
      </c>
      <c r="F3341" s="1497"/>
      <c r="G3341" s="267" t="s">
        <v>27</v>
      </c>
      <c r="H3341" s="3"/>
    </row>
    <row r="3342" spans="1:8">
      <c r="A3342" s="270">
        <v>45092</v>
      </c>
      <c r="B3342" s="267"/>
      <c r="C3342" s="267" t="s">
        <v>79</v>
      </c>
      <c r="D3342" s="3" t="s">
        <v>2019</v>
      </c>
      <c r="E3342" s="1497">
        <v>25000</v>
      </c>
      <c r="F3342" s="1497"/>
      <c r="G3342" s="267" t="s">
        <v>27</v>
      </c>
      <c r="H3342" s="3"/>
    </row>
    <row r="3343" spans="1:8">
      <c r="A3343" s="270">
        <v>45093</v>
      </c>
      <c r="B3343" s="267"/>
      <c r="C3343" s="267" t="s">
        <v>122</v>
      </c>
      <c r="D3343" s="3" t="s">
        <v>920</v>
      </c>
      <c r="E3343" s="1497">
        <v>5000</v>
      </c>
      <c r="F3343" s="1497"/>
      <c r="G3343" s="267" t="s">
        <v>55</v>
      </c>
      <c r="H3343" s="3"/>
    </row>
    <row r="3344" spans="1:8">
      <c r="A3344" s="270">
        <v>45093</v>
      </c>
      <c r="B3344" s="267"/>
      <c r="C3344" s="267" t="s">
        <v>55</v>
      </c>
      <c r="D3344" s="3" t="s">
        <v>70</v>
      </c>
      <c r="E3344" s="1497">
        <v>2200</v>
      </c>
      <c r="F3344" s="1497"/>
      <c r="G3344" s="267" t="s">
        <v>56</v>
      </c>
      <c r="H3344" s="3"/>
    </row>
    <row r="3345" spans="1:8">
      <c r="A3345" s="270">
        <v>45093</v>
      </c>
      <c r="B3345" s="267"/>
      <c r="C3345" s="267" t="s">
        <v>205</v>
      </c>
      <c r="D3345" s="3" t="s">
        <v>49</v>
      </c>
      <c r="E3345" s="1497">
        <v>10000</v>
      </c>
      <c r="F3345" s="1497"/>
      <c r="G3345" s="267" t="s">
        <v>56</v>
      </c>
      <c r="H3345" s="3"/>
    </row>
    <row r="3346" spans="1:8">
      <c r="A3346" s="270">
        <v>45093</v>
      </c>
      <c r="B3346" s="267"/>
      <c r="C3346" s="267" t="s">
        <v>205</v>
      </c>
      <c r="D3346" s="3" t="s">
        <v>190</v>
      </c>
      <c r="E3346" s="1497">
        <v>130300</v>
      </c>
      <c r="F3346" s="1497"/>
      <c r="G3346" s="267" t="s">
        <v>1279</v>
      </c>
      <c r="H3346" s="3" t="s">
        <v>2020</v>
      </c>
    </row>
    <row r="3347" spans="1:8">
      <c r="A3347" s="270">
        <v>45093</v>
      </c>
      <c r="B3347" s="267"/>
      <c r="C3347" s="267" t="s">
        <v>230</v>
      </c>
      <c r="D3347" s="3" t="s">
        <v>2021</v>
      </c>
      <c r="E3347" s="1497">
        <v>24000</v>
      </c>
      <c r="F3347" s="1497"/>
      <c r="G3347" s="267" t="s">
        <v>56</v>
      </c>
      <c r="H3347" s="3"/>
    </row>
    <row r="3348" spans="1:8">
      <c r="A3348" s="270">
        <v>45093</v>
      </c>
      <c r="B3348" s="267"/>
      <c r="C3348" s="267" t="s">
        <v>55</v>
      </c>
      <c r="D3348" s="15" t="s">
        <v>1748</v>
      </c>
      <c r="E3348" s="1497">
        <v>6240</v>
      </c>
      <c r="F3348" s="1497"/>
      <c r="G3348" s="267" t="s">
        <v>27</v>
      </c>
      <c r="H3348" s="3"/>
    </row>
    <row r="3349" spans="1:8">
      <c r="A3349" s="270">
        <v>45093</v>
      </c>
      <c r="B3349" s="267"/>
      <c r="C3349" s="267" t="s">
        <v>55</v>
      </c>
      <c r="D3349" s="3" t="s">
        <v>2022</v>
      </c>
      <c r="E3349" s="1497">
        <v>25000</v>
      </c>
      <c r="F3349" s="1497"/>
      <c r="G3349" s="267" t="s">
        <v>72</v>
      </c>
      <c r="H3349" s="3"/>
    </row>
    <row r="3350" spans="1:8">
      <c r="A3350" s="270">
        <v>45093</v>
      </c>
      <c r="B3350" s="267"/>
      <c r="C3350" s="267" t="s">
        <v>55</v>
      </c>
      <c r="D3350" s="3" t="s">
        <v>2022</v>
      </c>
      <c r="E3350" s="1497">
        <v>15000</v>
      </c>
      <c r="F3350" s="1497"/>
      <c r="G3350" s="267" t="s">
        <v>56</v>
      </c>
      <c r="H3350" s="3"/>
    </row>
    <row r="3351" spans="1:8">
      <c r="A3351" s="270">
        <v>45093</v>
      </c>
      <c r="B3351" s="267"/>
      <c r="C3351" s="267" t="s">
        <v>150</v>
      </c>
      <c r="D3351" s="15" t="s">
        <v>278</v>
      </c>
      <c r="E3351" s="1497">
        <v>20000</v>
      </c>
      <c r="F3351" s="1497"/>
      <c r="G3351" s="267" t="s">
        <v>56</v>
      </c>
      <c r="H3351" s="3"/>
    </row>
    <row r="3352" spans="1:8">
      <c r="A3352" s="270">
        <v>45093</v>
      </c>
      <c r="B3352" s="267"/>
      <c r="C3352" s="267" t="s">
        <v>88</v>
      </c>
      <c r="D3352" s="3" t="s">
        <v>219</v>
      </c>
      <c r="E3352" s="1497">
        <v>37000</v>
      </c>
      <c r="F3352" s="1497"/>
      <c r="G3352" s="267" t="s">
        <v>56</v>
      </c>
      <c r="H3352" s="3"/>
    </row>
    <row r="3353" spans="1:8">
      <c r="A3353" s="270">
        <v>45093</v>
      </c>
      <c r="B3353" s="267"/>
      <c r="C3353" s="267" t="s">
        <v>88</v>
      </c>
      <c r="D3353" s="3" t="s">
        <v>208</v>
      </c>
      <c r="E3353" s="1497">
        <v>25000</v>
      </c>
      <c r="F3353" s="1497"/>
      <c r="G3353" s="267" t="s">
        <v>56</v>
      </c>
      <c r="H3353" s="3"/>
    </row>
    <row r="3354" spans="1:8">
      <c r="A3354" s="270">
        <v>45093</v>
      </c>
      <c r="B3354" s="267"/>
      <c r="C3354" s="267" t="s">
        <v>88</v>
      </c>
      <c r="D3354" s="3" t="s">
        <v>193</v>
      </c>
      <c r="E3354" s="1497">
        <v>30000</v>
      </c>
      <c r="F3354" s="1497"/>
      <c r="G3354" s="267" t="s">
        <v>56</v>
      </c>
      <c r="H3354" s="3"/>
    </row>
    <row r="3355" spans="1:8">
      <c r="A3355" s="270">
        <v>45093</v>
      </c>
      <c r="B3355" s="267"/>
      <c r="C3355" s="267" t="s">
        <v>88</v>
      </c>
      <c r="D3355" s="3" t="s">
        <v>144</v>
      </c>
      <c r="E3355" s="1497">
        <v>53000</v>
      </c>
      <c r="F3355" s="1497"/>
      <c r="G3355" s="267" t="s">
        <v>56</v>
      </c>
      <c r="H3355" s="3"/>
    </row>
    <row r="3356" spans="1:8">
      <c r="A3356" s="270">
        <v>45093</v>
      </c>
      <c r="B3356" s="267"/>
      <c r="C3356" s="267" t="s">
        <v>88</v>
      </c>
      <c r="D3356" s="3" t="s">
        <v>2025</v>
      </c>
      <c r="E3356" s="1497">
        <v>10000</v>
      </c>
      <c r="F3356" s="1497"/>
      <c r="G3356" s="267" t="s">
        <v>56</v>
      </c>
      <c r="H3356" s="3"/>
    </row>
    <row r="3357" spans="1:8">
      <c r="A3357" s="270">
        <v>45093</v>
      </c>
      <c r="B3357" s="267"/>
      <c r="C3357" s="267" t="s">
        <v>79</v>
      </c>
      <c r="D3357" s="3" t="s">
        <v>2028</v>
      </c>
      <c r="E3357" s="1497">
        <v>10665.47</v>
      </c>
      <c r="F3357" s="1497"/>
      <c r="G3357" s="267" t="s">
        <v>27</v>
      </c>
      <c r="H3357" s="3"/>
    </row>
    <row r="3358" spans="1:8" ht="15.75" thickBot="1"/>
    <row r="3359" spans="1:8">
      <c r="H3359" s="149" t="s">
        <v>2023</v>
      </c>
    </row>
    <row r="3360" spans="1:8">
      <c r="H3360" s="136" t="s">
        <v>1819</v>
      </c>
    </row>
    <row r="3361" spans="1:8">
      <c r="H3361" s="137" t="s">
        <v>2029</v>
      </c>
    </row>
    <row r="3362" spans="1:8">
      <c r="H3362" s="138" t="s">
        <v>2027</v>
      </c>
    </row>
    <row r="3363" spans="1:8">
      <c r="H3363" s="138" t="s">
        <v>2026</v>
      </c>
    </row>
    <row r="3364" spans="1:8">
      <c r="H3364" s="138" t="s">
        <v>2030</v>
      </c>
    </row>
    <row r="3365" spans="1:8">
      <c r="H3365" s="138" t="s">
        <v>1937</v>
      </c>
    </row>
    <row r="3366" spans="1:8">
      <c r="H3366" s="138" t="s">
        <v>2024</v>
      </c>
    </row>
    <row r="3367" spans="1:8">
      <c r="H3367" s="139" t="s">
        <v>1215</v>
      </c>
    </row>
    <row r="3368" spans="1:8">
      <c r="A3368" s="270">
        <v>45098</v>
      </c>
      <c r="B3368" s="267"/>
      <c r="C3368" s="267" t="s">
        <v>86</v>
      </c>
      <c r="D3368" s="3" t="s">
        <v>107</v>
      </c>
      <c r="E3368" s="1497">
        <v>3000</v>
      </c>
      <c r="F3368" s="1497"/>
      <c r="G3368" s="267" t="s">
        <v>56</v>
      </c>
      <c r="H3368" s="3"/>
    </row>
    <row r="3369" spans="1:8">
      <c r="A3369" s="13">
        <v>45098</v>
      </c>
      <c r="B3369" s="12"/>
      <c r="C3369" s="12" t="s">
        <v>86</v>
      </c>
      <c r="D3369" s="89" t="s">
        <v>104</v>
      </c>
      <c r="E3369" s="12">
        <v>5105.53</v>
      </c>
      <c r="F3369" s="12"/>
      <c r="G3369" s="12" t="s">
        <v>56</v>
      </c>
      <c r="H3369" s="3"/>
    </row>
    <row r="3370" spans="1:8">
      <c r="A3370" s="270">
        <v>45098</v>
      </c>
      <c r="B3370" s="267"/>
      <c r="C3370" s="267" t="s">
        <v>2032</v>
      </c>
      <c r="D3370" s="3" t="s">
        <v>2031</v>
      </c>
      <c r="E3370" s="1497">
        <v>4000</v>
      </c>
      <c r="F3370" s="1497"/>
      <c r="G3370" s="267" t="s">
        <v>56</v>
      </c>
      <c r="H3370" s="3"/>
    </row>
    <row r="3371" spans="1:8">
      <c r="A3371" s="270">
        <v>45098</v>
      </c>
      <c r="B3371" s="267"/>
      <c r="C3371" s="267" t="s">
        <v>79</v>
      </c>
      <c r="D3371" s="3" t="s">
        <v>277</v>
      </c>
      <c r="E3371" s="1497">
        <v>6000</v>
      </c>
      <c r="F3371" s="1497"/>
      <c r="G3371" s="267" t="s">
        <v>56</v>
      </c>
      <c r="H3371" s="3"/>
    </row>
    <row r="3372" spans="1:8">
      <c r="A3372" s="270">
        <v>45098</v>
      </c>
      <c r="B3372" s="267"/>
      <c r="C3372" s="267" t="s">
        <v>92</v>
      </c>
      <c r="D3372" s="3" t="s">
        <v>461</v>
      </c>
      <c r="E3372" s="1497"/>
      <c r="F3372" s="1497">
        <v>21740</v>
      </c>
      <c r="G3372" s="267" t="s">
        <v>56</v>
      </c>
      <c r="H3372" s="3"/>
    </row>
    <row r="3373" spans="1:8">
      <c r="A3373" s="270">
        <v>45098</v>
      </c>
      <c r="B3373" s="267"/>
      <c r="C3373" s="267" t="s">
        <v>92</v>
      </c>
      <c r="D3373" s="3" t="s">
        <v>2034</v>
      </c>
      <c r="E3373" s="1497"/>
      <c r="F3373" s="1497">
        <v>179500</v>
      </c>
      <c r="G3373" s="267" t="s">
        <v>56</v>
      </c>
      <c r="H3373" s="3"/>
    </row>
    <row r="3374" spans="1:8">
      <c r="A3374" s="270">
        <v>45098</v>
      </c>
      <c r="B3374" s="267"/>
      <c r="C3374" s="267" t="s">
        <v>150</v>
      </c>
      <c r="D3374" s="3" t="s">
        <v>2035</v>
      </c>
      <c r="E3374" s="1497">
        <v>200000</v>
      </c>
      <c r="F3374" s="1497"/>
      <c r="G3374" s="267" t="s">
        <v>27</v>
      </c>
      <c r="H3374" s="3"/>
    </row>
    <row r="3375" spans="1:8">
      <c r="A3375" s="270">
        <v>45098</v>
      </c>
      <c r="B3375" s="267"/>
      <c r="C3375" s="267" t="s">
        <v>150</v>
      </c>
      <c r="D3375" s="3" t="s">
        <v>2036</v>
      </c>
      <c r="E3375" s="1497"/>
      <c r="F3375" s="1497">
        <v>200000</v>
      </c>
      <c r="G3375" s="267" t="s">
        <v>2037</v>
      </c>
      <c r="H3375" s="3"/>
    </row>
    <row r="3376" spans="1:8">
      <c r="A3376" s="270">
        <v>45098</v>
      </c>
      <c r="B3376" s="267"/>
      <c r="C3376" s="267" t="s">
        <v>2038</v>
      </c>
      <c r="D3376" s="113" t="s">
        <v>598</v>
      </c>
      <c r="E3376" s="70">
        <v>5000</v>
      </c>
      <c r="F3376" s="1497"/>
      <c r="G3376" s="267" t="s">
        <v>27</v>
      </c>
      <c r="H3376" s="3"/>
    </row>
    <row r="3377" spans="1:8">
      <c r="A3377" s="270">
        <v>45099</v>
      </c>
      <c r="B3377" s="267"/>
      <c r="C3377" s="267" t="s">
        <v>92</v>
      </c>
      <c r="D3377" s="3" t="s">
        <v>582</v>
      </c>
      <c r="E3377" s="1497"/>
      <c r="F3377" s="1497">
        <v>114351.43</v>
      </c>
      <c r="G3377" s="267" t="s">
        <v>27</v>
      </c>
      <c r="H3377" s="3"/>
    </row>
    <row r="3378" spans="1:8">
      <c r="A3378" s="270">
        <v>45099</v>
      </c>
      <c r="B3378" s="267"/>
      <c r="C3378" s="267" t="s">
        <v>92</v>
      </c>
      <c r="D3378" s="3" t="s">
        <v>935</v>
      </c>
      <c r="E3378" s="1497"/>
      <c r="F3378" s="1497">
        <v>9000</v>
      </c>
      <c r="G3378" s="267" t="s">
        <v>56</v>
      </c>
      <c r="H3378" s="3"/>
    </row>
    <row r="3379" spans="1:8">
      <c r="A3379" s="270">
        <v>45099</v>
      </c>
      <c r="B3379" s="267"/>
      <c r="C3379" s="267" t="s">
        <v>205</v>
      </c>
      <c r="D3379" s="3" t="s">
        <v>2039</v>
      </c>
      <c r="E3379" s="1497">
        <v>9600</v>
      </c>
      <c r="F3379" s="1497"/>
      <c r="G3379" s="267" t="s">
        <v>56</v>
      </c>
      <c r="H3379" s="3"/>
    </row>
    <row r="3380" spans="1:8">
      <c r="A3380" s="270">
        <v>45100</v>
      </c>
      <c r="B3380" s="267"/>
      <c r="C3380" s="267" t="s">
        <v>79</v>
      </c>
      <c r="D3380" s="3" t="s">
        <v>2040</v>
      </c>
      <c r="E3380" s="1497">
        <v>6739</v>
      </c>
      <c r="F3380" s="1497"/>
      <c r="G3380" s="267" t="s">
        <v>27</v>
      </c>
      <c r="H3380" s="3"/>
    </row>
    <row r="3381" spans="1:8">
      <c r="A3381" s="270">
        <v>45100</v>
      </c>
      <c r="B3381" s="267"/>
      <c r="C3381" s="267" t="s">
        <v>79</v>
      </c>
      <c r="D3381" s="15" t="s">
        <v>2041</v>
      </c>
      <c r="E3381" s="1497">
        <v>1547.87</v>
      </c>
      <c r="F3381" s="1497"/>
      <c r="G3381" s="267" t="s">
        <v>27</v>
      </c>
      <c r="H3381" s="3"/>
    </row>
    <row r="3382" spans="1:8">
      <c r="A3382" s="270">
        <v>45100</v>
      </c>
      <c r="B3382" s="267"/>
      <c r="C3382" s="267" t="s">
        <v>79</v>
      </c>
      <c r="D3382" s="15" t="s">
        <v>2041</v>
      </c>
      <c r="E3382" s="1497">
        <v>1547.87</v>
      </c>
      <c r="F3382" s="1497"/>
      <c r="G3382" s="267" t="s">
        <v>27</v>
      </c>
      <c r="H3382" s="3"/>
    </row>
    <row r="3383" spans="1:8">
      <c r="A3383" s="270">
        <v>45100</v>
      </c>
      <c r="B3383" s="267"/>
      <c r="C3383" s="267" t="s">
        <v>65</v>
      </c>
      <c r="D3383" s="3" t="s">
        <v>2042</v>
      </c>
      <c r="E3383" s="1497">
        <v>10900</v>
      </c>
      <c r="F3383" s="1497"/>
      <c r="G3383" s="267" t="s">
        <v>27</v>
      </c>
      <c r="H3383" s="3"/>
    </row>
    <row r="3384" spans="1:8">
      <c r="A3384" s="270">
        <v>45100</v>
      </c>
      <c r="B3384" s="267"/>
      <c r="C3384" s="267" t="s">
        <v>79</v>
      </c>
      <c r="D3384" s="3" t="s">
        <v>166</v>
      </c>
      <c r="E3384" s="1497">
        <v>70000</v>
      </c>
      <c r="F3384" s="1497"/>
      <c r="G3384" s="267" t="s">
        <v>27</v>
      </c>
      <c r="H3384" s="3"/>
    </row>
    <row r="3385" spans="1:8">
      <c r="A3385" s="270">
        <v>45100</v>
      </c>
      <c r="B3385" s="267"/>
      <c r="C3385" s="267" t="s">
        <v>199</v>
      </c>
      <c r="D3385" s="3" t="s">
        <v>2043</v>
      </c>
      <c r="E3385" s="1497"/>
      <c r="F3385" s="1497">
        <v>120700</v>
      </c>
      <c r="G3385" s="267" t="s">
        <v>27</v>
      </c>
      <c r="H3385" s="3"/>
    </row>
    <row r="3386" spans="1:8">
      <c r="A3386" s="270">
        <v>45100</v>
      </c>
      <c r="B3386" s="267"/>
      <c r="C3386" s="267" t="s">
        <v>92</v>
      </c>
      <c r="D3386" s="3" t="s">
        <v>2044</v>
      </c>
      <c r="E3386" s="1497">
        <v>5792.74</v>
      </c>
      <c r="F3386" s="1497"/>
      <c r="G3386" s="267" t="s">
        <v>27</v>
      </c>
      <c r="H3386" s="3"/>
    </row>
    <row r="3387" spans="1:8">
      <c r="A3387" s="270">
        <v>45100</v>
      </c>
      <c r="B3387" s="267"/>
      <c r="C3387" s="267" t="s">
        <v>92</v>
      </c>
      <c r="D3387" s="15" t="s">
        <v>2045</v>
      </c>
      <c r="E3387" s="1497">
        <v>3460</v>
      </c>
      <c r="F3387" s="1497"/>
      <c r="G3387" s="267" t="s">
        <v>27</v>
      </c>
      <c r="H3387" s="3"/>
    </row>
    <row r="3388" spans="1:8">
      <c r="A3388" s="270">
        <v>45100</v>
      </c>
      <c r="B3388" s="267"/>
      <c r="C3388" s="267" t="s">
        <v>55</v>
      </c>
      <c r="D3388" s="3" t="s">
        <v>63</v>
      </c>
      <c r="E3388" s="1497">
        <v>3000</v>
      </c>
      <c r="F3388" s="1497"/>
      <c r="G3388" s="267" t="s">
        <v>56</v>
      </c>
      <c r="H3388" s="3"/>
    </row>
    <row r="3389" spans="1:8">
      <c r="A3389" s="270">
        <v>45100</v>
      </c>
      <c r="B3389" s="267"/>
      <c r="C3389" s="267" t="s">
        <v>88</v>
      </c>
      <c r="D3389" s="15" t="s">
        <v>208</v>
      </c>
      <c r="E3389" s="1497">
        <v>32500</v>
      </c>
      <c r="F3389" s="1497"/>
      <c r="G3389" s="267" t="s">
        <v>56</v>
      </c>
      <c r="H3389" s="3"/>
    </row>
    <row r="3390" spans="1:8">
      <c r="A3390" s="270">
        <v>45100</v>
      </c>
      <c r="B3390" s="267"/>
      <c r="C3390" s="267" t="s">
        <v>88</v>
      </c>
      <c r="D3390" s="15" t="s">
        <v>144</v>
      </c>
      <c r="E3390" s="1497">
        <v>65000</v>
      </c>
      <c r="F3390" s="1497"/>
      <c r="G3390" s="267" t="s">
        <v>56</v>
      </c>
      <c r="H3390" s="3"/>
    </row>
    <row r="3391" spans="1:8">
      <c r="A3391" s="270">
        <v>45100</v>
      </c>
      <c r="B3391" s="267"/>
      <c r="C3391" s="267" t="s">
        <v>88</v>
      </c>
      <c r="D3391" s="15" t="s">
        <v>144</v>
      </c>
      <c r="E3391" s="1497">
        <v>10000</v>
      </c>
      <c r="F3391" s="1497"/>
      <c r="G3391" s="267" t="s">
        <v>27</v>
      </c>
      <c r="H3391" s="3"/>
    </row>
    <row r="3392" spans="1:8">
      <c r="A3392" s="270">
        <v>45100</v>
      </c>
      <c r="B3392" s="267"/>
      <c r="C3392" s="267" t="s">
        <v>88</v>
      </c>
      <c r="D3392" s="15" t="s">
        <v>144</v>
      </c>
      <c r="E3392" s="1497">
        <v>4000</v>
      </c>
      <c r="F3392" s="1497"/>
      <c r="G3392" s="267" t="s">
        <v>27</v>
      </c>
      <c r="H3392" s="3"/>
    </row>
    <row r="3393" spans="1:8">
      <c r="A3393" s="270">
        <v>45100</v>
      </c>
      <c r="B3393" s="267"/>
      <c r="C3393" s="267" t="s">
        <v>88</v>
      </c>
      <c r="D3393" s="15" t="s">
        <v>824</v>
      </c>
      <c r="E3393" s="1497">
        <v>30000</v>
      </c>
      <c r="F3393" s="1497"/>
      <c r="G3393" s="267" t="s">
        <v>56</v>
      </c>
      <c r="H3393" s="3"/>
    </row>
    <row r="3394" spans="1:8">
      <c r="A3394" s="270">
        <v>45100</v>
      </c>
      <c r="B3394" s="267"/>
      <c r="C3394" s="267" t="s">
        <v>88</v>
      </c>
      <c r="D3394" s="3" t="s">
        <v>219</v>
      </c>
      <c r="E3394" s="1497">
        <v>56900</v>
      </c>
      <c r="F3394" s="1497"/>
      <c r="G3394" s="267" t="s">
        <v>56</v>
      </c>
      <c r="H3394" s="3"/>
    </row>
    <row r="3395" spans="1:8">
      <c r="A3395" s="270">
        <v>45100</v>
      </c>
      <c r="B3395" s="267"/>
      <c r="C3395" s="267" t="s">
        <v>160</v>
      </c>
      <c r="D3395" s="3" t="s">
        <v>2046</v>
      </c>
      <c r="E3395" s="1497"/>
      <c r="F3395" s="1497">
        <v>54000</v>
      </c>
      <c r="G3395" s="267" t="s">
        <v>56</v>
      </c>
      <c r="H3395" s="3"/>
    </row>
    <row r="3396" spans="1:8" ht="15.75" thickBot="1">
      <c r="A3396" s="270">
        <v>45100</v>
      </c>
      <c r="B3396" s="267"/>
      <c r="C3396" s="267" t="s">
        <v>79</v>
      </c>
      <c r="D3396" s="3" t="s">
        <v>79</v>
      </c>
      <c r="E3396" s="1497">
        <v>10000</v>
      </c>
      <c r="F3396" s="1497"/>
      <c r="G3396" s="267" t="s">
        <v>56</v>
      </c>
      <c r="H3396" s="85"/>
    </row>
    <row r="3397" spans="1:8">
      <c r="A3397" s="267"/>
      <c r="B3397" s="267"/>
      <c r="C3397" s="267"/>
      <c r="D3397" s="3"/>
      <c r="E3397" s="1497"/>
      <c r="F3397" s="1497"/>
      <c r="G3397" s="226"/>
      <c r="H3397" s="149" t="s">
        <v>2047</v>
      </c>
    </row>
    <row r="3398" spans="1:8">
      <c r="A3398" s="267"/>
      <c r="B3398" s="267"/>
      <c r="C3398" s="267"/>
      <c r="D3398" s="3"/>
      <c r="E3398" s="1497"/>
      <c r="F3398" s="1497"/>
      <c r="G3398" s="226"/>
      <c r="H3398" s="136" t="s">
        <v>2049</v>
      </c>
    </row>
    <row r="3399" spans="1:8">
      <c r="A3399" s="267"/>
      <c r="B3399" s="267"/>
      <c r="C3399" s="267"/>
      <c r="D3399" s="3"/>
      <c r="E3399" s="1497"/>
      <c r="F3399" s="1497"/>
      <c r="G3399" s="226"/>
      <c r="H3399" s="137" t="s">
        <v>2048</v>
      </c>
    </row>
    <row r="3400" spans="1:8">
      <c r="A3400" s="267"/>
      <c r="B3400" s="267"/>
      <c r="C3400" s="267"/>
      <c r="D3400" s="3"/>
      <c r="E3400" s="1497"/>
      <c r="F3400" s="1497"/>
      <c r="G3400" s="226"/>
      <c r="H3400" s="138" t="s">
        <v>2052</v>
      </c>
    </row>
    <row r="3401" spans="1:8">
      <c r="H3401" s="138" t="s">
        <v>2051</v>
      </c>
    </row>
    <row r="3402" spans="1:8">
      <c r="H3402" s="138" t="s">
        <v>2050</v>
      </c>
    </row>
    <row r="3403" spans="1:8">
      <c r="H3403" s="138" t="s">
        <v>1937</v>
      </c>
    </row>
    <row r="3404" spans="1:8">
      <c r="H3404" s="138" t="s">
        <v>2024</v>
      </c>
    </row>
    <row r="3405" spans="1:8">
      <c r="H3405" s="139" t="s">
        <v>1215</v>
      </c>
    </row>
    <row r="3406" spans="1:8">
      <c r="A3406" s="270">
        <v>45103</v>
      </c>
      <c r="B3406" s="267"/>
      <c r="C3406" s="267" t="s">
        <v>199</v>
      </c>
      <c r="D3406" s="3" t="s">
        <v>2053</v>
      </c>
      <c r="E3406" s="1497"/>
      <c r="F3406" s="1497">
        <v>266000</v>
      </c>
      <c r="G3406" s="267" t="s">
        <v>27</v>
      </c>
      <c r="H3406" s="3"/>
    </row>
    <row r="3407" spans="1:8">
      <c r="A3407" s="270">
        <v>45103</v>
      </c>
      <c r="B3407" s="267"/>
      <c r="C3407" s="267" t="s">
        <v>92</v>
      </c>
      <c r="D3407" s="3" t="s">
        <v>582</v>
      </c>
      <c r="E3407" s="1497"/>
      <c r="F3407" s="1497">
        <v>137068.63</v>
      </c>
      <c r="G3407" s="267" t="s">
        <v>27</v>
      </c>
      <c r="H3407" s="3"/>
    </row>
    <row r="3408" spans="1:8">
      <c r="A3408" s="270">
        <v>45103</v>
      </c>
      <c r="B3408" s="267"/>
      <c r="C3408" s="267" t="s">
        <v>156</v>
      </c>
      <c r="D3408" s="3" t="s">
        <v>156</v>
      </c>
      <c r="E3408" s="1497">
        <v>16237.45</v>
      </c>
      <c r="F3408" s="1497"/>
      <c r="G3408" s="267" t="s">
        <v>27</v>
      </c>
      <c r="H3408" s="3"/>
    </row>
    <row r="3409" spans="1:8">
      <c r="A3409" s="270">
        <v>45103</v>
      </c>
      <c r="B3409" s="267"/>
      <c r="C3409" s="267" t="s">
        <v>156</v>
      </c>
      <c r="D3409" s="3" t="s">
        <v>156</v>
      </c>
      <c r="E3409" s="1497">
        <v>9979.91</v>
      </c>
      <c r="F3409" s="1497"/>
      <c r="G3409" s="267" t="s">
        <v>27</v>
      </c>
      <c r="H3409" s="3"/>
    </row>
    <row r="3410" spans="1:8">
      <c r="A3410" s="270">
        <v>45103</v>
      </c>
      <c r="B3410" s="267"/>
      <c r="C3410" s="267" t="s">
        <v>86</v>
      </c>
      <c r="D3410" s="3" t="s">
        <v>107</v>
      </c>
      <c r="E3410" s="1497">
        <v>5105.53</v>
      </c>
      <c r="F3410" s="1497"/>
      <c r="G3410" s="267" t="s">
        <v>27</v>
      </c>
      <c r="H3410" s="3"/>
    </row>
    <row r="3411" spans="1:8">
      <c r="A3411" s="270">
        <v>45103</v>
      </c>
      <c r="B3411" s="267"/>
      <c r="C3411" s="267" t="s">
        <v>866</v>
      </c>
      <c r="D3411" s="3" t="s">
        <v>2054</v>
      </c>
      <c r="E3411" s="1497">
        <v>9000</v>
      </c>
      <c r="F3411" s="1497"/>
      <c r="G3411" s="267" t="s">
        <v>27</v>
      </c>
      <c r="H3411" s="3"/>
    </row>
    <row r="3412" spans="1:8">
      <c r="A3412" s="270">
        <v>45103</v>
      </c>
      <c r="B3412" s="267"/>
      <c r="C3412" s="267" t="s">
        <v>345</v>
      </c>
      <c r="D3412" s="3" t="s">
        <v>2054</v>
      </c>
      <c r="E3412" s="1497">
        <v>1000</v>
      </c>
      <c r="F3412" s="1497"/>
      <c r="G3412" s="267" t="s">
        <v>27</v>
      </c>
      <c r="H3412" s="3"/>
    </row>
    <row r="3413" spans="1:8">
      <c r="A3413" s="270">
        <v>45103</v>
      </c>
      <c r="B3413" s="267"/>
      <c r="C3413" s="267" t="s">
        <v>55</v>
      </c>
      <c r="D3413" s="3" t="s">
        <v>207</v>
      </c>
      <c r="E3413" s="1497">
        <v>110800</v>
      </c>
      <c r="F3413" s="1497"/>
      <c r="G3413" s="267" t="s">
        <v>27</v>
      </c>
      <c r="H3413" s="3"/>
    </row>
    <row r="3414" spans="1:8">
      <c r="A3414" s="270">
        <v>45103</v>
      </c>
      <c r="B3414" s="267"/>
      <c r="C3414" s="267" t="s">
        <v>77</v>
      </c>
      <c r="D3414" s="3" t="s">
        <v>2055</v>
      </c>
      <c r="E3414" s="1497"/>
      <c r="F3414" s="1497">
        <v>1932300</v>
      </c>
      <c r="G3414" s="267" t="s">
        <v>108</v>
      </c>
      <c r="H3414" s="3"/>
    </row>
    <row r="3415" spans="1:8">
      <c r="A3415" s="270">
        <v>45104</v>
      </c>
      <c r="B3415" s="267"/>
      <c r="C3415" s="267" t="s">
        <v>150</v>
      </c>
      <c r="D3415" s="3" t="s">
        <v>2056</v>
      </c>
      <c r="E3415" s="1497">
        <v>150360</v>
      </c>
      <c r="F3415" s="1497"/>
      <c r="G3415" s="267" t="s">
        <v>108</v>
      </c>
      <c r="H3415" s="3"/>
    </row>
    <row r="3416" spans="1:8">
      <c r="A3416" s="270">
        <v>45104</v>
      </c>
      <c r="B3416" s="267"/>
      <c r="C3416" s="267" t="s">
        <v>55</v>
      </c>
      <c r="D3416" s="3" t="s">
        <v>2057</v>
      </c>
      <c r="E3416" s="1497">
        <v>6050</v>
      </c>
      <c r="F3416" s="1497"/>
      <c r="G3416" s="267" t="s">
        <v>287</v>
      </c>
      <c r="H3416" s="3"/>
    </row>
    <row r="3417" spans="1:8">
      <c r="A3417" s="13">
        <v>45104</v>
      </c>
      <c r="B3417" s="12"/>
      <c r="C3417" s="12" t="s">
        <v>86</v>
      </c>
      <c r="D3417" s="89" t="s">
        <v>104</v>
      </c>
      <c r="E3417" s="12">
        <v>4084.43</v>
      </c>
      <c r="F3417" s="12"/>
      <c r="G3417" s="12" t="s">
        <v>56</v>
      </c>
      <c r="H3417" s="113"/>
    </row>
    <row r="3418" spans="1:8">
      <c r="A3418" s="270">
        <v>45104</v>
      </c>
      <c r="B3418" s="267"/>
      <c r="C3418" s="267" t="s">
        <v>65</v>
      </c>
      <c r="D3418" s="3" t="s">
        <v>1221</v>
      </c>
      <c r="E3418" s="1497">
        <v>14900</v>
      </c>
      <c r="F3418" s="1497"/>
      <c r="G3418" s="267" t="s">
        <v>27</v>
      </c>
      <c r="H3418" s="3"/>
    </row>
    <row r="3419" spans="1:8">
      <c r="A3419" s="270">
        <v>45104</v>
      </c>
      <c r="B3419" s="267"/>
      <c r="C3419" s="267" t="s">
        <v>205</v>
      </c>
      <c r="D3419" s="3" t="s">
        <v>2058</v>
      </c>
      <c r="E3419" s="1497">
        <v>203437.3</v>
      </c>
      <c r="F3419" s="1497"/>
      <c r="G3419" s="267" t="s">
        <v>108</v>
      </c>
      <c r="H3419" s="3" t="s">
        <v>2055</v>
      </c>
    </row>
    <row r="3420" spans="1:8">
      <c r="A3420" s="270">
        <v>45104</v>
      </c>
      <c r="B3420" s="267"/>
      <c r="C3420" s="267" t="s">
        <v>92</v>
      </c>
      <c r="D3420" s="3" t="s">
        <v>2059</v>
      </c>
      <c r="E3420" s="1497"/>
      <c r="F3420" s="1497">
        <v>22350</v>
      </c>
      <c r="G3420" s="267" t="s">
        <v>56</v>
      </c>
      <c r="H3420" s="3"/>
    </row>
    <row r="3421" spans="1:8" ht="30">
      <c r="A3421" s="116">
        <v>45105</v>
      </c>
      <c r="B3421" s="51"/>
      <c r="C3421" s="51" t="s">
        <v>77</v>
      </c>
      <c r="D3421" s="52" t="s">
        <v>2055</v>
      </c>
      <c r="E3421" s="51"/>
      <c r="F3421" s="51">
        <v>2898360</v>
      </c>
      <c r="G3421" s="51" t="s">
        <v>1279</v>
      </c>
      <c r="H3421" s="48" t="s">
        <v>2060</v>
      </c>
    </row>
    <row r="3422" spans="1:8">
      <c r="A3422" s="270">
        <v>45105</v>
      </c>
      <c r="B3422" s="267"/>
      <c r="C3422" s="267" t="s">
        <v>92</v>
      </c>
      <c r="D3422" s="3" t="s">
        <v>1510</v>
      </c>
      <c r="E3422" s="1497"/>
      <c r="F3422" s="1497">
        <v>177500</v>
      </c>
      <c r="G3422" s="267" t="s">
        <v>56</v>
      </c>
      <c r="H3422" s="3" t="s">
        <v>1261</v>
      </c>
    </row>
    <row r="3423" spans="1:8">
      <c r="A3423" s="270">
        <v>45105</v>
      </c>
      <c r="B3423" s="267"/>
      <c r="C3423" s="267" t="s">
        <v>205</v>
      </c>
      <c r="D3423" s="15" t="s">
        <v>48</v>
      </c>
      <c r="E3423" s="1497">
        <v>2173770</v>
      </c>
      <c r="F3423" s="1497"/>
      <c r="G3423" s="267" t="s">
        <v>1279</v>
      </c>
      <c r="H3423" s="3" t="s">
        <v>2055</v>
      </c>
    </row>
    <row r="3424" spans="1:8">
      <c r="A3424" s="270">
        <v>45105</v>
      </c>
      <c r="B3424" s="267"/>
      <c r="C3424" s="267" t="s">
        <v>55</v>
      </c>
      <c r="D3424" s="3" t="s">
        <v>63</v>
      </c>
      <c r="E3424" s="1497">
        <v>48422</v>
      </c>
      <c r="F3424" s="1497"/>
      <c r="G3424" s="267" t="s">
        <v>27</v>
      </c>
      <c r="H3424" s="3" t="s">
        <v>2055</v>
      </c>
    </row>
    <row r="3425" spans="1:8">
      <c r="A3425" s="270">
        <v>45105</v>
      </c>
      <c r="B3425" s="267"/>
      <c r="C3425" s="267" t="s">
        <v>160</v>
      </c>
      <c r="D3425" s="3" t="s">
        <v>2061</v>
      </c>
      <c r="E3425" s="1497"/>
      <c r="F3425" s="1497">
        <v>10850</v>
      </c>
      <c r="G3425" s="267" t="s">
        <v>27</v>
      </c>
      <c r="H3425" s="3"/>
    </row>
    <row r="3426" spans="1:8">
      <c r="A3426" s="112">
        <v>45105</v>
      </c>
      <c r="B3426" s="70"/>
      <c r="C3426" s="70" t="s">
        <v>2032</v>
      </c>
      <c r="D3426" s="113" t="s">
        <v>2062</v>
      </c>
      <c r="E3426" s="70"/>
      <c r="F3426" s="70">
        <v>291900</v>
      </c>
      <c r="G3426" s="70" t="s">
        <v>56</v>
      </c>
      <c r="H3426" s="113"/>
    </row>
    <row r="3427" spans="1:8">
      <c r="A3427" s="270">
        <v>45105</v>
      </c>
      <c r="B3427" s="267"/>
      <c r="C3427" s="267" t="s">
        <v>205</v>
      </c>
      <c r="D3427" s="3" t="s">
        <v>2063</v>
      </c>
      <c r="E3427" s="1497">
        <v>291900</v>
      </c>
      <c r="F3427" s="1497"/>
      <c r="G3427" s="267" t="s">
        <v>1739</v>
      </c>
      <c r="H3427" s="3"/>
    </row>
    <row r="3428" spans="1:8">
      <c r="A3428" s="270">
        <v>45105</v>
      </c>
      <c r="B3428" s="267"/>
      <c r="C3428" s="267" t="s">
        <v>55</v>
      </c>
      <c r="D3428" s="15" t="s">
        <v>70</v>
      </c>
      <c r="E3428" s="1497">
        <v>1580</v>
      </c>
      <c r="F3428" s="1497"/>
      <c r="G3428" s="267" t="s">
        <v>56</v>
      </c>
      <c r="H3428" s="3"/>
    </row>
    <row r="3429" spans="1:8">
      <c r="A3429" s="270">
        <v>45105</v>
      </c>
      <c r="B3429" s="267"/>
      <c r="C3429" s="267" t="s">
        <v>92</v>
      </c>
      <c r="D3429" s="3" t="s">
        <v>299</v>
      </c>
      <c r="E3429" s="1497"/>
      <c r="F3429" s="1497">
        <v>5200</v>
      </c>
      <c r="G3429" s="267" t="s">
        <v>56</v>
      </c>
      <c r="H3429" s="3"/>
    </row>
    <row r="3430" spans="1:8">
      <c r="A3430" s="270">
        <v>45106</v>
      </c>
      <c r="B3430" s="267"/>
      <c r="C3430" s="267" t="s">
        <v>150</v>
      </c>
      <c r="D3430" s="3" t="s">
        <v>650</v>
      </c>
      <c r="E3430" s="1497">
        <v>5150</v>
      </c>
      <c r="F3430" s="1497"/>
      <c r="G3430" s="267" t="s">
        <v>27</v>
      </c>
      <c r="H3430" s="3"/>
    </row>
    <row r="3431" spans="1:8">
      <c r="A3431" s="270">
        <v>45106</v>
      </c>
      <c r="B3431" s="267"/>
      <c r="C3431" s="267" t="s">
        <v>150</v>
      </c>
      <c r="D3431" s="3" t="s">
        <v>103</v>
      </c>
      <c r="E3431" s="1497">
        <v>1821.7</v>
      </c>
      <c r="F3431" s="1497"/>
      <c r="G3431" s="267" t="s">
        <v>27</v>
      </c>
      <c r="H3431" s="3"/>
    </row>
    <row r="3432" spans="1:8">
      <c r="A3432" s="270">
        <v>45106</v>
      </c>
      <c r="B3432" s="267"/>
      <c r="C3432" s="267" t="s">
        <v>79</v>
      </c>
      <c r="D3432" s="3" t="s">
        <v>653</v>
      </c>
      <c r="E3432" s="1497">
        <v>118070.39999999999</v>
      </c>
      <c r="F3432" s="1497"/>
      <c r="G3432" s="267" t="s">
        <v>27</v>
      </c>
      <c r="H3432" s="3"/>
    </row>
    <row r="3433" spans="1:8">
      <c r="A3433" s="270">
        <v>45106</v>
      </c>
      <c r="B3433" s="267"/>
      <c r="C3433" s="267" t="s">
        <v>55</v>
      </c>
      <c r="D3433" s="3" t="s">
        <v>1951</v>
      </c>
      <c r="E3433" s="1497">
        <v>3000</v>
      </c>
      <c r="F3433" s="1497"/>
      <c r="G3433" s="267" t="s">
        <v>56</v>
      </c>
      <c r="H3433" s="3"/>
    </row>
    <row r="3434" spans="1:8">
      <c r="A3434" s="270">
        <v>45106</v>
      </c>
      <c r="B3434" s="267"/>
      <c r="C3434" s="267" t="s">
        <v>92</v>
      </c>
      <c r="D3434" s="3" t="s">
        <v>1738</v>
      </c>
      <c r="E3434" s="1497"/>
      <c r="F3434" s="1497">
        <v>5800</v>
      </c>
      <c r="G3434" s="267" t="s">
        <v>27</v>
      </c>
      <c r="H3434" s="3"/>
    </row>
    <row r="3435" spans="1:8">
      <c r="A3435" s="270">
        <v>45106</v>
      </c>
      <c r="B3435" s="267"/>
      <c r="C3435" s="267" t="s">
        <v>62</v>
      </c>
      <c r="D3435" s="3" t="s">
        <v>38</v>
      </c>
      <c r="E3435" s="1497">
        <v>80</v>
      </c>
      <c r="F3435" s="1497"/>
      <c r="G3435" s="267" t="s">
        <v>56</v>
      </c>
      <c r="H3435" s="3"/>
    </row>
    <row r="3436" spans="1:8">
      <c r="A3436" s="270">
        <v>45106</v>
      </c>
      <c r="B3436" s="267"/>
      <c r="C3436" s="267" t="s">
        <v>62</v>
      </c>
      <c r="D3436" s="3" t="s">
        <v>38</v>
      </c>
      <c r="E3436" s="1497">
        <v>160</v>
      </c>
      <c r="F3436" s="1497"/>
      <c r="G3436" s="267" t="s">
        <v>56</v>
      </c>
      <c r="H3436" s="3"/>
    </row>
    <row r="3437" spans="1:8">
      <c r="A3437" s="270">
        <v>45107</v>
      </c>
      <c r="B3437" s="267"/>
      <c r="C3437" s="267" t="s">
        <v>79</v>
      </c>
      <c r="D3437" s="3" t="s">
        <v>79</v>
      </c>
      <c r="E3437" s="1497">
        <v>5000</v>
      </c>
      <c r="F3437" s="1497"/>
      <c r="G3437" s="267" t="s">
        <v>56</v>
      </c>
      <c r="H3437" s="3"/>
    </row>
    <row r="3438" spans="1:8">
      <c r="A3438" s="270">
        <v>45107</v>
      </c>
      <c r="B3438" s="267"/>
      <c r="C3438" s="267" t="s">
        <v>88</v>
      </c>
      <c r="D3438" s="3" t="s">
        <v>193</v>
      </c>
      <c r="E3438" s="1497">
        <v>30000</v>
      </c>
      <c r="F3438" s="1497"/>
      <c r="G3438" s="267" t="s">
        <v>56</v>
      </c>
      <c r="H3438" s="3"/>
    </row>
    <row r="3439" spans="1:8">
      <c r="A3439" s="270">
        <v>45107</v>
      </c>
      <c r="B3439" s="267"/>
      <c r="C3439" s="267" t="s">
        <v>88</v>
      </c>
      <c r="D3439" s="3" t="s">
        <v>219</v>
      </c>
      <c r="E3439" s="1497">
        <v>55500</v>
      </c>
      <c r="F3439" s="1497"/>
      <c r="G3439" s="267" t="s">
        <v>56</v>
      </c>
      <c r="H3439" s="3"/>
    </row>
    <row r="3440" spans="1:8">
      <c r="A3440" s="270">
        <v>45107</v>
      </c>
      <c r="B3440" s="267"/>
      <c r="C3440" s="267" t="s">
        <v>88</v>
      </c>
      <c r="D3440" s="15" t="s">
        <v>208</v>
      </c>
      <c r="E3440" s="1497">
        <v>37500</v>
      </c>
      <c r="F3440" s="1497"/>
      <c r="G3440" s="267" t="s">
        <v>56</v>
      </c>
      <c r="H3440" s="3"/>
    </row>
    <row r="3441" spans="1:8" ht="20.25" customHeight="1" thickBot="1">
      <c r="A3441" s="270">
        <v>45107</v>
      </c>
      <c r="B3441" s="267"/>
      <c r="C3441" s="267" t="s">
        <v>88</v>
      </c>
      <c r="D3441" s="15" t="s">
        <v>144</v>
      </c>
      <c r="E3441" s="1497">
        <v>79500</v>
      </c>
      <c r="F3441" s="1497"/>
      <c r="G3441" s="267" t="s">
        <v>56</v>
      </c>
      <c r="H3441" s="3"/>
    </row>
    <row r="3442" spans="1:8">
      <c r="H3442" s="149" t="s">
        <v>2070</v>
      </c>
    </row>
    <row r="3443" spans="1:8">
      <c r="H3443" s="137" t="s">
        <v>2066</v>
      </c>
    </row>
    <row r="3444" spans="1:8">
      <c r="H3444" s="137" t="s">
        <v>2067</v>
      </c>
    </row>
    <row r="3445" spans="1:8">
      <c r="H3445" s="138" t="s">
        <v>2069</v>
      </c>
    </row>
    <row r="3446" spans="1:8">
      <c r="H3446" s="138" t="s">
        <v>2065</v>
      </c>
    </row>
    <row r="3447" spans="1:8">
      <c r="H3447" s="138" t="s">
        <v>2068</v>
      </c>
    </row>
    <row r="3448" spans="1:8">
      <c r="H3448" s="138" t="s">
        <v>1937</v>
      </c>
    </row>
    <row r="3449" spans="1:8">
      <c r="H3449" s="138" t="s">
        <v>2071</v>
      </c>
    </row>
    <row r="3450" spans="1:8">
      <c r="H3450" s="139" t="s">
        <v>1215</v>
      </c>
    </row>
    <row r="3451" spans="1:8">
      <c r="A3451" s="270">
        <v>45110</v>
      </c>
      <c r="B3451" s="267"/>
      <c r="C3451" s="267" t="s">
        <v>2073</v>
      </c>
      <c r="D3451" s="3" t="s">
        <v>2072</v>
      </c>
      <c r="E3451" s="1497"/>
      <c r="F3451" s="1497">
        <v>12200</v>
      </c>
      <c r="G3451" s="267" t="s">
        <v>27</v>
      </c>
      <c r="H3451" s="3"/>
    </row>
    <row r="3452" spans="1:8">
      <c r="A3452" s="270">
        <v>45110</v>
      </c>
      <c r="B3452" s="267"/>
      <c r="C3452" s="267" t="s">
        <v>55</v>
      </c>
      <c r="D3452" s="3" t="s">
        <v>2074</v>
      </c>
      <c r="E3452" s="1497">
        <v>800</v>
      </c>
      <c r="F3452" s="1497"/>
      <c r="G3452" s="267" t="s">
        <v>56</v>
      </c>
      <c r="H3452" s="3"/>
    </row>
    <row r="3453" spans="1:8">
      <c r="A3453" s="270">
        <v>45110</v>
      </c>
      <c r="B3453" s="267"/>
      <c r="C3453" s="267" t="s">
        <v>77</v>
      </c>
      <c r="D3453" s="3" t="s">
        <v>1913</v>
      </c>
      <c r="E3453" s="1497"/>
      <c r="F3453" s="1497">
        <v>93000</v>
      </c>
      <c r="G3453" s="267" t="s">
        <v>56</v>
      </c>
      <c r="H3453" s="3"/>
    </row>
    <row r="3454" spans="1:8">
      <c r="A3454" s="270">
        <v>45110</v>
      </c>
      <c r="B3454" s="267"/>
      <c r="C3454" s="267" t="s">
        <v>55</v>
      </c>
      <c r="D3454" s="3" t="s">
        <v>109</v>
      </c>
      <c r="E3454" s="1497">
        <v>1100</v>
      </c>
      <c r="F3454" s="1497"/>
      <c r="G3454" s="267" t="s">
        <v>56</v>
      </c>
      <c r="H3454" s="3"/>
    </row>
    <row r="3455" spans="1:8">
      <c r="A3455" s="270">
        <v>45110</v>
      </c>
      <c r="B3455" s="267"/>
      <c r="C3455" s="267" t="s">
        <v>94</v>
      </c>
      <c r="D3455" s="3" t="s">
        <v>245</v>
      </c>
      <c r="E3455" s="1497">
        <v>3450</v>
      </c>
      <c r="F3455" s="1497"/>
      <c r="G3455" s="267" t="s">
        <v>56</v>
      </c>
      <c r="H3455" s="3"/>
    </row>
    <row r="3456" spans="1:8">
      <c r="A3456" s="270">
        <v>45111</v>
      </c>
      <c r="B3456" s="267"/>
      <c r="C3456" s="267" t="s">
        <v>92</v>
      </c>
      <c r="D3456" s="3" t="s">
        <v>2077</v>
      </c>
      <c r="E3456" s="1497"/>
      <c r="F3456" s="1497">
        <v>6890</v>
      </c>
      <c r="G3456" s="267" t="s">
        <v>27</v>
      </c>
      <c r="H3456" s="3"/>
    </row>
    <row r="3457" spans="1:8">
      <c r="A3457" s="270">
        <v>45111</v>
      </c>
      <c r="B3457" s="267"/>
      <c r="C3457" s="267" t="s">
        <v>79</v>
      </c>
      <c r="D3457" s="3" t="s">
        <v>151</v>
      </c>
      <c r="E3457" s="1497">
        <v>2950</v>
      </c>
      <c r="F3457" s="1497"/>
      <c r="G3457" s="267" t="s">
        <v>56</v>
      </c>
      <c r="H3457" s="3"/>
    </row>
    <row r="3458" spans="1:8">
      <c r="A3458" s="270">
        <v>45111</v>
      </c>
      <c r="B3458" s="267"/>
      <c r="C3458" s="267" t="s">
        <v>92</v>
      </c>
      <c r="D3458" s="3" t="s">
        <v>2007</v>
      </c>
      <c r="E3458" s="1497">
        <v>7390</v>
      </c>
      <c r="F3458" s="1497"/>
      <c r="G3458" s="267" t="s">
        <v>56</v>
      </c>
      <c r="H3458" s="3"/>
    </row>
    <row r="3459" spans="1:8">
      <c r="A3459" s="270">
        <v>45111</v>
      </c>
      <c r="B3459" s="267"/>
      <c r="C3459" s="267" t="s">
        <v>92</v>
      </c>
      <c r="D3459" s="3" t="s">
        <v>404</v>
      </c>
      <c r="E3459" s="1497">
        <v>6200</v>
      </c>
      <c r="F3459" s="1497"/>
      <c r="G3459" s="267" t="s">
        <v>56</v>
      </c>
      <c r="H3459" s="3"/>
    </row>
    <row r="3460" spans="1:8">
      <c r="A3460" s="270">
        <v>45111</v>
      </c>
      <c r="B3460" s="267"/>
      <c r="C3460" s="267" t="s">
        <v>55</v>
      </c>
      <c r="D3460" s="3" t="s">
        <v>2075</v>
      </c>
      <c r="E3460" s="1497">
        <v>655.38</v>
      </c>
      <c r="F3460" s="1497"/>
      <c r="G3460" s="267" t="s">
        <v>56</v>
      </c>
      <c r="H3460" s="3"/>
    </row>
    <row r="3461" spans="1:8">
      <c r="A3461" s="270">
        <v>45111</v>
      </c>
      <c r="B3461" s="267"/>
      <c r="C3461" s="267" t="s">
        <v>55</v>
      </c>
      <c r="D3461" s="3" t="s">
        <v>38</v>
      </c>
      <c r="E3461" s="1497">
        <v>520</v>
      </c>
      <c r="F3461" s="1497"/>
      <c r="G3461" s="267" t="s">
        <v>56</v>
      </c>
      <c r="H3461" s="3"/>
    </row>
    <row r="3462" spans="1:8">
      <c r="A3462" s="270">
        <v>45112</v>
      </c>
      <c r="B3462" s="267"/>
      <c r="C3462" s="267" t="s">
        <v>92</v>
      </c>
      <c r="D3462" s="3" t="s">
        <v>2015</v>
      </c>
      <c r="E3462" s="1497"/>
      <c r="F3462" s="1497">
        <v>17000</v>
      </c>
      <c r="G3462" s="267" t="s">
        <v>56</v>
      </c>
      <c r="H3462" s="3"/>
    </row>
    <row r="3463" spans="1:8">
      <c r="A3463" s="270">
        <v>45112</v>
      </c>
      <c r="B3463" s="267"/>
      <c r="C3463" s="267" t="s">
        <v>94</v>
      </c>
      <c r="D3463" s="3" t="s">
        <v>2078</v>
      </c>
      <c r="E3463" s="1497">
        <v>15095.94</v>
      </c>
      <c r="F3463" s="1497"/>
      <c r="G3463" s="267" t="s">
        <v>2079</v>
      </c>
      <c r="H3463" s="3"/>
    </row>
    <row r="3464" spans="1:8">
      <c r="A3464" s="270">
        <v>45112</v>
      </c>
      <c r="B3464" s="267"/>
      <c r="C3464" s="267" t="s">
        <v>176</v>
      </c>
      <c r="D3464" s="3" t="s">
        <v>2080</v>
      </c>
      <c r="E3464" s="1497">
        <v>2519.63</v>
      </c>
      <c r="F3464" s="1497"/>
      <c r="G3464" s="267" t="s">
        <v>27</v>
      </c>
      <c r="H3464" s="3"/>
    </row>
    <row r="3465" spans="1:8">
      <c r="A3465" s="270">
        <v>45112</v>
      </c>
      <c r="B3465" s="267"/>
      <c r="C3465" s="267" t="s">
        <v>205</v>
      </c>
      <c r="D3465" s="3" t="s">
        <v>38</v>
      </c>
      <c r="E3465" s="1497">
        <v>650</v>
      </c>
      <c r="F3465" s="1497"/>
      <c r="G3465" s="267" t="s">
        <v>56</v>
      </c>
      <c r="H3465" s="3"/>
    </row>
    <row r="3466" spans="1:8">
      <c r="A3466" s="112">
        <v>45113</v>
      </c>
      <c r="B3466" s="70"/>
      <c r="C3466" s="70"/>
      <c r="D3466" s="113" t="s">
        <v>86</v>
      </c>
      <c r="E3466" s="70">
        <v>8130</v>
      </c>
      <c r="F3466" s="70"/>
      <c r="G3466" s="70" t="s">
        <v>56</v>
      </c>
      <c r="H3466" s="113" t="s">
        <v>1616</v>
      </c>
    </row>
    <row r="3467" spans="1:8">
      <c r="A3467" s="270">
        <v>45113</v>
      </c>
      <c r="B3467" s="267"/>
      <c r="C3467" s="267" t="s">
        <v>92</v>
      </c>
      <c r="D3467" s="3" t="s">
        <v>1909</v>
      </c>
      <c r="E3467" s="1497"/>
      <c r="F3467" s="1497">
        <v>17600</v>
      </c>
      <c r="G3467" s="267" t="s">
        <v>56</v>
      </c>
      <c r="H3467" s="3"/>
    </row>
    <row r="3468" spans="1:8">
      <c r="A3468" s="270">
        <v>45113</v>
      </c>
      <c r="B3468" s="267"/>
      <c r="C3468" s="267" t="s">
        <v>199</v>
      </c>
      <c r="D3468" s="3" t="s">
        <v>2081</v>
      </c>
      <c r="E3468" s="1497"/>
      <c r="F3468" s="1497">
        <v>197000</v>
      </c>
      <c r="G3468" s="267" t="s">
        <v>56</v>
      </c>
      <c r="H3468" s="3"/>
    </row>
    <row r="3469" spans="1:8">
      <c r="A3469" s="270">
        <v>45113</v>
      </c>
      <c r="B3469" s="267"/>
      <c r="C3469" s="267" t="s">
        <v>160</v>
      </c>
      <c r="D3469" s="3" t="s">
        <v>2082</v>
      </c>
      <c r="E3469" s="1497"/>
      <c r="F3469" s="1497">
        <v>17550</v>
      </c>
      <c r="G3469" s="267" t="s">
        <v>56</v>
      </c>
      <c r="H3469" s="3" t="s">
        <v>2083</v>
      </c>
    </row>
    <row r="3470" spans="1:8">
      <c r="A3470" s="112">
        <v>45113</v>
      </c>
      <c r="B3470" s="70"/>
      <c r="C3470" s="70"/>
      <c r="D3470" s="113" t="s">
        <v>86</v>
      </c>
      <c r="E3470" s="70">
        <v>8150</v>
      </c>
      <c r="F3470" s="70"/>
      <c r="G3470" s="70" t="s">
        <v>56</v>
      </c>
      <c r="H3470" s="113" t="s">
        <v>1616</v>
      </c>
    </row>
    <row r="3471" spans="1:8">
      <c r="A3471" s="270">
        <v>45114</v>
      </c>
      <c r="B3471" s="267"/>
      <c r="C3471" s="267" t="s">
        <v>160</v>
      </c>
      <c r="D3471" s="3" t="s">
        <v>2085</v>
      </c>
      <c r="E3471" s="1497"/>
      <c r="F3471" s="1497">
        <v>14000</v>
      </c>
      <c r="G3471" s="267" t="s">
        <v>56</v>
      </c>
      <c r="H3471" s="71">
        <v>2500</v>
      </c>
    </row>
    <row r="3472" spans="1:8">
      <c r="A3472" s="270">
        <v>45114</v>
      </c>
      <c r="B3472" s="267"/>
      <c r="C3472" s="267" t="s">
        <v>92</v>
      </c>
      <c r="D3472" s="3" t="s">
        <v>582</v>
      </c>
      <c r="E3472" s="1497"/>
      <c r="F3472" s="1497">
        <v>54060.66</v>
      </c>
      <c r="G3472" s="267" t="s">
        <v>27</v>
      </c>
      <c r="H3472" s="3"/>
    </row>
    <row r="3473" spans="1:8">
      <c r="A3473" s="270">
        <v>45114</v>
      </c>
      <c r="B3473" s="267"/>
      <c r="C3473" s="267" t="s">
        <v>92</v>
      </c>
      <c r="D3473" s="15" t="s">
        <v>416</v>
      </c>
      <c r="E3473" s="1497"/>
      <c r="F3473" s="1497">
        <v>108100</v>
      </c>
      <c r="G3473" s="267" t="s">
        <v>27</v>
      </c>
      <c r="H3473" s="3"/>
    </row>
    <row r="3474" spans="1:8">
      <c r="A3474" s="270">
        <v>45114</v>
      </c>
      <c r="B3474" s="267"/>
      <c r="C3474" s="267" t="s">
        <v>92</v>
      </c>
      <c r="D3474" s="3" t="s">
        <v>1889</v>
      </c>
      <c r="E3474" s="1497"/>
      <c r="F3474" s="1497">
        <v>54750</v>
      </c>
      <c r="G3474" s="267" t="s">
        <v>1279</v>
      </c>
      <c r="H3474" s="3" t="s">
        <v>2086</v>
      </c>
    </row>
    <row r="3475" spans="1:8">
      <c r="A3475" s="270">
        <v>45114</v>
      </c>
      <c r="B3475" s="267"/>
      <c r="C3475" s="267" t="s">
        <v>79</v>
      </c>
      <c r="D3475" s="3" t="s">
        <v>79</v>
      </c>
      <c r="E3475" s="1497">
        <v>5000</v>
      </c>
      <c r="F3475" s="1497"/>
      <c r="G3475" s="267" t="s">
        <v>56</v>
      </c>
      <c r="H3475" s="3"/>
    </row>
    <row r="3476" spans="1:8">
      <c r="A3476" s="270">
        <v>45114</v>
      </c>
      <c r="B3476" s="267"/>
      <c r="C3476" s="267" t="s">
        <v>55</v>
      </c>
      <c r="D3476" s="3" t="s">
        <v>2087</v>
      </c>
      <c r="E3476" s="1497">
        <v>1000</v>
      </c>
      <c r="F3476" s="1497"/>
      <c r="G3476" s="267" t="s">
        <v>1739</v>
      </c>
      <c r="H3476" s="3"/>
    </row>
    <row r="3477" spans="1:8">
      <c r="A3477" s="270">
        <v>45114</v>
      </c>
      <c r="B3477" s="267"/>
      <c r="C3477" s="267" t="s">
        <v>94</v>
      </c>
      <c r="D3477" s="3" t="s">
        <v>894</v>
      </c>
      <c r="E3477" s="1497">
        <v>11780</v>
      </c>
      <c r="F3477" s="1497"/>
      <c r="G3477" s="267" t="s">
        <v>27</v>
      </c>
      <c r="H3477" s="3"/>
    </row>
    <row r="3478" spans="1:8">
      <c r="A3478" s="270">
        <v>45114</v>
      </c>
      <c r="B3478" s="267"/>
      <c r="C3478" s="267" t="s">
        <v>205</v>
      </c>
      <c r="D3478" s="15" t="s">
        <v>207</v>
      </c>
      <c r="E3478" s="1497">
        <v>33800</v>
      </c>
      <c r="F3478" s="1497"/>
      <c r="G3478" s="267" t="s">
        <v>27</v>
      </c>
      <c r="H3478" s="3"/>
    </row>
    <row r="3479" spans="1:8">
      <c r="A3479" s="270">
        <v>45114</v>
      </c>
      <c r="B3479" s="267"/>
      <c r="C3479" s="267" t="s">
        <v>94</v>
      </c>
      <c r="D3479" s="15" t="s">
        <v>2088</v>
      </c>
      <c r="E3479" s="1497">
        <v>3407.75</v>
      </c>
      <c r="F3479" s="1497"/>
      <c r="G3479" s="267" t="s">
        <v>27</v>
      </c>
      <c r="H3479" s="3"/>
    </row>
    <row r="3480" spans="1:8">
      <c r="A3480" s="270">
        <v>45114</v>
      </c>
      <c r="B3480" s="267"/>
      <c r="C3480" s="267" t="s">
        <v>88</v>
      </c>
      <c r="D3480" s="3" t="s">
        <v>219</v>
      </c>
      <c r="E3480" s="1497">
        <v>64750</v>
      </c>
      <c r="F3480" s="1497"/>
      <c r="G3480" s="267" t="s">
        <v>56</v>
      </c>
      <c r="H3480" s="3"/>
    </row>
    <row r="3481" spans="1:8">
      <c r="A3481" s="270">
        <v>45114</v>
      </c>
      <c r="B3481" s="267"/>
      <c r="C3481" s="267" t="s">
        <v>88</v>
      </c>
      <c r="D3481" s="15" t="s">
        <v>208</v>
      </c>
      <c r="E3481" s="1497">
        <v>44000</v>
      </c>
      <c r="F3481" s="1497"/>
      <c r="G3481" s="267" t="s">
        <v>56</v>
      </c>
      <c r="H3481" s="3"/>
    </row>
    <row r="3482" spans="1:8">
      <c r="A3482" s="270">
        <v>45114</v>
      </c>
      <c r="B3482" s="267"/>
      <c r="C3482" s="267" t="s">
        <v>88</v>
      </c>
      <c r="D3482" s="15" t="s">
        <v>144</v>
      </c>
      <c r="E3482" s="1497">
        <v>25000</v>
      </c>
      <c r="F3482" s="1497"/>
      <c r="G3482" s="267" t="s">
        <v>27</v>
      </c>
      <c r="H3482" s="3"/>
    </row>
    <row r="3483" spans="1:8">
      <c r="A3483" s="270">
        <v>45114</v>
      </c>
      <c r="B3483" s="267"/>
      <c r="C3483" s="267" t="s">
        <v>88</v>
      </c>
      <c r="D3483" s="15" t="s">
        <v>144</v>
      </c>
      <c r="E3483" s="1497">
        <v>1500</v>
      </c>
      <c r="F3483" s="1497"/>
      <c r="G3483" s="267" t="s">
        <v>27</v>
      </c>
      <c r="H3483" s="3"/>
    </row>
    <row r="3484" spans="1:8">
      <c r="A3484" s="270">
        <v>45114</v>
      </c>
      <c r="B3484" s="267"/>
      <c r="C3484" s="267" t="s">
        <v>88</v>
      </c>
      <c r="D3484" s="15" t="s">
        <v>144</v>
      </c>
      <c r="E3484" s="1497">
        <v>71500</v>
      </c>
      <c r="F3484" s="1497"/>
      <c r="G3484" s="267" t="s">
        <v>56</v>
      </c>
      <c r="H3484" s="3"/>
    </row>
    <row r="3485" spans="1:8">
      <c r="A3485" s="270">
        <v>45114</v>
      </c>
      <c r="B3485" s="267"/>
      <c r="C3485" s="267" t="s">
        <v>88</v>
      </c>
      <c r="D3485" s="3" t="s">
        <v>193</v>
      </c>
      <c r="E3485" s="1497">
        <v>30000</v>
      </c>
      <c r="F3485" s="1497"/>
      <c r="G3485" s="267" t="s">
        <v>56</v>
      </c>
      <c r="H3485" s="3"/>
    </row>
    <row r="3486" spans="1:8">
      <c r="A3486" s="270">
        <v>45114</v>
      </c>
      <c r="B3486" s="267"/>
      <c r="C3486" s="267" t="s">
        <v>176</v>
      </c>
      <c r="D3486" s="3" t="s">
        <v>1923</v>
      </c>
      <c r="E3486" s="1497">
        <v>35300</v>
      </c>
      <c r="F3486" s="1497"/>
      <c r="G3486" s="267" t="s">
        <v>56</v>
      </c>
      <c r="H3486" s="3"/>
    </row>
    <row r="3487" spans="1:8">
      <c r="A3487" s="270">
        <v>45114</v>
      </c>
      <c r="B3487" s="267"/>
      <c r="C3487" s="267" t="s">
        <v>176</v>
      </c>
      <c r="D3487" s="3" t="s">
        <v>1923</v>
      </c>
      <c r="E3487" s="1497">
        <v>54750</v>
      </c>
      <c r="F3487" s="1497"/>
      <c r="G3487" s="267" t="s">
        <v>1279</v>
      </c>
      <c r="H3487" s="3"/>
    </row>
    <row r="3488" spans="1:8">
      <c r="A3488" s="270">
        <v>45114</v>
      </c>
      <c r="B3488" s="267"/>
      <c r="C3488" s="267" t="s">
        <v>205</v>
      </c>
      <c r="D3488" s="15" t="s">
        <v>1845</v>
      </c>
      <c r="E3488" s="1497">
        <v>11000</v>
      </c>
      <c r="F3488" s="1497"/>
      <c r="G3488" s="267" t="s">
        <v>56</v>
      </c>
      <c r="H3488" s="3"/>
    </row>
    <row r="3489" spans="1:8">
      <c r="A3489" s="270">
        <v>45114</v>
      </c>
      <c r="B3489" s="267"/>
      <c r="C3489" s="267" t="s">
        <v>2094</v>
      </c>
      <c r="D3489" s="3" t="s">
        <v>232</v>
      </c>
      <c r="E3489" s="1497">
        <v>23500</v>
      </c>
      <c r="F3489" s="1497"/>
      <c r="G3489" s="267" t="s">
        <v>27</v>
      </c>
      <c r="H3489" s="3"/>
    </row>
    <row r="3490" spans="1:8">
      <c r="H3490" s="128" t="s">
        <v>2089</v>
      </c>
    </row>
    <row r="3491" spans="1:8">
      <c r="H3491" s="132" t="s">
        <v>2090</v>
      </c>
    </row>
    <row r="3492" spans="1:8">
      <c r="H3492" s="132" t="s">
        <v>2093</v>
      </c>
    </row>
    <row r="3493" spans="1:8">
      <c r="H3493" s="117" t="s">
        <v>2091</v>
      </c>
    </row>
    <row r="3494" spans="1:8">
      <c r="H3494" s="117" t="s">
        <v>2065</v>
      </c>
    </row>
    <row r="3495" spans="1:8">
      <c r="H3495" s="117" t="s">
        <v>2096</v>
      </c>
    </row>
    <row r="3496" spans="1:8">
      <c r="H3496" s="117" t="s">
        <v>1937</v>
      </c>
    </row>
    <row r="3497" spans="1:8">
      <c r="H3497" s="117" t="s">
        <v>2092</v>
      </c>
    </row>
    <row r="3498" spans="1:8">
      <c r="H3498" s="117" t="s">
        <v>1215</v>
      </c>
    </row>
    <row r="3499" spans="1:8">
      <c r="H3499" s="117" t="s">
        <v>2097</v>
      </c>
    </row>
    <row r="3500" spans="1:8">
      <c r="H3500" s="117" t="s">
        <v>2095</v>
      </c>
    </row>
    <row r="3501" spans="1:8">
      <c r="H3501" s="191" t="s">
        <v>2098</v>
      </c>
    </row>
    <row r="3502" spans="1:8">
      <c r="A3502" s="270">
        <v>45117</v>
      </c>
      <c r="B3502" s="267"/>
      <c r="C3502" s="267" t="s">
        <v>55</v>
      </c>
      <c r="D3502" s="3" t="s">
        <v>2099</v>
      </c>
      <c r="E3502" s="1497">
        <v>12500</v>
      </c>
      <c r="F3502" s="1497"/>
      <c r="G3502" s="267" t="s">
        <v>27</v>
      </c>
      <c r="H3502" s="3"/>
    </row>
    <row r="3503" spans="1:8">
      <c r="A3503" s="270">
        <v>45117</v>
      </c>
      <c r="B3503" s="267"/>
      <c r="C3503" s="267" t="s">
        <v>79</v>
      </c>
      <c r="D3503" s="3" t="s">
        <v>151</v>
      </c>
      <c r="E3503" s="1497">
        <v>2210</v>
      </c>
      <c r="F3503" s="1497"/>
      <c r="G3503" s="267" t="s">
        <v>27</v>
      </c>
      <c r="H3503" s="3"/>
    </row>
    <row r="3504" spans="1:8">
      <c r="A3504" s="270">
        <v>45117</v>
      </c>
      <c r="B3504" s="267"/>
      <c r="C3504" s="267" t="s">
        <v>79</v>
      </c>
      <c r="D3504" s="3" t="s">
        <v>151</v>
      </c>
      <c r="E3504" s="1497">
        <v>12850</v>
      </c>
      <c r="F3504" s="1497"/>
      <c r="G3504" s="267" t="s">
        <v>27</v>
      </c>
      <c r="H3504" s="3"/>
    </row>
    <row r="3505" spans="1:8">
      <c r="A3505" s="270">
        <v>45117</v>
      </c>
      <c r="B3505" s="267"/>
      <c r="C3505" s="267" t="s">
        <v>92</v>
      </c>
      <c r="D3505" s="3" t="s">
        <v>2100</v>
      </c>
      <c r="E3505" s="1497"/>
      <c r="F3505" s="1497">
        <v>57420</v>
      </c>
      <c r="G3505" s="267" t="s">
        <v>56</v>
      </c>
      <c r="H3505" s="3"/>
    </row>
    <row r="3506" spans="1:8">
      <c r="A3506" s="270">
        <v>45117</v>
      </c>
      <c r="B3506" s="267"/>
      <c r="C3506" s="267" t="s">
        <v>77</v>
      </c>
      <c r="D3506" s="3" t="s">
        <v>1736</v>
      </c>
      <c r="E3506" s="1497"/>
      <c r="F3506" s="1497">
        <v>634940</v>
      </c>
      <c r="G3506" s="267" t="s">
        <v>27</v>
      </c>
      <c r="H3506" s="3"/>
    </row>
    <row r="3507" spans="1:8">
      <c r="A3507" s="270">
        <v>45117</v>
      </c>
      <c r="B3507" s="267"/>
      <c r="C3507" s="267" t="s">
        <v>55</v>
      </c>
      <c r="D3507" s="3" t="s">
        <v>478</v>
      </c>
      <c r="E3507" s="1497">
        <v>1770</v>
      </c>
      <c r="F3507" s="1497"/>
      <c r="G3507" s="267" t="s">
        <v>56</v>
      </c>
      <c r="H3507" s="3"/>
    </row>
    <row r="3508" spans="1:8">
      <c r="A3508" s="270">
        <v>45117</v>
      </c>
      <c r="B3508" s="267"/>
      <c r="C3508" s="267" t="s">
        <v>55</v>
      </c>
      <c r="D3508" s="3" t="s">
        <v>562</v>
      </c>
      <c r="E3508" s="1497">
        <v>636</v>
      </c>
      <c r="F3508" s="1497"/>
      <c r="G3508" s="267" t="s">
        <v>56</v>
      </c>
      <c r="H3508" s="3"/>
    </row>
    <row r="3509" spans="1:8">
      <c r="A3509" s="270">
        <v>45117</v>
      </c>
      <c r="B3509" s="267"/>
      <c r="C3509" s="267" t="s">
        <v>205</v>
      </c>
      <c r="D3509" s="3" t="s">
        <v>64</v>
      </c>
      <c r="E3509" s="1497">
        <v>2816.12</v>
      </c>
      <c r="F3509" s="1497"/>
      <c r="G3509" s="267" t="s">
        <v>56</v>
      </c>
      <c r="H3509" s="3"/>
    </row>
    <row r="3510" spans="1:8">
      <c r="A3510" s="270">
        <v>45118</v>
      </c>
      <c r="B3510" s="267"/>
      <c r="C3510" s="267" t="s">
        <v>205</v>
      </c>
      <c r="D3510" s="3" t="s">
        <v>2101</v>
      </c>
      <c r="E3510" s="1497">
        <v>452721.5</v>
      </c>
      <c r="F3510" s="1497"/>
      <c r="G3510" s="267" t="s">
        <v>108</v>
      </c>
      <c r="H3510" s="3"/>
    </row>
    <row r="3511" spans="1:8">
      <c r="A3511" s="270">
        <v>45118</v>
      </c>
      <c r="B3511" s="267"/>
      <c r="C3511" s="267" t="s">
        <v>205</v>
      </c>
      <c r="D3511" s="15" t="s">
        <v>478</v>
      </c>
      <c r="E3511" s="1497">
        <v>4200</v>
      </c>
      <c r="F3511" s="1497"/>
      <c r="G3511" s="267" t="s">
        <v>27</v>
      </c>
      <c r="H3511" s="3"/>
    </row>
    <row r="3512" spans="1:8">
      <c r="A3512" s="270">
        <v>45118</v>
      </c>
      <c r="B3512" s="267"/>
      <c r="C3512" s="267" t="s">
        <v>205</v>
      </c>
      <c r="D3512" s="3" t="s">
        <v>1852</v>
      </c>
      <c r="E3512" s="1497">
        <v>7000</v>
      </c>
      <c r="F3512" s="1497"/>
      <c r="G3512" s="267" t="s">
        <v>56</v>
      </c>
      <c r="H3512" s="3" t="s">
        <v>1907</v>
      </c>
    </row>
    <row r="3513" spans="1:8">
      <c r="A3513" s="270">
        <v>45118</v>
      </c>
      <c r="B3513" s="267"/>
      <c r="C3513" s="267" t="s">
        <v>92</v>
      </c>
      <c r="D3513" s="3" t="s">
        <v>2102</v>
      </c>
      <c r="E3513" s="1497"/>
      <c r="F3513" s="1497">
        <v>45780</v>
      </c>
      <c r="G3513" s="267" t="s">
        <v>27</v>
      </c>
      <c r="H3513" s="3"/>
    </row>
    <row r="3514" spans="1:8">
      <c r="A3514" s="270">
        <v>45118</v>
      </c>
      <c r="B3514" s="267"/>
      <c r="C3514" s="267" t="s">
        <v>205</v>
      </c>
      <c r="D3514" s="3" t="s">
        <v>1494</v>
      </c>
      <c r="E3514" s="1497">
        <v>35000</v>
      </c>
      <c r="F3514" s="1497"/>
      <c r="G3514" s="267" t="s">
        <v>27</v>
      </c>
      <c r="H3514" s="3"/>
    </row>
    <row r="3515" spans="1:8">
      <c r="A3515" s="270">
        <v>45118</v>
      </c>
      <c r="B3515" s="267"/>
      <c r="C3515" s="267" t="s">
        <v>92</v>
      </c>
      <c r="D3515" s="3" t="s">
        <v>2104</v>
      </c>
      <c r="E3515" s="1497"/>
      <c r="F3515" s="1497">
        <v>126000</v>
      </c>
      <c r="G3515" s="267" t="s">
        <v>27</v>
      </c>
      <c r="H3515" s="3"/>
    </row>
    <row r="3516" spans="1:8">
      <c r="A3516" s="270">
        <v>45118</v>
      </c>
      <c r="B3516" s="267"/>
      <c r="C3516" s="267" t="s">
        <v>205</v>
      </c>
      <c r="D3516" s="3" t="s">
        <v>2105</v>
      </c>
      <c r="E3516" s="1497">
        <v>33000</v>
      </c>
      <c r="F3516" s="1497"/>
      <c r="G3516" s="267" t="s">
        <v>27</v>
      </c>
      <c r="H3516" s="3"/>
    </row>
    <row r="3517" spans="1:8">
      <c r="A3517" s="270">
        <v>45118</v>
      </c>
      <c r="B3517" s="267"/>
      <c r="C3517" s="267" t="s">
        <v>92</v>
      </c>
      <c r="D3517" s="3" t="s">
        <v>2014</v>
      </c>
      <c r="E3517" s="1497"/>
      <c r="F3517" s="1497">
        <v>12500</v>
      </c>
      <c r="G3517" s="267" t="s">
        <v>56</v>
      </c>
      <c r="H3517" s="3"/>
    </row>
    <row r="3518" spans="1:8">
      <c r="A3518" s="270">
        <v>45118</v>
      </c>
      <c r="B3518" s="267"/>
      <c r="C3518" s="267" t="s">
        <v>55</v>
      </c>
      <c r="D3518" s="15" t="s">
        <v>2106</v>
      </c>
      <c r="E3518" s="1497">
        <v>560</v>
      </c>
      <c r="F3518" s="1497"/>
      <c r="G3518" s="267" t="s">
        <v>56</v>
      </c>
      <c r="H3518" s="3"/>
    </row>
    <row r="3519" spans="1:8">
      <c r="A3519" s="270">
        <v>45119</v>
      </c>
      <c r="B3519" s="267"/>
      <c r="C3519" s="267" t="s">
        <v>79</v>
      </c>
      <c r="D3519" s="3" t="s">
        <v>2107</v>
      </c>
      <c r="E3519" s="1497">
        <v>47170</v>
      </c>
      <c r="F3519" s="1497"/>
      <c r="G3519" s="267" t="s">
        <v>27</v>
      </c>
      <c r="H3519" s="3"/>
    </row>
    <row r="3520" spans="1:8">
      <c r="A3520" s="270">
        <v>45119</v>
      </c>
      <c r="B3520" s="267"/>
      <c r="C3520" s="267" t="s">
        <v>55</v>
      </c>
      <c r="D3520" s="3" t="s">
        <v>38</v>
      </c>
      <c r="E3520" s="1497">
        <v>680</v>
      </c>
      <c r="F3520" s="1497"/>
      <c r="G3520" s="267" t="s">
        <v>56</v>
      </c>
      <c r="H3520" s="3"/>
    </row>
    <row r="3521" spans="1:8">
      <c r="A3521" s="270">
        <v>45119</v>
      </c>
      <c r="B3521" s="267"/>
      <c r="C3521" s="267" t="s">
        <v>79</v>
      </c>
      <c r="D3521" s="3" t="s">
        <v>2108</v>
      </c>
      <c r="E3521" s="1497">
        <v>14991.4</v>
      </c>
      <c r="F3521" s="1497"/>
      <c r="G3521" s="267" t="s">
        <v>27</v>
      </c>
      <c r="H3521" s="3"/>
    </row>
    <row r="3522" spans="1:8">
      <c r="A3522" s="270">
        <v>45119</v>
      </c>
      <c r="B3522" s="267"/>
      <c r="C3522" s="267" t="s">
        <v>156</v>
      </c>
      <c r="D3522" s="3" t="s">
        <v>156</v>
      </c>
      <c r="E3522" s="1497">
        <v>6333.55</v>
      </c>
      <c r="F3522" s="1497"/>
      <c r="G3522" s="267" t="s">
        <v>27</v>
      </c>
      <c r="H3522" s="3"/>
    </row>
    <row r="3523" spans="1:8">
      <c r="A3523" s="270">
        <v>45119</v>
      </c>
      <c r="B3523" s="267"/>
      <c r="C3523" s="267" t="s">
        <v>55</v>
      </c>
      <c r="D3523" s="3" t="s">
        <v>38</v>
      </c>
      <c r="E3523" s="1497">
        <v>2029.12</v>
      </c>
      <c r="F3523" s="1497"/>
      <c r="G3523" s="267" t="s">
        <v>56</v>
      </c>
      <c r="H3523" s="3"/>
    </row>
    <row r="3524" spans="1:8">
      <c r="A3524" s="270">
        <v>45120</v>
      </c>
      <c r="B3524" s="267"/>
      <c r="C3524" s="267" t="s">
        <v>55</v>
      </c>
      <c r="D3524" s="3" t="s">
        <v>562</v>
      </c>
      <c r="E3524" s="1497">
        <v>17890</v>
      </c>
      <c r="F3524" s="1497"/>
      <c r="G3524" s="267" t="s">
        <v>56</v>
      </c>
      <c r="H3524" s="3"/>
    </row>
    <row r="3525" spans="1:8" ht="60">
      <c r="A3525" s="116">
        <v>45120</v>
      </c>
      <c r="B3525" s="51"/>
      <c r="C3525" s="51" t="s">
        <v>77</v>
      </c>
      <c r="D3525" s="52" t="s">
        <v>2110</v>
      </c>
      <c r="E3525" s="51"/>
      <c r="F3525" s="51">
        <v>6490000</v>
      </c>
      <c r="G3525" s="51" t="s">
        <v>1279</v>
      </c>
      <c r="H3525" s="48" t="s">
        <v>2109</v>
      </c>
    </row>
    <row r="3526" spans="1:8">
      <c r="A3526" s="270">
        <v>45120</v>
      </c>
      <c r="B3526" s="267"/>
      <c r="C3526" s="267" t="s">
        <v>205</v>
      </c>
      <c r="D3526" s="3" t="s">
        <v>2111</v>
      </c>
      <c r="E3526" s="1497">
        <v>6534</v>
      </c>
      <c r="F3526" s="1497"/>
      <c r="G3526" s="267" t="s">
        <v>56</v>
      </c>
      <c r="H3526" s="3"/>
    </row>
    <row r="3527" spans="1:8">
      <c r="A3527" s="270">
        <v>45120</v>
      </c>
      <c r="B3527" s="267"/>
      <c r="C3527" s="267" t="s">
        <v>90</v>
      </c>
      <c r="D3527" s="3" t="s">
        <v>1951</v>
      </c>
      <c r="E3527" s="1497">
        <v>2500</v>
      </c>
      <c r="F3527" s="1497"/>
      <c r="G3527" s="267" t="s">
        <v>56</v>
      </c>
      <c r="H3527" s="3"/>
    </row>
    <row r="3528" spans="1:8">
      <c r="A3528" s="270">
        <v>45120</v>
      </c>
      <c r="B3528" s="267"/>
      <c r="C3528" s="267" t="s">
        <v>55</v>
      </c>
      <c r="D3528" s="15" t="s">
        <v>1845</v>
      </c>
      <c r="E3528" s="1497">
        <v>5000</v>
      </c>
      <c r="F3528" s="1497"/>
      <c r="G3528" s="267" t="s">
        <v>56</v>
      </c>
      <c r="H3528" s="3"/>
    </row>
    <row r="3529" spans="1:8">
      <c r="A3529" s="270">
        <v>45121</v>
      </c>
      <c r="B3529" s="267"/>
      <c r="C3529" s="267" t="s">
        <v>715</v>
      </c>
      <c r="D3529" s="3" t="s">
        <v>662</v>
      </c>
      <c r="E3529" s="1497">
        <v>2090</v>
      </c>
      <c r="F3529" s="1497"/>
      <c r="G3529" s="267" t="s">
        <v>27</v>
      </c>
      <c r="H3529" s="3"/>
    </row>
    <row r="3530" spans="1:8">
      <c r="A3530" s="270">
        <v>45121</v>
      </c>
      <c r="B3530" s="267"/>
      <c r="C3530" s="267" t="s">
        <v>715</v>
      </c>
      <c r="D3530" s="3" t="s">
        <v>661</v>
      </c>
      <c r="E3530" s="1497">
        <v>2090</v>
      </c>
      <c r="F3530" s="1497"/>
      <c r="G3530" s="267" t="s">
        <v>27</v>
      </c>
      <c r="H3530" s="3"/>
    </row>
    <row r="3531" spans="1:8">
      <c r="A3531" s="270">
        <v>45121</v>
      </c>
      <c r="B3531" s="267"/>
      <c r="C3531" s="267" t="s">
        <v>715</v>
      </c>
      <c r="D3531" s="3" t="s">
        <v>663</v>
      </c>
      <c r="E3531" s="1497">
        <v>8190</v>
      </c>
      <c r="F3531" s="1497"/>
      <c r="G3531" s="267" t="s">
        <v>27</v>
      </c>
      <c r="H3531" s="3"/>
    </row>
    <row r="3532" spans="1:8">
      <c r="A3532" s="270">
        <v>45121</v>
      </c>
      <c r="B3532" s="267"/>
      <c r="C3532" s="267" t="s">
        <v>92</v>
      </c>
      <c r="D3532" s="3" t="s">
        <v>2112</v>
      </c>
      <c r="E3532" s="1497"/>
      <c r="F3532" s="1497">
        <v>20750</v>
      </c>
      <c r="G3532" s="267" t="s">
        <v>56</v>
      </c>
      <c r="H3532" s="3"/>
    </row>
    <row r="3533" spans="1:8">
      <c r="A3533" s="270">
        <v>45121</v>
      </c>
      <c r="B3533" s="267"/>
      <c r="C3533" s="267" t="s">
        <v>205</v>
      </c>
      <c r="D3533" s="3" t="s">
        <v>2113</v>
      </c>
      <c r="E3533" s="1497">
        <v>4384603</v>
      </c>
      <c r="F3533" s="1497"/>
      <c r="G3533" s="267" t="s">
        <v>1279</v>
      </c>
      <c r="H3533" s="3"/>
    </row>
    <row r="3534" spans="1:8">
      <c r="A3534" s="270">
        <v>45121</v>
      </c>
      <c r="B3534" s="267"/>
      <c r="C3534" s="267" t="s">
        <v>199</v>
      </c>
      <c r="D3534" s="3" t="s">
        <v>2114</v>
      </c>
      <c r="E3534" s="1497"/>
      <c r="F3534" s="1497">
        <v>85300</v>
      </c>
      <c r="G3534" s="267" t="s">
        <v>27</v>
      </c>
      <c r="H3534" s="3"/>
    </row>
    <row r="3535" spans="1:8">
      <c r="A3535" s="270">
        <v>45121</v>
      </c>
      <c r="B3535" s="267"/>
      <c r="C3535" s="267" t="s">
        <v>92</v>
      </c>
      <c r="D3535" s="3" t="s">
        <v>455</v>
      </c>
      <c r="E3535" s="1497"/>
      <c r="F3535" s="1497">
        <v>10000</v>
      </c>
      <c r="G3535" s="267" t="s">
        <v>56</v>
      </c>
      <c r="H3535" s="3"/>
    </row>
    <row r="3536" spans="1:8">
      <c r="A3536" s="270">
        <v>45121</v>
      </c>
      <c r="B3536" s="267"/>
      <c r="C3536" s="267" t="s">
        <v>92</v>
      </c>
      <c r="D3536" s="3" t="s">
        <v>2115</v>
      </c>
      <c r="E3536" s="1497"/>
      <c r="F3536" s="1497">
        <v>322552.08</v>
      </c>
      <c r="G3536" s="267" t="s">
        <v>56</v>
      </c>
      <c r="H3536" s="3"/>
    </row>
    <row r="3537" spans="1:8">
      <c r="A3537" s="270">
        <v>45121</v>
      </c>
      <c r="B3537" s="267"/>
      <c r="C3537" s="267" t="s">
        <v>88</v>
      </c>
      <c r="D3537" s="3" t="s">
        <v>144</v>
      </c>
      <c r="E3537" s="1497">
        <v>7390</v>
      </c>
      <c r="F3537" s="1497"/>
      <c r="G3537" s="267" t="s">
        <v>72</v>
      </c>
      <c r="H3537" s="3"/>
    </row>
    <row r="3538" spans="1:8">
      <c r="A3538" s="270">
        <v>45121</v>
      </c>
      <c r="B3538" s="267"/>
      <c r="C3538" s="267" t="s">
        <v>88</v>
      </c>
      <c r="D3538" s="3" t="s">
        <v>144</v>
      </c>
      <c r="E3538" s="1497">
        <v>90600</v>
      </c>
      <c r="F3538" s="1497"/>
      <c r="G3538" s="267" t="s">
        <v>56</v>
      </c>
      <c r="H3538" s="3"/>
    </row>
    <row r="3539" spans="1:8">
      <c r="A3539" s="270">
        <v>45121</v>
      </c>
      <c r="B3539" s="267"/>
      <c r="C3539" s="267" t="s">
        <v>88</v>
      </c>
      <c r="D3539" s="3" t="s">
        <v>208</v>
      </c>
      <c r="E3539" s="1497">
        <v>44000</v>
      </c>
      <c r="F3539" s="1497"/>
      <c r="G3539" s="267" t="s">
        <v>56</v>
      </c>
      <c r="H3539" s="3"/>
    </row>
    <row r="3540" spans="1:8">
      <c r="A3540" s="270">
        <v>45121</v>
      </c>
      <c r="B3540" s="267"/>
      <c r="C3540" s="267" t="s">
        <v>88</v>
      </c>
      <c r="D3540" s="3" t="s">
        <v>219</v>
      </c>
      <c r="E3540" s="1497">
        <v>64750</v>
      </c>
      <c r="F3540" s="1497"/>
      <c r="G3540" s="267" t="s">
        <v>56</v>
      </c>
      <c r="H3540" s="3"/>
    </row>
    <row r="3541" spans="1:8">
      <c r="A3541" s="270">
        <v>45121</v>
      </c>
      <c r="B3541" s="267"/>
      <c r="C3541" s="267" t="s">
        <v>88</v>
      </c>
      <c r="D3541" s="3" t="s">
        <v>193</v>
      </c>
      <c r="E3541" s="1497">
        <v>30000</v>
      </c>
      <c r="F3541" s="1497"/>
      <c r="G3541" s="267" t="s">
        <v>56</v>
      </c>
      <c r="H3541" s="3"/>
    </row>
    <row r="3542" spans="1:8">
      <c r="A3542" s="270">
        <v>45121</v>
      </c>
      <c r="B3542" s="267"/>
      <c r="C3542" s="267" t="s">
        <v>1805</v>
      </c>
      <c r="D3542" s="3" t="s">
        <v>2119</v>
      </c>
      <c r="E3542" s="1497">
        <v>6000</v>
      </c>
      <c r="F3542" s="1497"/>
      <c r="G3542" s="267"/>
      <c r="H3542" s="3"/>
    </row>
    <row r="3543" spans="1:8">
      <c r="A3543" s="270">
        <v>45121</v>
      </c>
      <c r="B3543" s="267"/>
      <c r="C3543" s="267" t="s">
        <v>199</v>
      </c>
      <c r="D3543" s="3" t="s">
        <v>2118</v>
      </c>
      <c r="E3543" s="1497"/>
      <c r="F3543" s="1497">
        <v>23700</v>
      </c>
      <c r="G3543" s="267" t="s">
        <v>56</v>
      </c>
      <c r="H3543" s="3"/>
    </row>
    <row r="3544" spans="1:8">
      <c r="A3544" s="270">
        <v>45121</v>
      </c>
      <c r="B3544" s="267"/>
      <c r="C3544" s="267" t="s">
        <v>199</v>
      </c>
      <c r="D3544" s="3" t="s">
        <v>2118</v>
      </c>
      <c r="E3544" s="1497"/>
      <c r="F3544" s="1497">
        <v>61600</v>
      </c>
      <c r="G3544" s="267" t="s">
        <v>72</v>
      </c>
      <c r="H3544" s="3" t="s">
        <v>2117</v>
      </c>
    </row>
    <row r="3545" spans="1:8">
      <c r="H3545" s="128" t="s">
        <v>2116</v>
      </c>
    </row>
    <row r="3546" spans="1:8">
      <c r="H3546" s="132" t="s">
        <v>2121</v>
      </c>
    </row>
    <row r="3547" spans="1:8">
      <c r="H3547" s="132" t="s">
        <v>2120</v>
      </c>
    </row>
    <row r="3548" spans="1:8">
      <c r="H3548" s="117" t="s">
        <v>2124</v>
      </c>
    </row>
    <row r="3549" spans="1:8">
      <c r="H3549" s="117" t="s">
        <v>2065</v>
      </c>
    </row>
    <row r="3550" spans="1:8">
      <c r="H3550" s="117" t="s">
        <v>2122</v>
      </c>
    </row>
    <row r="3551" spans="1:8">
      <c r="H3551" s="117" t="s">
        <v>1937</v>
      </c>
    </row>
    <row r="3552" spans="1:8">
      <c r="H3552" s="117" t="s">
        <v>2123</v>
      </c>
    </row>
    <row r="3553" spans="1:8">
      <c r="H3553" s="117" t="s">
        <v>1215</v>
      </c>
    </row>
    <row r="3554" spans="1:8">
      <c r="H3554" s="117" t="s">
        <v>2125</v>
      </c>
    </row>
    <row r="3555" spans="1:8">
      <c r="H3555" s="117" t="s">
        <v>2126</v>
      </c>
    </row>
    <row r="3556" spans="1:8">
      <c r="H3556" s="191" t="s">
        <v>2127</v>
      </c>
    </row>
    <row r="3557" spans="1:8">
      <c r="A3557" s="270">
        <v>45124</v>
      </c>
      <c r="B3557" s="267"/>
      <c r="C3557" s="267" t="s">
        <v>79</v>
      </c>
      <c r="D3557" s="3" t="s">
        <v>79</v>
      </c>
      <c r="E3557" s="1497">
        <v>10000</v>
      </c>
      <c r="F3557" s="1497"/>
      <c r="G3557" s="267" t="s">
        <v>56</v>
      </c>
      <c r="H3557" s="192"/>
    </row>
    <row r="3558" spans="1:8">
      <c r="A3558" s="270">
        <v>45124</v>
      </c>
      <c r="B3558" s="267"/>
      <c r="C3558" s="267" t="s">
        <v>55</v>
      </c>
      <c r="D3558" s="3" t="s">
        <v>2128</v>
      </c>
      <c r="E3558" s="1497">
        <v>8200</v>
      </c>
      <c r="F3558" s="1497"/>
      <c r="G3558" s="267" t="s">
        <v>56</v>
      </c>
      <c r="H3558" s="3"/>
    </row>
    <row r="3559" spans="1:8">
      <c r="A3559" s="270">
        <v>45124</v>
      </c>
      <c r="B3559" s="267"/>
      <c r="C3559" s="267" t="s">
        <v>199</v>
      </c>
      <c r="D3559" s="3" t="s">
        <v>2129</v>
      </c>
      <c r="E3559" s="1497"/>
      <c r="F3559" s="1497">
        <v>298630</v>
      </c>
      <c r="G3559" s="267" t="s">
        <v>27</v>
      </c>
      <c r="H3559" s="3"/>
    </row>
    <row r="3560" spans="1:8">
      <c r="A3560" s="270">
        <v>45124</v>
      </c>
      <c r="B3560" s="267"/>
      <c r="C3560" s="267" t="s">
        <v>86</v>
      </c>
      <c r="D3560" s="3" t="s">
        <v>107</v>
      </c>
      <c r="E3560" s="1497">
        <v>5105.43</v>
      </c>
      <c r="F3560" s="1497"/>
      <c r="G3560" s="267" t="s">
        <v>27</v>
      </c>
      <c r="H3560" s="3"/>
    </row>
    <row r="3561" spans="1:8">
      <c r="A3561" s="270">
        <v>45124</v>
      </c>
      <c r="B3561" s="267"/>
      <c r="C3561" s="267" t="s">
        <v>92</v>
      </c>
      <c r="D3561" s="3" t="s">
        <v>674</v>
      </c>
      <c r="E3561" s="1497"/>
      <c r="F3561" s="1497">
        <v>62000</v>
      </c>
      <c r="G3561" s="267" t="s">
        <v>27</v>
      </c>
      <c r="H3561" s="3"/>
    </row>
    <row r="3562" spans="1:8">
      <c r="A3562" s="270">
        <v>45124</v>
      </c>
      <c r="B3562" s="267"/>
      <c r="C3562" s="267" t="s">
        <v>156</v>
      </c>
      <c r="D3562" s="3" t="s">
        <v>156</v>
      </c>
      <c r="E3562" s="1497">
        <v>142976.5</v>
      </c>
      <c r="F3562" s="1497"/>
      <c r="G3562" s="267" t="s">
        <v>27</v>
      </c>
      <c r="H3562" s="3"/>
    </row>
    <row r="3563" spans="1:8">
      <c r="A3563" s="270">
        <v>45124</v>
      </c>
      <c r="B3563" s="267"/>
      <c r="C3563" s="267" t="s">
        <v>205</v>
      </c>
      <c r="D3563" s="3" t="s">
        <v>207</v>
      </c>
      <c r="E3563" s="1497">
        <v>197400</v>
      </c>
      <c r="F3563" s="1497"/>
      <c r="G3563" s="267" t="s">
        <v>27</v>
      </c>
      <c r="H3563" s="3"/>
    </row>
    <row r="3564" spans="1:8">
      <c r="A3564" s="270">
        <v>45124</v>
      </c>
      <c r="B3564" s="267"/>
      <c r="C3564" s="267" t="s">
        <v>79</v>
      </c>
      <c r="D3564" s="3" t="s">
        <v>344</v>
      </c>
      <c r="E3564" s="1497">
        <v>4100</v>
      </c>
      <c r="F3564" s="1497"/>
      <c r="G3564" s="267" t="s">
        <v>27</v>
      </c>
      <c r="H3564" s="3"/>
    </row>
    <row r="3565" spans="1:8">
      <c r="A3565" s="269">
        <v>45124</v>
      </c>
      <c r="B3565" s="268"/>
      <c r="C3565" s="268" t="s">
        <v>176</v>
      </c>
      <c r="D3565" s="83" t="s">
        <v>175</v>
      </c>
      <c r="E3565" s="1501">
        <v>10000</v>
      </c>
      <c r="F3565" s="1501"/>
      <c r="G3565" s="268" t="s">
        <v>27</v>
      </c>
      <c r="H3565" s="3"/>
    </row>
    <row r="3566" spans="1:8">
      <c r="A3566" s="270">
        <v>45124</v>
      </c>
      <c r="B3566" s="267"/>
      <c r="C3566" s="267" t="s">
        <v>92</v>
      </c>
      <c r="D3566" s="3" t="s">
        <v>2131</v>
      </c>
      <c r="E3566" s="1497"/>
      <c r="F3566" s="1497">
        <v>35000</v>
      </c>
      <c r="G3566" s="267" t="s">
        <v>56</v>
      </c>
      <c r="H3566" s="3"/>
    </row>
    <row r="3567" spans="1:8">
      <c r="A3567" s="270">
        <v>45124</v>
      </c>
      <c r="B3567" s="267"/>
      <c r="C3567" s="267" t="s">
        <v>205</v>
      </c>
      <c r="D3567" s="3" t="s">
        <v>48</v>
      </c>
      <c r="E3567" s="1497">
        <v>36400</v>
      </c>
      <c r="F3567" s="1497"/>
      <c r="G3567" s="267" t="s">
        <v>72</v>
      </c>
      <c r="H3567" s="3" t="s">
        <v>2132</v>
      </c>
    </row>
    <row r="3568" spans="1:8">
      <c r="A3568" s="270">
        <v>45125</v>
      </c>
      <c r="B3568" s="267"/>
      <c r="C3568" s="267" t="s">
        <v>55</v>
      </c>
      <c r="D3568" s="3" t="s">
        <v>2133</v>
      </c>
      <c r="E3568" s="1497">
        <v>12800</v>
      </c>
      <c r="F3568" s="1497"/>
      <c r="G3568" s="267" t="s">
        <v>56</v>
      </c>
      <c r="H3568" s="3" t="s">
        <v>1888</v>
      </c>
    </row>
    <row r="3569" spans="1:8">
      <c r="A3569" s="270">
        <v>45125</v>
      </c>
      <c r="B3569" s="267"/>
      <c r="C3569" s="267" t="s">
        <v>55</v>
      </c>
      <c r="D3569" s="3" t="s">
        <v>514</v>
      </c>
      <c r="E3569" s="1497">
        <v>1400</v>
      </c>
      <c r="F3569" s="1497"/>
      <c r="G3569" s="267" t="s">
        <v>27</v>
      </c>
      <c r="H3569" s="3"/>
    </row>
    <row r="3570" spans="1:8">
      <c r="A3570" s="270">
        <v>45125</v>
      </c>
      <c r="B3570" s="267"/>
      <c r="C3570" s="267" t="s">
        <v>79</v>
      </c>
      <c r="D3570" s="3" t="s">
        <v>195</v>
      </c>
      <c r="E3570" s="1497">
        <v>14294</v>
      </c>
      <c r="F3570" s="1497"/>
      <c r="G3570" s="267" t="s">
        <v>27</v>
      </c>
      <c r="H3570" s="3"/>
    </row>
    <row r="3571" spans="1:8">
      <c r="A3571" s="270">
        <v>45125</v>
      </c>
      <c r="B3571" s="267"/>
      <c r="C3571" s="267" t="s">
        <v>79</v>
      </c>
      <c r="D3571" s="3" t="s">
        <v>195</v>
      </c>
      <c r="E3571" s="1497">
        <v>13400</v>
      </c>
      <c r="F3571" s="1497"/>
      <c r="G3571" s="267" t="s">
        <v>27</v>
      </c>
      <c r="H3571" s="3"/>
    </row>
    <row r="3572" spans="1:8">
      <c r="A3572" s="270">
        <v>45125</v>
      </c>
      <c r="B3572" s="267"/>
      <c r="C3572" s="267" t="s">
        <v>79</v>
      </c>
      <c r="D3572" s="3" t="s">
        <v>79</v>
      </c>
      <c r="E3572" s="1497">
        <v>100000</v>
      </c>
      <c r="F3572" s="1497"/>
      <c r="G3572" s="267" t="s">
        <v>614</v>
      </c>
      <c r="H3572" s="3"/>
    </row>
    <row r="3573" spans="1:8">
      <c r="A3573" s="270">
        <v>45126</v>
      </c>
      <c r="B3573" s="267"/>
      <c r="C3573" s="267" t="s">
        <v>55</v>
      </c>
      <c r="D3573" s="3" t="s">
        <v>2134</v>
      </c>
      <c r="E3573" s="1497">
        <v>4500</v>
      </c>
      <c r="F3573" s="1497"/>
      <c r="G3573" s="267" t="s">
        <v>56</v>
      </c>
      <c r="H3573" s="3" t="s">
        <v>1888</v>
      </c>
    </row>
    <row r="3574" spans="1:8">
      <c r="A3574" s="270">
        <v>45126</v>
      </c>
      <c r="B3574" s="267"/>
      <c r="C3574" s="267" t="s">
        <v>79</v>
      </c>
      <c r="D3574" s="3" t="s">
        <v>79</v>
      </c>
      <c r="E3574" s="1497">
        <v>24800</v>
      </c>
      <c r="F3574" s="1497"/>
      <c r="G3574" s="267" t="s">
        <v>27</v>
      </c>
      <c r="H3574" s="3"/>
    </row>
    <row r="3575" spans="1:8">
      <c r="A3575" s="270">
        <v>45126</v>
      </c>
      <c r="B3575" s="267"/>
      <c r="C3575" s="267" t="s">
        <v>55</v>
      </c>
      <c r="D3575" s="3" t="s">
        <v>2135</v>
      </c>
      <c r="E3575" s="1497">
        <v>7000</v>
      </c>
      <c r="F3575" s="1497"/>
      <c r="G3575" s="267" t="s">
        <v>56</v>
      </c>
      <c r="H3575" s="3"/>
    </row>
    <row r="3576" spans="1:8">
      <c r="A3576" s="270">
        <v>45127</v>
      </c>
      <c r="B3576" s="267"/>
      <c r="C3576" s="267" t="s">
        <v>205</v>
      </c>
      <c r="D3576" s="3" t="s">
        <v>63</v>
      </c>
      <c r="E3576" s="1497">
        <v>8837.83</v>
      </c>
      <c r="F3576" s="1497"/>
      <c r="G3576" s="267" t="s">
        <v>56</v>
      </c>
      <c r="H3576" s="3" t="s">
        <v>2136</v>
      </c>
    </row>
    <row r="3577" spans="1:8">
      <c r="A3577" s="270">
        <v>45127</v>
      </c>
      <c r="B3577" s="267"/>
      <c r="C3577" s="267" t="s">
        <v>55</v>
      </c>
      <c r="D3577" s="3" t="s">
        <v>257</v>
      </c>
      <c r="E3577" s="1497">
        <v>6683.91</v>
      </c>
      <c r="F3577" s="1497"/>
      <c r="G3577" s="267" t="s">
        <v>56</v>
      </c>
      <c r="H3577" s="3"/>
    </row>
    <row r="3578" spans="1:8">
      <c r="A3578" s="270">
        <v>45127</v>
      </c>
      <c r="B3578" s="267"/>
      <c r="C3578" s="267" t="s">
        <v>55</v>
      </c>
      <c r="D3578" s="3" t="s">
        <v>2137</v>
      </c>
      <c r="E3578" s="1497">
        <v>1000</v>
      </c>
      <c r="F3578" s="1497"/>
      <c r="G3578" s="267" t="s">
        <v>56</v>
      </c>
      <c r="H3578" s="3"/>
    </row>
    <row r="3579" spans="1:8">
      <c r="A3579" s="270">
        <v>45127</v>
      </c>
      <c r="B3579" s="267"/>
      <c r="C3579" s="267" t="s">
        <v>77</v>
      </c>
      <c r="D3579" s="3" t="s">
        <v>2138</v>
      </c>
      <c r="E3579" s="1497"/>
      <c r="F3579" s="1497">
        <v>2152736.69</v>
      </c>
      <c r="G3579" s="267" t="s">
        <v>287</v>
      </c>
      <c r="H3579" s="3" t="s">
        <v>2142</v>
      </c>
    </row>
    <row r="3580" spans="1:8">
      <c r="A3580" s="269">
        <v>45127</v>
      </c>
      <c r="B3580" s="268"/>
      <c r="C3580" s="268" t="s">
        <v>176</v>
      </c>
      <c r="D3580" s="83" t="s">
        <v>175</v>
      </c>
      <c r="E3580" s="1501">
        <v>3000</v>
      </c>
      <c r="F3580" s="1501"/>
      <c r="G3580" s="268" t="s">
        <v>27</v>
      </c>
      <c r="H3580" s="83"/>
    </row>
    <row r="3581" spans="1:8">
      <c r="A3581" s="270">
        <v>45127</v>
      </c>
      <c r="B3581" s="267"/>
      <c r="C3581" s="267" t="s">
        <v>90</v>
      </c>
      <c r="D3581" s="3" t="s">
        <v>1951</v>
      </c>
      <c r="E3581" s="1497">
        <v>2500</v>
      </c>
      <c r="F3581" s="1497"/>
      <c r="G3581" s="267" t="s">
        <v>56</v>
      </c>
      <c r="H3581" s="3"/>
    </row>
    <row r="3582" spans="1:8">
      <c r="A3582" s="270">
        <v>45128</v>
      </c>
      <c r="B3582" s="267"/>
      <c r="C3582" s="267" t="s">
        <v>92</v>
      </c>
      <c r="D3582" s="3" t="s">
        <v>1888</v>
      </c>
      <c r="E3582" s="1497"/>
      <c r="F3582" s="1497">
        <v>43500</v>
      </c>
      <c r="G3582" s="267" t="s">
        <v>56</v>
      </c>
      <c r="H3582" s="3"/>
    </row>
    <row r="3583" spans="1:8">
      <c r="A3583" s="270">
        <v>45128</v>
      </c>
      <c r="B3583" s="267"/>
      <c r="C3583" s="267" t="s">
        <v>77</v>
      </c>
      <c r="D3583" s="3" t="s">
        <v>2139</v>
      </c>
      <c r="E3583" s="1497"/>
      <c r="F3583" s="1497">
        <v>1538489.42</v>
      </c>
      <c r="G3583" s="267" t="s">
        <v>27</v>
      </c>
      <c r="H3583" s="3"/>
    </row>
    <row r="3584" spans="1:8">
      <c r="A3584" s="270">
        <v>45128</v>
      </c>
      <c r="B3584" s="267"/>
      <c r="C3584" s="267" t="s">
        <v>205</v>
      </c>
      <c r="D3584" s="3" t="s">
        <v>48</v>
      </c>
      <c r="E3584" s="1497" t="s">
        <v>2143</v>
      </c>
      <c r="F3584" s="1497"/>
      <c r="G3584" s="267" t="s">
        <v>287</v>
      </c>
      <c r="H3584" s="113"/>
    </row>
    <row r="3585" spans="1:8">
      <c r="A3585" s="270">
        <v>45128</v>
      </c>
      <c r="B3585" s="267"/>
      <c r="C3585" s="267" t="s">
        <v>205</v>
      </c>
      <c r="D3585" s="3" t="s">
        <v>48</v>
      </c>
      <c r="E3585" s="1497">
        <v>425500</v>
      </c>
      <c r="F3585" s="1497"/>
      <c r="G3585" s="267" t="s">
        <v>614</v>
      </c>
      <c r="H3585" s="3"/>
    </row>
    <row r="3586" spans="1:8">
      <c r="A3586" s="270">
        <v>45128</v>
      </c>
      <c r="B3586" s="267"/>
      <c r="C3586" s="267" t="s">
        <v>205</v>
      </c>
      <c r="D3586" s="3" t="s">
        <v>48</v>
      </c>
      <c r="E3586" s="1497">
        <v>50000</v>
      </c>
      <c r="F3586" s="1497"/>
      <c r="G3586" s="267" t="s">
        <v>614</v>
      </c>
      <c r="H3586" s="3"/>
    </row>
    <row r="3587" spans="1:8">
      <c r="A3587" s="270">
        <v>45128</v>
      </c>
      <c r="B3587" s="267"/>
      <c r="C3587" s="267" t="s">
        <v>205</v>
      </c>
      <c r="D3587" s="15" t="s">
        <v>48</v>
      </c>
      <c r="E3587" s="1497">
        <v>61600</v>
      </c>
      <c r="F3587" s="1497"/>
      <c r="G3587" s="267" t="s">
        <v>72</v>
      </c>
      <c r="H3587" s="3" t="s">
        <v>2141</v>
      </c>
    </row>
    <row r="3588" spans="1:8">
      <c r="A3588" s="270">
        <v>45128</v>
      </c>
      <c r="B3588" s="267"/>
      <c r="C3588" s="267" t="s">
        <v>77</v>
      </c>
      <c r="D3588" s="3" t="s">
        <v>2138</v>
      </c>
      <c r="E3588" s="1497"/>
      <c r="F3588" s="1497">
        <v>1459000</v>
      </c>
      <c r="G3588" s="267" t="s">
        <v>56</v>
      </c>
      <c r="H3588" s="3"/>
    </row>
    <row r="3589" spans="1:8">
      <c r="A3589" s="270">
        <v>45128</v>
      </c>
      <c r="B3589" s="267"/>
      <c r="C3589" s="267" t="s">
        <v>205</v>
      </c>
      <c r="D3589" s="3" t="s">
        <v>2144</v>
      </c>
      <c r="E3589" s="1497">
        <v>531409.19999999995</v>
      </c>
      <c r="F3589" s="1497"/>
      <c r="G3589" s="267" t="s">
        <v>27</v>
      </c>
      <c r="H3589" s="3" t="s">
        <v>2145</v>
      </c>
    </row>
    <row r="3590" spans="1:8">
      <c r="A3590" s="270">
        <v>45128</v>
      </c>
      <c r="B3590" s="267"/>
      <c r="C3590" s="267" t="s">
        <v>79</v>
      </c>
      <c r="D3590" s="3" t="s">
        <v>166</v>
      </c>
      <c r="E3590" s="1497">
        <v>70000</v>
      </c>
      <c r="F3590" s="1497"/>
      <c r="G3590" s="267" t="s">
        <v>27</v>
      </c>
      <c r="H3590" s="3"/>
    </row>
    <row r="3591" spans="1:8">
      <c r="A3591" s="270">
        <v>45128</v>
      </c>
      <c r="B3591" s="267"/>
      <c r="C3591" s="267" t="s">
        <v>88</v>
      </c>
      <c r="D3591" s="3" t="s">
        <v>144</v>
      </c>
      <c r="E3591" s="1497">
        <v>97500</v>
      </c>
      <c r="F3591" s="1497"/>
      <c r="G3591" s="267" t="s">
        <v>56</v>
      </c>
      <c r="H3591" s="3"/>
    </row>
    <row r="3592" spans="1:8">
      <c r="A3592" s="270">
        <v>45128</v>
      </c>
      <c r="B3592" s="267"/>
      <c r="C3592" s="267" t="s">
        <v>88</v>
      </c>
      <c r="D3592" s="3" t="s">
        <v>219</v>
      </c>
      <c r="E3592" s="1497">
        <v>64750</v>
      </c>
      <c r="F3592" s="1497"/>
      <c r="G3592" s="267" t="s">
        <v>56</v>
      </c>
      <c r="H3592" s="3"/>
    </row>
    <row r="3593" spans="1:8">
      <c r="A3593" s="270">
        <v>45128</v>
      </c>
      <c r="B3593" s="267"/>
      <c r="C3593" s="267" t="s">
        <v>88</v>
      </c>
      <c r="D3593" s="3" t="s">
        <v>208</v>
      </c>
      <c r="E3593" s="1497">
        <v>43500</v>
      </c>
      <c r="F3593" s="1497"/>
      <c r="G3593" s="267" t="s">
        <v>56</v>
      </c>
      <c r="H3593" s="86" t="s">
        <v>2146</v>
      </c>
    </row>
    <row r="3594" spans="1:8">
      <c r="H3594" s="122" t="s">
        <v>2140</v>
      </c>
    </row>
    <row r="3595" spans="1:8">
      <c r="H3595" s="132" t="s">
        <v>2121</v>
      </c>
    </row>
    <row r="3596" spans="1:8">
      <c r="H3596" s="132" t="s">
        <v>2152</v>
      </c>
    </row>
    <row r="3597" spans="1:8">
      <c r="H3597" s="117" t="s">
        <v>2154</v>
      </c>
    </row>
    <row r="3598" spans="1:8">
      <c r="H3598" s="117" t="s">
        <v>2149</v>
      </c>
    </row>
    <row r="3599" spans="1:8">
      <c r="H3599" s="117" t="s">
        <v>2150</v>
      </c>
    </row>
    <row r="3600" spans="1:8">
      <c r="H3600" s="117" t="s">
        <v>1937</v>
      </c>
    </row>
    <row r="3601" spans="1:8">
      <c r="H3601" s="117" t="s">
        <v>2147</v>
      </c>
    </row>
    <row r="3602" spans="1:8">
      <c r="H3602" s="117" t="s">
        <v>2148</v>
      </c>
    </row>
    <row r="3603" spans="1:8">
      <c r="H3603" s="117" t="s">
        <v>2151</v>
      </c>
    </row>
    <row r="3604" spans="1:8">
      <c r="H3604" s="117" t="s">
        <v>2153</v>
      </c>
    </row>
    <row r="3605" spans="1:8">
      <c r="A3605" s="127"/>
      <c r="H3605" s="191" t="s">
        <v>2155</v>
      </c>
    </row>
    <row r="3606" spans="1:8">
      <c r="A3606" s="270">
        <v>45131</v>
      </c>
      <c r="B3606" s="267"/>
      <c r="C3606" s="267" t="s">
        <v>564</v>
      </c>
      <c r="D3606" s="3" t="s">
        <v>70</v>
      </c>
      <c r="E3606" s="1497">
        <v>2500</v>
      </c>
      <c r="F3606" s="1497"/>
      <c r="G3606" s="267" t="s">
        <v>56</v>
      </c>
      <c r="H3606" s="192"/>
    </row>
    <row r="3607" spans="1:8">
      <c r="A3607" s="13">
        <v>45131</v>
      </c>
      <c r="B3607" s="12"/>
      <c r="C3607" s="12" t="s">
        <v>86</v>
      </c>
      <c r="D3607" s="89" t="s">
        <v>2156</v>
      </c>
      <c r="E3607" s="12">
        <v>5106</v>
      </c>
      <c r="F3607" s="12"/>
      <c r="G3607" s="12" t="s">
        <v>86</v>
      </c>
      <c r="H3607" s="113"/>
    </row>
    <row r="3608" spans="1:8">
      <c r="A3608" s="270">
        <v>45131</v>
      </c>
      <c r="B3608" s="267"/>
      <c r="C3608" s="267" t="s">
        <v>205</v>
      </c>
      <c r="D3608" s="3" t="s">
        <v>48</v>
      </c>
      <c r="E3608" s="1497">
        <v>917503</v>
      </c>
      <c r="F3608" s="1497"/>
      <c r="G3608" s="267" t="s">
        <v>72</v>
      </c>
      <c r="H3608" s="45" t="s">
        <v>2157</v>
      </c>
    </row>
    <row r="3609" spans="1:8">
      <c r="A3609" s="270">
        <v>45131</v>
      </c>
      <c r="B3609" s="267"/>
      <c r="C3609" s="267" t="s">
        <v>97</v>
      </c>
      <c r="D3609" s="3" t="s">
        <v>920</v>
      </c>
      <c r="E3609" s="1497">
        <v>5000</v>
      </c>
      <c r="F3609" s="1497"/>
      <c r="G3609" s="267" t="s">
        <v>27</v>
      </c>
      <c r="H3609" s="3"/>
    </row>
    <row r="3610" spans="1:8">
      <c r="A3610" s="270">
        <v>45131</v>
      </c>
      <c r="B3610" s="267"/>
      <c r="C3610" s="267" t="s">
        <v>79</v>
      </c>
      <c r="D3610" s="3" t="s">
        <v>151</v>
      </c>
      <c r="E3610" s="1497">
        <v>14940</v>
      </c>
      <c r="F3610" s="1497"/>
      <c r="G3610" s="267" t="s">
        <v>27</v>
      </c>
      <c r="H3610" s="3"/>
    </row>
    <row r="3611" spans="1:8">
      <c r="A3611" s="270">
        <v>45131</v>
      </c>
      <c r="B3611" s="267"/>
      <c r="C3611" s="267" t="s">
        <v>79</v>
      </c>
      <c r="D3611" s="3" t="s">
        <v>195</v>
      </c>
      <c r="E3611" s="1497">
        <v>10101.06</v>
      </c>
      <c r="F3611" s="1497"/>
      <c r="G3611" s="267" t="s">
        <v>27</v>
      </c>
      <c r="H3611" s="3"/>
    </row>
    <row r="3612" spans="1:8">
      <c r="A3612" s="270">
        <v>45131</v>
      </c>
      <c r="B3612" s="267"/>
      <c r="C3612" s="267" t="s">
        <v>92</v>
      </c>
      <c r="D3612" s="3" t="s">
        <v>2158</v>
      </c>
      <c r="E3612" s="1497">
        <v>338200</v>
      </c>
      <c r="F3612" s="1497"/>
      <c r="G3612" s="267" t="s">
        <v>27</v>
      </c>
      <c r="H3612" s="3"/>
    </row>
    <row r="3613" spans="1:8">
      <c r="A3613" s="270">
        <v>45131</v>
      </c>
      <c r="B3613" s="267"/>
      <c r="C3613" s="267" t="s">
        <v>92</v>
      </c>
      <c r="D3613" s="3" t="s">
        <v>2159</v>
      </c>
      <c r="E3613" s="1497"/>
      <c r="F3613" s="1497">
        <v>113265.45</v>
      </c>
      <c r="G3613" s="267" t="s">
        <v>27</v>
      </c>
      <c r="H3613" s="3"/>
    </row>
    <row r="3614" spans="1:8">
      <c r="A3614" s="270">
        <v>45131</v>
      </c>
      <c r="B3614" s="267"/>
      <c r="C3614" s="267" t="s">
        <v>92</v>
      </c>
      <c r="D3614" s="3" t="s">
        <v>2103</v>
      </c>
      <c r="E3614" s="1497"/>
      <c r="F3614" s="1497">
        <v>12800</v>
      </c>
      <c r="G3614" s="267" t="s">
        <v>56</v>
      </c>
      <c r="H3614" s="3"/>
    </row>
    <row r="3615" spans="1:8">
      <c r="A3615" s="270">
        <v>45131</v>
      </c>
      <c r="B3615" s="267"/>
      <c r="C3615" s="267" t="s">
        <v>77</v>
      </c>
      <c r="D3615" s="3" t="s">
        <v>2160</v>
      </c>
      <c r="E3615" s="1497"/>
      <c r="F3615" s="1497">
        <v>87420</v>
      </c>
      <c r="G3615" s="267" t="s">
        <v>27</v>
      </c>
      <c r="H3615" s="3" t="s">
        <v>2162</v>
      </c>
    </row>
    <row r="3616" spans="1:8">
      <c r="A3616" s="270">
        <v>45132</v>
      </c>
      <c r="B3616" s="267"/>
      <c r="C3616" s="267" t="s">
        <v>79</v>
      </c>
      <c r="D3616" s="3" t="s">
        <v>2161</v>
      </c>
      <c r="E3616" s="1497">
        <v>1100</v>
      </c>
      <c r="F3616" s="1497"/>
      <c r="G3616" s="267" t="s">
        <v>56</v>
      </c>
      <c r="H3616" s="3"/>
    </row>
    <row r="3617" spans="1:8">
      <c r="A3617" s="270">
        <v>45132</v>
      </c>
      <c r="B3617" s="267"/>
      <c r="C3617" s="267" t="s">
        <v>1827</v>
      </c>
      <c r="D3617" s="3" t="s">
        <v>2163</v>
      </c>
      <c r="E3617" s="1497">
        <v>12318.74</v>
      </c>
      <c r="F3617" s="1497"/>
      <c r="G3617" s="267" t="s">
        <v>27</v>
      </c>
      <c r="H3617" s="3"/>
    </row>
    <row r="3618" spans="1:8">
      <c r="A3618" s="270">
        <v>45132</v>
      </c>
      <c r="B3618" s="267"/>
      <c r="C3618" s="267" t="s">
        <v>160</v>
      </c>
      <c r="D3618" s="3" t="s">
        <v>2164</v>
      </c>
      <c r="E3618" s="1497">
        <v>4000</v>
      </c>
      <c r="F3618" s="1497"/>
      <c r="G3618" s="267" t="s">
        <v>56</v>
      </c>
      <c r="H3618" s="3"/>
    </row>
    <row r="3619" spans="1:8">
      <c r="A3619" s="270">
        <v>45133</v>
      </c>
      <c r="B3619" s="267"/>
      <c r="C3619" s="267" t="s">
        <v>199</v>
      </c>
      <c r="D3619" s="3" t="s">
        <v>2165</v>
      </c>
      <c r="E3619" s="1497"/>
      <c r="F3619" s="1497">
        <v>310000</v>
      </c>
      <c r="G3619" s="267" t="s">
        <v>56</v>
      </c>
      <c r="H3619" s="3"/>
    </row>
    <row r="3620" spans="1:8">
      <c r="A3620" s="270">
        <v>45133</v>
      </c>
      <c r="B3620" s="267"/>
      <c r="C3620" s="267" t="s">
        <v>77</v>
      </c>
      <c r="D3620" s="3" t="s">
        <v>63</v>
      </c>
      <c r="E3620" s="1497"/>
      <c r="F3620" s="1497">
        <v>2000000</v>
      </c>
      <c r="G3620" s="267" t="s">
        <v>56</v>
      </c>
      <c r="H3620" s="3"/>
    </row>
    <row r="3621" spans="1:8">
      <c r="A3621" s="270">
        <v>45133</v>
      </c>
      <c r="B3621" s="267"/>
      <c r="C3621" s="267" t="s">
        <v>77</v>
      </c>
      <c r="D3621" s="3" t="s">
        <v>63</v>
      </c>
      <c r="E3621" s="1497"/>
      <c r="F3621" s="1497">
        <v>699352.45</v>
      </c>
      <c r="G3621" s="267" t="s">
        <v>287</v>
      </c>
      <c r="H3621" s="3"/>
    </row>
    <row r="3622" spans="1:8">
      <c r="A3622" s="270">
        <v>45133</v>
      </c>
      <c r="B3622" s="267"/>
      <c r="C3622" s="267" t="s">
        <v>92</v>
      </c>
      <c r="D3622" s="3" t="s">
        <v>2084</v>
      </c>
      <c r="E3622" s="1497"/>
      <c r="F3622" s="1497">
        <v>37846.11</v>
      </c>
      <c r="G3622" s="267" t="s">
        <v>27</v>
      </c>
      <c r="H3622" s="3"/>
    </row>
    <row r="3623" spans="1:8">
      <c r="A3623" s="270">
        <v>45133</v>
      </c>
      <c r="B3623" s="267"/>
      <c r="C3623" s="267" t="s">
        <v>92</v>
      </c>
      <c r="D3623" s="3" t="s">
        <v>2139</v>
      </c>
      <c r="E3623" s="1497"/>
      <c r="F3623" s="1497">
        <v>10811.7</v>
      </c>
      <c r="G3623" s="267" t="s">
        <v>27</v>
      </c>
      <c r="H3623" s="3"/>
    </row>
    <row r="3624" spans="1:8">
      <c r="A3624" s="270">
        <v>45133</v>
      </c>
      <c r="B3624" s="267"/>
      <c r="C3624" s="267" t="s">
        <v>160</v>
      </c>
      <c r="D3624" s="3" t="s">
        <v>2167</v>
      </c>
      <c r="E3624" s="1497"/>
      <c r="F3624" s="1497">
        <v>17700</v>
      </c>
      <c r="G3624" s="267" t="s">
        <v>27</v>
      </c>
      <c r="H3624" s="3" t="s">
        <v>2085</v>
      </c>
    </row>
    <row r="3625" spans="1:8">
      <c r="A3625" s="270">
        <v>45134</v>
      </c>
      <c r="B3625" s="267"/>
      <c r="C3625" s="267" t="s">
        <v>94</v>
      </c>
      <c r="D3625" s="3" t="s">
        <v>17</v>
      </c>
      <c r="E3625" s="1497">
        <v>5000</v>
      </c>
      <c r="F3625" s="1497"/>
      <c r="G3625" s="267" t="s">
        <v>27</v>
      </c>
      <c r="H3625" s="3"/>
    </row>
    <row r="3626" spans="1:8">
      <c r="A3626" s="270">
        <v>45134</v>
      </c>
      <c r="B3626" s="267"/>
      <c r="C3626" s="267" t="s">
        <v>94</v>
      </c>
      <c r="D3626" s="3" t="s">
        <v>17</v>
      </c>
      <c r="E3626" s="1497">
        <v>6000</v>
      </c>
      <c r="F3626" s="1497"/>
      <c r="G3626" s="267" t="s">
        <v>27</v>
      </c>
      <c r="H3626" s="3"/>
    </row>
    <row r="3627" spans="1:8">
      <c r="A3627" s="270">
        <v>45134</v>
      </c>
      <c r="B3627" s="267"/>
      <c r="C3627" s="267" t="s">
        <v>1495</v>
      </c>
      <c r="D3627" s="3" t="s">
        <v>2168</v>
      </c>
      <c r="E3627" s="1497">
        <v>24000</v>
      </c>
      <c r="F3627" s="1497"/>
      <c r="G3627" s="267" t="s">
        <v>27</v>
      </c>
      <c r="H3627" s="3"/>
    </row>
    <row r="3628" spans="1:8">
      <c r="A3628" s="270">
        <v>45134</v>
      </c>
      <c r="B3628" s="267"/>
      <c r="C3628" s="267" t="s">
        <v>205</v>
      </c>
      <c r="D3628" s="3" t="s">
        <v>1629</v>
      </c>
      <c r="E3628" s="1497">
        <v>699352.45</v>
      </c>
      <c r="F3628" s="1497"/>
      <c r="G3628" s="267" t="s">
        <v>287</v>
      </c>
      <c r="H3628" s="3"/>
    </row>
    <row r="3629" spans="1:8">
      <c r="A3629" s="270">
        <v>45134</v>
      </c>
      <c r="B3629" s="267"/>
      <c r="C3629" s="267" t="s">
        <v>77</v>
      </c>
      <c r="D3629" s="3" t="s">
        <v>2169</v>
      </c>
      <c r="E3629" s="1497"/>
      <c r="F3629" s="1497">
        <v>40000</v>
      </c>
      <c r="G3629" s="267" t="s">
        <v>27</v>
      </c>
      <c r="H3629" s="3"/>
    </row>
    <row r="3630" spans="1:8">
      <c r="A3630" s="270">
        <v>45134</v>
      </c>
      <c r="B3630" s="267"/>
      <c r="C3630" s="267" t="s">
        <v>77</v>
      </c>
      <c r="D3630" s="3" t="s">
        <v>1889</v>
      </c>
      <c r="E3630" s="1497"/>
      <c r="F3630" s="1497">
        <v>164400</v>
      </c>
      <c r="G3630" s="267" t="s">
        <v>287</v>
      </c>
      <c r="H3630" s="3"/>
    </row>
    <row r="3631" spans="1:8">
      <c r="A3631" s="270">
        <v>45134</v>
      </c>
      <c r="B3631" s="267"/>
      <c r="C3631" s="267" t="s">
        <v>79</v>
      </c>
      <c r="D3631" s="3" t="s">
        <v>193</v>
      </c>
      <c r="E3631" s="1497">
        <v>30000</v>
      </c>
      <c r="F3631" s="1497"/>
      <c r="G3631" s="267" t="s">
        <v>56</v>
      </c>
      <c r="H3631" s="3"/>
    </row>
    <row r="3632" spans="1:8">
      <c r="A3632" s="270">
        <v>45134</v>
      </c>
      <c r="B3632" s="267"/>
      <c r="C3632" s="267" t="s">
        <v>205</v>
      </c>
      <c r="D3632" s="3" t="s">
        <v>2170</v>
      </c>
      <c r="E3632" s="1497">
        <v>276300</v>
      </c>
      <c r="F3632" s="1497"/>
      <c r="G3632" s="267" t="s">
        <v>27</v>
      </c>
      <c r="H3632" s="3"/>
    </row>
    <row r="3633" spans="1:8">
      <c r="A3633" s="269">
        <v>45134</v>
      </c>
      <c r="B3633" s="268"/>
      <c r="C3633" s="268" t="s">
        <v>205</v>
      </c>
      <c r="D3633" s="83" t="s">
        <v>113</v>
      </c>
      <c r="E3633" s="1501">
        <v>1922700</v>
      </c>
      <c r="F3633" s="1501"/>
      <c r="G3633" s="268" t="s">
        <v>27</v>
      </c>
      <c r="H3633" s="3"/>
    </row>
    <row r="3634" spans="1:8">
      <c r="A3634" s="13">
        <v>45134</v>
      </c>
      <c r="B3634" s="12"/>
      <c r="C3634" s="12" t="s">
        <v>86</v>
      </c>
      <c r="D3634" s="89" t="s">
        <v>104</v>
      </c>
      <c r="E3634" s="12">
        <v>9960</v>
      </c>
      <c r="F3634" s="12"/>
      <c r="G3634" s="12" t="s">
        <v>56</v>
      </c>
      <c r="H3634" s="89" t="s">
        <v>2171</v>
      </c>
    </row>
    <row r="3635" spans="1:8">
      <c r="A3635" s="270">
        <v>45134</v>
      </c>
      <c r="B3635" s="267"/>
      <c r="C3635" s="267" t="s">
        <v>55</v>
      </c>
      <c r="D3635" s="3" t="s">
        <v>70</v>
      </c>
      <c r="E3635" s="1497">
        <v>1430</v>
      </c>
      <c r="F3635" s="1497"/>
      <c r="G3635" s="267" t="s">
        <v>56</v>
      </c>
      <c r="H3635" s="3"/>
    </row>
    <row r="3636" spans="1:8">
      <c r="A3636" s="270">
        <v>45135</v>
      </c>
      <c r="B3636" s="267"/>
      <c r="C3636" s="267" t="s">
        <v>730</v>
      </c>
      <c r="D3636" s="3" t="s">
        <v>2173</v>
      </c>
      <c r="E3636" s="1497">
        <v>26000</v>
      </c>
      <c r="F3636" s="1497"/>
      <c r="G3636" s="267" t="s">
        <v>2172</v>
      </c>
      <c r="H3636" s="3"/>
    </row>
    <row r="3637" spans="1:8">
      <c r="A3637" s="270">
        <v>45135</v>
      </c>
      <c r="B3637" s="267"/>
      <c r="C3637" s="267" t="s">
        <v>849</v>
      </c>
      <c r="D3637" s="3" t="s">
        <v>2174</v>
      </c>
      <c r="E3637" s="1497">
        <v>1000</v>
      </c>
      <c r="F3637" s="1497"/>
      <c r="G3637" s="267" t="s">
        <v>2175</v>
      </c>
      <c r="H3637" s="3"/>
    </row>
    <row r="3638" spans="1:8">
      <c r="A3638" s="270">
        <v>45135</v>
      </c>
      <c r="B3638" s="267"/>
      <c r="C3638" s="267" t="s">
        <v>55</v>
      </c>
      <c r="D3638" s="3" t="s">
        <v>2176</v>
      </c>
      <c r="E3638" s="1497"/>
      <c r="F3638" s="1497">
        <v>2700</v>
      </c>
      <c r="G3638" s="267" t="s">
        <v>56</v>
      </c>
      <c r="H3638" s="3"/>
    </row>
    <row r="3639" spans="1:8">
      <c r="A3639" s="270">
        <v>45135</v>
      </c>
      <c r="B3639" s="267"/>
      <c r="C3639" s="267" t="s">
        <v>88</v>
      </c>
      <c r="D3639" s="3" t="s">
        <v>144</v>
      </c>
      <c r="E3639" s="1497">
        <v>15000</v>
      </c>
      <c r="F3639" s="1497"/>
      <c r="G3639" s="267" t="s">
        <v>27</v>
      </c>
      <c r="H3639" s="3"/>
    </row>
    <row r="3640" spans="1:8">
      <c r="A3640" s="270">
        <v>45135</v>
      </c>
      <c r="B3640" s="267"/>
      <c r="C3640" s="267" t="s">
        <v>88</v>
      </c>
      <c r="D3640" s="3" t="s">
        <v>144</v>
      </c>
      <c r="E3640" s="1497">
        <v>56000</v>
      </c>
      <c r="F3640" s="1497"/>
      <c r="G3640" s="267" t="s">
        <v>56</v>
      </c>
      <c r="H3640" s="3"/>
    </row>
    <row r="3641" spans="1:8">
      <c r="A3641" s="270">
        <v>45135</v>
      </c>
      <c r="B3641" s="267"/>
      <c r="C3641" s="267" t="s">
        <v>88</v>
      </c>
      <c r="D3641" s="3" t="s">
        <v>193</v>
      </c>
      <c r="E3641" s="1497">
        <v>30000</v>
      </c>
      <c r="F3641" s="1497"/>
      <c r="G3641" s="267" t="s">
        <v>56</v>
      </c>
      <c r="H3641" s="3"/>
    </row>
    <row r="3642" spans="1:8">
      <c r="A3642" s="270">
        <v>45135</v>
      </c>
      <c r="B3642" s="267"/>
      <c r="C3642" s="267" t="s">
        <v>88</v>
      </c>
      <c r="D3642" s="3" t="s">
        <v>208</v>
      </c>
      <c r="E3642" s="1497">
        <v>31000</v>
      </c>
      <c r="F3642" s="1497"/>
      <c r="G3642" s="267" t="s">
        <v>56</v>
      </c>
      <c r="H3642" s="3"/>
    </row>
    <row r="3643" spans="1:8">
      <c r="A3643" s="270">
        <v>45135</v>
      </c>
      <c r="B3643" s="267"/>
      <c r="C3643" s="267" t="s">
        <v>88</v>
      </c>
      <c r="D3643" s="3" t="s">
        <v>219</v>
      </c>
      <c r="E3643" s="1497">
        <v>46300</v>
      </c>
      <c r="F3643" s="1497"/>
      <c r="G3643" s="267" t="s">
        <v>56</v>
      </c>
      <c r="H3643" s="3"/>
    </row>
    <row r="3644" spans="1:8">
      <c r="A3644" s="270">
        <v>45135</v>
      </c>
      <c r="B3644" s="267"/>
      <c r="C3644" s="267" t="s">
        <v>79</v>
      </c>
      <c r="D3644" s="3" t="s">
        <v>653</v>
      </c>
      <c r="E3644" s="1497"/>
      <c r="F3644" s="1497">
        <v>123690.23</v>
      </c>
      <c r="G3644" s="267" t="s">
        <v>27</v>
      </c>
      <c r="H3644" s="3"/>
    </row>
    <row r="3645" spans="1:8">
      <c r="H3645" s="128" t="s">
        <v>2177</v>
      </c>
    </row>
    <row r="3646" spans="1:8">
      <c r="H3646" s="132" t="s">
        <v>2121</v>
      </c>
    </row>
    <row r="3647" spans="1:8">
      <c r="H3647" s="132" t="s">
        <v>2179</v>
      </c>
    </row>
    <row r="3648" spans="1:8">
      <c r="H3648" s="117" t="s">
        <v>2181</v>
      </c>
    </row>
    <row r="3649" spans="1:8">
      <c r="H3649" s="117" t="s">
        <v>2182</v>
      </c>
    </row>
    <row r="3650" spans="1:8">
      <c r="H3650" s="117" t="s">
        <v>2178</v>
      </c>
    </row>
    <row r="3651" spans="1:8">
      <c r="H3651" s="117" t="s">
        <v>1937</v>
      </c>
    </row>
    <row r="3652" spans="1:8">
      <c r="H3652" s="117" t="s">
        <v>2147</v>
      </c>
    </row>
    <row r="3653" spans="1:8">
      <c r="H3653" s="117" t="s">
        <v>2183</v>
      </c>
    </row>
    <row r="3654" spans="1:8">
      <c r="H3654" s="117" t="s">
        <v>2151</v>
      </c>
    </row>
    <row r="3655" spans="1:8">
      <c r="H3655" s="117" t="s">
        <v>2180</v>
      </c>
    </row>
    <row r="3656" spans="1:8">
      <c r="H3656" s="191" t="s">
        <v>2184</v>
      </c>
    </row>
    <row r="3657" spans="1:8">
      <c r="A3657" s="270">
        <v>45138</v>
      </c>
      <c r="B3657" s="267"/>
      <c r="C3657" s="267" t="s">
        <v>205</v>
      </c>
      <c r="D3657" s="3" t="s">
        <v>207</v>
      </c>
      <c r="E3657" s="1497">
        <v>91000</v>
      </c>
      <c r="F3657" s="1497"/>
      <c r="G3657" s="267" t="s">
        <v>27</v>
      </c>
      <c r="H3657" s="3"/>
    </row>
    <row r="3658" spans="1:8">
      <c r="A3658" s="270">
        <v>45138</v>
      </c>
      <c r="B3658" s="267"/>
      <c r="C3658" s="267" t="s">
        <v>77</v>
      </c>
      <c r="D3658" s="3" t="s">
        <v>1556</v>
      </c>
      <c r="E3658" s="1497"/>
      <c r="F3658" s="1497">
        <v>2014800</v>
      </c>
      <c r="G3658" s="267" t="s">
        <v>287</v>
      </c>
      <c r="H3658" s="174">
        <v>45152</v>
      </c>
    </row>
    <row r="3659" spans="1:8">
      <c r="A3659" s="270">
        <v>45138</v>
      </c>
      <c r="B3659" s="267"/>
      <c r="C3659" s="267" t="s">
        <v>160</v>
      </c>
      <c r="D3659" s="3" t="s">
        <v>2186</v>
      </c>
      <c r="E3659" s="1497"/>
      <c r="F3659" s="1497">
        <v>18000</v>
      </c>
      <c r="G3659" s="267" t="s">
        <v>56</v>
      </c>
      <c r="H3659" s="3"/>
    </row>
    <row r="3660" spans="1:8">
      <c r="A3660" s="270">
        <v>45138</v>
      </c>
      <c r="B3660" s="267"/>
      <c r="C3660" s="267" t="s">
        <v>160</v>
      </c>
      <c r="D3660" s="3" t="s">
        <v>1204</v>
      </c>
      <c r="E3660" s="1497">
        <v>1800</v>
      </c>
      <c r="F3660" s="1497"/>
      <c r="G3660" s="267" t="s">
        <v>56</v>
      </c>
      <c r="H3660" s="3"/>
    </row>
    <row r="3661" spans="1:8">
      <c r="A3661" s="160"/>
      <c r="B3661" s="227"/>
      <c r="C3661" s="227"/>
      <c r="D3661" s="161"/>
      <c r="E3661" s="1503"/>
      <c r="F3661" s="1503"/>
      <c r="G3661" s="227"/>
      <c r="H3661" s="128" t="s">
        <v>2196</v>
      </c>
    </row>
    <row r="3662" spans="1:8">
      <c r="A3662" s="160"/>
      <c r="B3662" s="227"/>
      <c r="C3662" s="227"/>
      <c r="D3662" s="161"/>
      <c r="E3662" s="1503"/>
      <c r="F3662" s="1503"/>
      <c r="G3662" s="227"/>
      <c r="H3662" s="132" t="s">
        <v>2121</v>
      </c>
    </row>
    <row r="3663" spans="1:8">
      <c r="A3663" s="160"/>
      <c r="B3663" s="227"/>
      <c r="C3663" s="227"/>
      <c r="D3663" s="161"/>
      <c r="E3663" s="1503"/>
      <c r="F3663" s="1503"/>
      <c r="G3663" s="227"/>
      <c r="H3663" s="132" t="s">
        <v>2179</v>
      </c>
    </row>
    <row r="3664" spans="1:8">
      <c r="A3664" s="160"/>
      <c r="B3664" s="227"/>
      <c r="C3664" s="227"/>
      <c r="D3664" s="161"/>
      <c r="E3664" s="1503"/>
      <c r="F3664" s="1503"/>
      <c r="G3664" s="227"/>
      <c r="H3664" s="117" t="s">
        <v>2181</v>
      </c>
    </row>
    <row r="3665" spans="1:8">
      <c r="A3665" s="160"/>
      <c r="B3665" s="227"/>
      <c r="C3665" s="227"/>
      <c r="D3665" s="161"/>
      <c r="E3665" s="1503"/>
      <c r="F3665" s="1503"/>
      <c r="G3665" s="227"/>
      <c r="H3665" s="117" t="s">
        <v>2182</v>
      </c>
    </row>
    <row r="3666" spans="1:8">
      <c r="A3666" s="160"/>
      <c r="B3666" s="227"/>
      <c r="C3666" s="227"/>
      <c r="D3666" s="161"/>
      <c r="E3666" s="1503"/>
      <c r="F3666" s="1503"/>
      <c r="G3666" s="227"/>
      <c r="H3666" s="117" t="s">
        <v>2178</v>
      </c>
    </row>
    <row r="3667" spans="1:8">
      <c r="A3667" s="160"/>
      <c r="B3667" s="227"/>
      <c r="C3667" s="227"/>
      <c r="D3667" s="161"/>
      <c r="E3667" s="1503"/>
      <c r="F3667" s="1503"/>
      <c r="G3667" s="227"/>
      <c r="H3667" s="117" t="s">
        <v>1937</v>
      </c>
    </row>
    <row r="3668" spans="1:8">
      <c r="A3668" s="160"/>
      <c r="B3668" s="227"/>
      <c r="C3668" s="227"/>
      <c r="D3668" s="161"/>
      <c r="E3668" s="1503"/>
      <c r="F3668" s="1503"/>
      <c r="G3668" s="227"/>
      <c r="H3668" s="117" t="s">
        <v>2147</v>
      </c>
    </row>
    <row r="3669" spans="1:8">
      <c r="A3669" s="160"/>
      <c r="B3669" s="227"/>
      <c r="C3669" s="227"/>
      <c r="D3669" s="161"/>
      <c r="E3669" s="1503"/>
      <c r="F3669" s="1503"/>
      <c r="G3669" s="227"/>
      <c r="H3669" s="117" t="s">
        <v>2183</v>
      </c>
    </row>
    <row r="3670" spans="1:8">
      <c r="A3670" s="160"/>
      <c r="B3670" s="227"/>
      <c r="C3670" s="227"/>
      <c r="D3670" s="161"/>
      <c r="E3670" s="1503"/>
      <c r="F3670" s="1503"/>
      <c r="G3670" s="227"/>
      <c r="H3670" s="117" t="s">
        <v>2151</v>
      </c>
    </row>
    <row r="3671" spans="1:8">
      <c r="A3671" s="160"/>
      <c r="B3671" s="227"/>
      <c r="C3671" s="227"/>
      <c r="D3671" s="161"/>
      <c r="E3671" s="1503"/>
      <c r="F3671" s="1503"/>
      <c r="G3671" s="227"/>
      <c r="H3671" s="117" t="s">
        <v>2180</v>
      </c>
    </row>
    <row r="3672" spans="1:8">
      <c r="A3672" s="160"/>
      <c r="B3672" s="227"/>
      <c r="C3672" s="227"/>
      <c r="D3672" s="161"/>
      <c r="E3672" s="1503"/>
      <c r="F3672" s="1503"/>
      <c r="G3672" s="227"/>
      <c r="H3672" s="191" t="s">
        <v>2184</v>
      </c>
    </row>
    <row r="3673" spans="1:8">
      <c r="A3673" s="262"/>
      <c r="B3673" s="263"/>
      <c r="C3673" s="263"/>
      <c r="D3673" s="263"/>
      <c r="E3673" s="1491"/>
      <c r="F3673" s="1491"/>
      <c r="G3673" s="263"/>
      <c r="H3673" s="264"/>
    </row>
    <row r="3674" spans="1:8">
      <c r="A3674" s="270">
        <v>45139</v>
      </c>
      <c r="B3674" s="267"/>
      <c r="C3674" s="267" t="s">
        <v>79</v>
      </c>
      <c r="D3674" s="3" t="s">
        <v>2188</v>
      </c>
      <c r="E3674" s="1497">
        <v>1068.18</v>
      </c>
      <c r="F3674" s="1497"/>
      <c r="G3674" s="267" t="s">
        <v>27</v>
      </c>
      <c r="H3674" s="3"/>
    </row>
    <row r="3675" spans="1:8">
      <c r="A3675" s="270">
        <v>45139</v>
      </c>
      <c r="B3675" s="267"/>
      <c r="C3675" s="267" t="s">
        <v>65</v>
      </c>
      <c r="D3675" s="3" t="s">
        <v>2189</v>
      </c>
      <c r="E3675" s="1497">
        <v>5878.86</v>
      </c>
      <c r="F3675" s="1497"/>
      <c r="G3675" s="267" t="s">
        <v>27</v>
      </c>
      <c r="H3675" s="3"/>
    </row>
    <row r="3676" spans="1:8">
      <c r="A3676" s="270">
        <v>45139</v>
      </c>
      <c r="B3676" s="267"/>
      <c r="C3676" s="267" t="s">
        <v>2190</v>
      </c>
      <c r="D3676" s="3" t="s">
        <v>2187</v>
      </c>
      <c r="E3676" s="1497">
        <v>102850</v>
      </c>
      <c r="F3676" s="1497"/>
      <c r="G3676" s="267" t="s">
        <v>27</v>
      </c>
      <c r="H3676" s="3"/>
    </row>
    <row r="3677" spans="1:8">
      <c r="A3677" s="270">
        <v>45139</v>
      </c>
      <c r="B3677" s="267"/>
      <c r="C3677" s="267" t="s">
        <v>2190</v>
      </c>
      <c r="D3677" s="3" t="s">
        <v>2187</v>
      </c>
      <c r="E3677" s="1497">
        <v>102850</v>
      </c>
      <c r="F3677" s="1497"/>
      <c r="G3677" s="267" t="s">
        <v>27</v>
      </c>
      <c r="H3677" s="3"/>
    </row>
    <row r="3678" spans="1:8">
      <c r="A3678" s="270">
        <v>45139</v>
      </c>
      <c r="B3678" s="267"/>
      <c r="C3678" s="267" t="s">
        <v>2190</v>
      </c>
      <c r="D3678" s="3" t="s">
        <v>2187</v>
      </c>
      <c r="E3678" s="1497">
        <v>102850</v>
      </c>
      <c r="F3678" s="1497"/>
      <c r="G3678" s="267" t="s">
        <v>27</v>
      </c>
      <c r="H3678" s="3"/>
    </row>
    <row r="3679" spans="1:8">
      <c r="A3679" s="270">
        <v>45139</v>
      </c>
      <c r="B3679" s="267"/>
      <c r="C3679" s="267" t="s">
        <v>94</v>
      </c>
      <c r="D3679" s="3" t="s">
        <v>2192</v>
      </c>
      <c r="E3679" s="1497" t="s">
        <v>2191</v>
      </c>
      <c r="F3679" s="1497"/>
      <c r="G3679" s="267" t="s">
        <v>27</v>
      </c>
      <c r="H3679" s="3"/>
    </row>
    <row r="3680" spans="1:8">
      <c r="A3680" s="270">
        <v>45139</v>
      </c>
      <c r="B3680" s="267"/>
      <c r="C3680" s="267" t="s">
        <v>55</v>
      </c>
      <c r="D3680" s="3" t="s">
        <v>2194</v>
      </c>
      <c r="E3680" s="1497">
        <v>1000</v>
      </c>
      <c r="F3680" s="1497"/>
      <c r="G3680" s="267" t="s">
        <v>56</v>
      </c>
      <c r="H3680" s="3"/>
    </row>
    <row r="3681" spans="1:8">
      <c r="A3681" s="270">
        <v>45139</v>
      </c>
      <c r="B3681" s="267"/>
      <c r="C3681" s="267" t="s">
        <v>2195</v>
      </c>
      <c r="D3681" s="3" t="s">
        <v>2193</v>
      </c>
      <c r="E3681" s="1497">
        <v>100</v>
      </c>
      <c r="F3681" s="1497"/>
      <c r="G3681" s="267" t="s">
        <v>56</v>
      </c>
      <c r="H3681" s="3"/>
    </row>
    <row r="3682" spans="1:8">
      <c r="A3682" s="270">
        <v>45139</v>
      </c>
      <c r="B3682" s="267"/>
      <c r="C3682" s="267" t="s">
        <v>86</v>
      </c>
      <c r="D3682" s="3" t="s">
        <v>107</v>
      </c>
      <c r="E3682" s="1497">
        <v>6000</v>
      </c>
      <c r="F3682" s="1497"/>
      <c r="G3682" s="267" t="s">
        <v>27</v>
      </c>
      <c r="H3682" s="3"/>
    </row>
    <row r="3683" spans="1:8">
      <c r="A3683" s="270">
        <v>45139</v>
      </c>
      <c r="B3683" s="267"/>
      <c r="C3683" s="267" t="s">
        <v>77</v>
      </c>
      <c r="D3683" s="3" t="s">
        <v>1913</v>
      </c>
      <c r="E3683" s="1497"/>
      <c r="F3683" s="1497">
        <v>256500</v>
      </c>
      <c r="G3683" s="267" t="s">
        <v>2197</v>
      </c>
      <c r="H3683" s="3"/>
    </row>
    <row r="3684" spans="1:8">
      <c r="A3684" s="270">
        <v>45139</v>
      </c>
      <c r="B3684" s="267"/>
      <c r="C3684" s="267" t="s">
        <v>55</v>
      </c>
      <c r="D3684" s="3" t="s">
        <v>478</v>
      </c>
      <c r="E3684" s="1497">
        <v>850</v>
      </c>
      <c r="F3684" s="1497"/>
      <c r="G3684" s="267" t="s">
        <v>56</v>
      </c>
      <c r="H3684" s="3"/>
    </row>
    <row r="3685" spans="1:8">
      <c r="A3685" s="270">
        <v>45139</v>
      </c>
      <c r="B3685" s="267"/>
      <c r="C3685" s="267" t="s">
        <v>79</v>
      </c>
      <c r="D3685" s="3" t="s">
        <v>277</v>
      </c>
      <c r="E3685" s="1497">
        <v>1150</v>
      </c>
      <c r="F3685" s="1497"/>
      <c r="G3685" s="267" t="s">
        <v>56</v>
      </c>
      <c r="H3685" s="3"/>
    </row>
    <row r="3686" spans="1:8">
      <c r="A3686" s="270">
        <v>45139</v>
      </c>
      <c r="B3686" s="267"/>
      <c r="C3686" s="267" t="s">
        <v>77</v>
      </c>
      <c r="D3686" s="3" t="s">
        <v>2186</v>
      </c>
      <c r="E3686" s="1497"/>
      <c r="F3686" s="1333">
        <v>20300</v>
      </c>
      <c r="G3686" s="267" t="s">
        <v>56</v>
      </c>
      <c r="H3686" s="3"/>
    </row>
    <row r="3687" spans="1:8">
      <c r="A3687" s="270">
        <v>45139</v>
      </c>
      <c r="B3687" s="267"/>
      <c r="C3687" s="267" t="s">
        <v>92</v>
      </c>
      <c r="D3687" s="3" t="s">
        <v>455</v>
      </c>
      <c r="E3687" s="1497"/>
      <c r="F3687" s="1497">
        <v>95000</v>
      </c>
      <c r="G3687" s="267" t="s">
        <v>27</v>
      </c>
      <c r="H3687" s="3"/>
    </row>
    <row r="3688" spans="1:8">
      <c r="A3688" s="270">
        <v>45140</v>
      </c>
      <c r="B3688" s="267"/>
      <c r="C3688" s="267" t="s">
        <v>92</v>
      </c>
      <c r="D3688" s="3" t="s">
        <v>2198</v>
      </c>
      <c r="E3688" s="1497"/>
      <c r="F3688" s="1497">
        <v>56810</v>
      </c>
      <c r="G3688" s="267" t="s">
        <v>27</v>
      </c>
      <c r="H3688" s="3"/>
    </row>
    <row r="3689" spans="1:8">
      <c r="A3689" s="270">
        <v>45140</v>
      </c>
      <c r="B3689" s="267"/>
      <c r="C3689" s="267" t="s">
        <v>205</v>
      </c>
      <c r="D3689" s="3" t="s">
        <v>49</v>
      </c>
      <c r="E3689" s="1497">
        <v>164400</v>
      </c>
      <c r="F3689" s="1497"/>
      <c r="G3689" s="267" t="s">
        <v>287</v>
      </c>
      <c r="H3689" s="3"/>
    </row>
    <row r="3690" spans="1:8">
      <c r="A3690" s="270">
        <v>45141</v>
      </c>
      <c r="B3690" s="267"/>
      <c r="C3690" s="267" t="s">
        <v>55</v>
      </c>
      <c r="D3690" s="3" t="s">
        <v>2199</v>
      </c>
      <c r="E3690" s="1497"/>
      <c r="F3690" s="1497">
        <v>12500</v>
      </c>
      <c r="G3690" s="267" t="s">
        <v>27</v>
      </c>
      <c r="H3690" s="3"/>
    </row>
    <row r="3691" spans="1:8">
      <c r="A3691" s="270">
        <v>45141</v>
      </c>
      <c r="B3691" s="267"/>
      <c r="C3691" s="267" t="s">
        <v>92</v>
      </c>
      <c r="D3691" s="3" t="s">
        <v>2130</v>
      </c>
      <c r="E3691" s="1497"/>
      <c r="F3691" s="1497">
        <v>29500</v>
      </c>
      <c r="G3691" s="267" t="s">
        <v>27</v>
      </c>
      <c r="H3691" s="3"/>
    </row>
    <row r="3692" spans="1:8">
      <c r="A3692" s="270">
        <v>45141</v>
      </c>
      <c r="B3692" s="267"/>
      <c r="C3692" s="267" t="s">
        <v>92</v>
      </c>
      <c r="D3692" s="3" t="s">
        <v>2200</v>
      </c>
      <c r="E3692" s="1497"/>
      <c r="F3692" s="1497">
        <v>9500</v>
      </c>
      <c r="G3692" s="267" t="s">
        <v>27</v>
      </c>
      <c r="H3692" s="3"/>
    </row>
    <row r="3693" spans="1:8">
      <c r="A3693" s="270">
        <v>45141</v>
      </c>
      <c r="B3693" s="267"/>
      <c r="C3693" s="267" t="s">
        <v>77</v>
      </c>
      <c r="D3693" s="3" t="s">
        <v>2201</v>
      </c>
      <c r="E3693" s="1497"/>
      <c r="F3693" s="1497">
        <v>296000</v>
      </c>
      <c r="G3693" s="267" t="s">
        <v>56</v>
      </c>
      <c r="H3693" s="3"/>
    </row>
    <row r="3694" spans="1:8">
      <c r="A3694" s="270">
        <v>45141</v>
      </c>
      <c r="B3694" s="267"/>
      <c r="C3694" s="267" t="s">
        <v>55</v>
      </c>
      <c r="D3694" s="3" t="s">
        <v>2202</v>
      </c>
      <c r="E3694" s="1497">
        <v>4730</v>
      </c>
      <c r="F3694" s="1497"/>
      <c r="G3694" s="267" t="s">
        <v>56</v>
      </c>
      <c r="H3694" s="3"/>
    </row>
    <row r="3695" spans="1:8">
      <c r="A3695" s="270">
        <v>45141</v>
      </c>
      <c r="B3695" s="267"/>
      <c r="C3695" s="267" t="s">
        <v>55</v>
      </c>
      <c r="D3695" s="3" t="s">
        <v>2203</v>
      </c>
      <c r="E3695" s="1497">
        <v>17040.64</v>
      </c>
      <c r="F3695" s="1497"/>
      <c r="G3695" s="267" t="s">
        <v>27</v>
      </c>
      <c r="H3695" s="3"/>
    </row>
    <row r="3696" spans="1:8">
      <c r="A3696" s="270">
        <v>45141</v>
      </c>
      <c r="B3696" s="267"/>
      <c r="C3696" s="267" t="s">
        <v>55</v>
      </c>
      <c r="D3696" s="3" t="s">
        <v>63</v>
      </c>
      <c r="E3696" s="1497">
        <v>9692.64</v>
      </c>
      <c r="F3696" s="1497"/>
      <c r="G3696" s="267" t="s">
        <v>27</v>
      </c>
      <c r="H3696" s="3"/>
    </row>
    <row r="3697" spans="1:8">
      <c r="A3697" s="270">
        <v>45141</v>
      </c>
      <c r="B3697" s="267"/>
      <c r="C3697" s="267" t="s">
        <v>55</v>
      </c>
      <c r="D3697" s="3" t="s">
        <v>1951</v>
      </c>
      <c r="E3697" s="1497">
        <v>3000</v>
      </c>
      <c r="F3697" s="1497"/>
      <c r="G3697" s="267" t="s">
        <v>56</v>
      </c>
      <c r="H3697" s="3"/>
    </row>
    <row r="3698" spans="1:8">
      <c r="A3698" s="270">
        <v>45141</v>
      </c>
      <c r="B3698" s="267"/>
      <c r="C3698" s="267" t="s">
        <v>176</v>
      </c>
      <c r="D3698" s="3" t="s">
        <v>2204</v>
      </c>
      <c r="E3698" s="1497">
        <v>35000</v>
      </c>
      <c r="F3698" s="1497"/>
      <c r="G3698" s="267" t="s">
        <v>56</v>
      </c>
      <c r="H3698" s="3"/>
    </row>
    <row r="3699" spans="1:8">
      <c r="A3699" s="270">
        <v>45141</v>
      </c>
      <c r="B3699" s="267"/>
      <c r="C3699" s="267" t="s">
        <v>160</v>
      </c>
      <c r="D3699" s="3" t="s">
        <v>2205</v>
      </c>
      <c r="E3699" s="1497"/>
      <c r="F3699" s="1497">
        <v>22080</v>
      </c>
      <c r="G3699" s="267" t="s">
        <v>27</v>
      </c>
      <c r="H3699" s="3" t="s">
        <v>2206</v>
      </c>
    </row>
    <row r="3700" spans="1:8">
      <c r="A3700" s="270">
        <v>45142</v>
      </c>
      <c r="B3700" s="267"/>
      <c r="C3700" s="267" t="s">
        <v>79</v>
      </c>
      <c r="D3700" s="3" t="s">
        <v>2208</v>
      </c>
      <c r="E3700" s="1497">
        <v>2800</v>
      </c>
      <c r="F3700" s="1497"/>
      <c r="G3700" s="267" t="s">
        <v>56</v>
      </c>
      <c r="H3700" s="3"/>
    </row>
    <row r="3701" spans="1:8">
      <c r="A3701" s="270">
        <v>45142</v>
      </c>
      <c r="B3701" s="267"/>
      <c r="C3701" s="267" t="s">
        <v>537</v>
      </c>
      <c r="D3701" s="3" t="s">
        <v>824</v>
      </c>
      <c r="E3701" s="1497">
        <v>33000</v>
      </c>
      <c r="F3701" s="1497"/>
      <c r="G3701" s="267" t="s">
        <v>56</v>
      </c>
      <c r="H3701" s="3"/>
    </row>
    <row r="3702" spans="1:8">
      <c r="A3702" s="270">
        <v>45142</v>
      </c>
      <c r="B3702" s="267"/>
      <c r="C3702" s="267" t="s">
        <v>537</v>
      </c>
      <c r="D3702" s="3" t="s">
        <v>208</v>
      </c>
      <c r="E3702" s="1497">
        <v>41300</v>
      </c>
      <c r="F3702" s="1497"/>
      <c r="G3702" s="267" t="s">
        <v>56</v>
      </c>
      <c r="H3702" s="3"/>
    </row>
    <row r="3703" spans="1:8">
      <c r="A3703" s="270">
        <v>45142</v>
      </c>
      <c r="B3703" s="267"/>
      <c r="C3703" s="267" t="s">
        <v>537</v>
      </c>
      <c r="D3703" s="3" t="s">
        <v>219</v>
      </c>
      <c r="E3703" s="1497">
        <v>53800</v>
      </c>
      <c r="F3703" s="1497"/>
      <c r="G3703" s="267" t="s">
        <v>56</v>
      </c>
      <c r="H3703" s="3"/>
    </row>
    <row r="3704" spans="1:8">
      <c r="A3704" s="270">
        <v>45142</v>
      </c>
      <c r="B3704" s="267"/>
      <c r="C3704" s="267" t="s">
        <v>537</v>
      </c>
      <c r="D3704" s="3" t="s">
        <v>144</v>
      </c>
      <c r="E3704" s="1497">
        <v>81300</v>
      </c>
      <c r="F3704" s="1497"/>
      <c r="G3704" s="267" t="s">
        <v>56</v>
      </c>
      <c r="H3704" s="3"/>
    </row>
    <row r="3705" spans="1:8">
      <c r="A3705" s="270">
        <v>45142</v>
      </c>
      <c r="B3705" s="267"/>
      <c r="C3705" s="267" t="s">
        <v>55</v>
      </c>
      <c r="D3705" s="3" t="s">
        <v>61</v>
      </c>
      <c r="E3705" s="1497">
        <v>5000</v>
      </c>
      <c r="F3705" s="1497"/>
      <c r="G3705" s="267" t="s">
        <v>56</v>
      </c>
      <c r="H3705" s="3"/>
    </row>
    <row r="3706" spans="1:8">
      <c r="A3706" s="270">
        <v>45142</v>
      </c>
      <c r="B3706" s="267"/>
      <c r="C3706" s="267" t="s">
        <v>79</v>
      </c>
      <c r="D3706" s="3" t="s">
        <v>79</v>
      </c>
      <c r="E3706" s="1497">
        <v>5000</v>
      </c>
      <c r="F3706" s="1497"/>
      <c r="G3706" s="267" t="s">
        <v>56</v>
      </c>
      <c r="H3706" s="3"/>
    </row>
    <row r="3707" spans="1:8">
      <c r="A3707" s="270">
        <v>45142</v>
      </c>
      <c r="B3707" s="267"/>
      <c r="C3707" s="267" t="s">
        <v>205</v>
      </c>
      <c r="D3707" s="3" t="s">
        <v>48</v>
      </c>
      <c r="E3707" s="1497">
        <v>140000</v>
      </c>
      <c r="F3707" s="1497"/>
      <c r="G3707" s="267" t="s">
        <v>56</v>
      </c>
      <c r="H3707" s="3"/>
    </row>
    <row r="3708" spans="1:8">
      <c r="A3708" s="270">
        <v>45142</v>
      </c>
      <c r="B3708" s="267"/>
      <c r="C3708" s="267" t="s">
        <v>176</v>
      </c>
      <c r="D3708" s="3" t="s">
        <v>175</v>
      </c>
      <c r="E3708" s="1497">
        <v>50000</v>
      </c>
      <c r="F3708" s="1497"/>
      <c r="G3708" s="267" t="s">
        <v>56</v>
      </c>
      <c r="H3708" s="3"/>
    </row>
    <row r="3709" spans="1:8">
      <c r="A3709" s="267"/>
      <c r="B3709" s="267"/>
      <c r="C3709" s="267"/>
      <c r="D3709" s="3"/>
      <c r="E3709" s="1497"/>
      <c r="F3709" s="1497"/>
      <c r="G3709" s="267"/>
      <c r="H3709" s="128" t="s">
        <v>2207</v>
      </c>
    </row>
    <row r="3710" spans="1:8">
      <c r="A3710" s="267"/>
      <c r="B3710" s="267"/>
      <c r="C3710" s="267"/>
      <c r="D3710" s="3"/>
      <c r="E3710" s="1497"/>
      <c r="F3710" s="1497"/>
      <c r="G3710" s="267"/>
      <c r="H3710" s="132" t="s">
        <v>2121</v>
      </c>
    </row>
    <row r="3711" spans="1:8">
      <c r="A3711" s="267"/>
      <c r="B3711" s="267"/>
      <c r="C3711" s="267"/>
      <c r="D3711" s="3"/>
      <c r="E3711" s="1497"/>
      <c r="F3711" s="1497"/>
      <c r="G3711" s="267"/>
      <c r="H3711" s="132" t="s">
        <v>2209</v>
      </c>
    </row>
    <row r="3712" spans="1:8">
      <c r="A3712" s="267"/>
      <c r="B3712" s="267"/>
      <c r="C3712" s="267"/>
      <c r="D3712" s="3"/>
      <c r="E3712" s="1497"/>
      <c r="F3712" s="1497"/>
      <c r="G3712" s="267"/>
      <c r="H3712" s="117" t="s">
        <v>2210</v>
      </c>
    </row>
    <row r="3713" spans="1:8">
      <c r="A3713" s="267"/>
      <c r="B3713" s="267"/>
      <c r="C3713" s="267"/>
      <c r="D3713" s="3"/>
      <c r="E3713" s="1497"/>
      <c r="F3713" s="1497"/>
      <c r="G3713" s="267"/>
      <c r="H3713" s="117" t="s">
        <v>2182</v>
      </c>
    </row>
    <row r="3714" spans="1:8">
      <c r="A3714" s="267"/>
      <c r="B3714" s="267"/>
      <c r="C3714" s="267"/>
      <c r="D3714" s="3"/>
      <c r="E3714" s="1497"/>
      <c r="F3714" s="1497"/>
      <c r="G3714" s="267"/>
      <c r="H3714" s="117" t="s">
        <v>2213</v>
      </c>
    </row>
    <row r="3715" spans="1:8">
      <c r="A3715" s="267"/>
      <c r="B3715" s="267"/>
      <c r="C3715" s="267"/>
      <c r="D3715" s="3"/>
      <c r="E3715" s="1497"/>
      <c r="F3715" s="1497"/>
      <c r="G3715" s="267"/>
      <c r="H3715" s="117" t="s">
        <v>1937</v>
      </c>
    </row>
    <row r="3716" spans="1:8">
      <c r="H3716" s="117" t="s">
        <v>2147</v>
      </c>
    </row>
    <row r="3717" spans="1:8">
      <c r="H3717" s="117" t="s">
        <v>2148</v>
      </c>
    </row>
    <row r="3718" spans="1:8">
      <c r="H3718" s="117" t="s">
        <v>2151</v>
      </c>
    </row>
    <row r="3719" spans="1:8">
      <c r="H3719" s="117" t="s">
        <v>2214</v>
      </c>
    </row>
    <row r="3720" spans="1:8">
      <c r="H3720" s="191" t="s">
        <v>2215</v>
      </c>
    </row>
    <row r="3721" spans="1:8">
      <c r="A3721" s="270">
        <v>45145</v>
      </c>
      <c r="B3721" s="267"/>
      <c r="C3721" s="267" t="s">
        <v>79</v>
      </c>
      <c r="D3721" s="3" t="s">
        <v>79</v>
      </c>
      <c r="E3721" s="1497">
        <v>8838.94</v>
      </c>
      <c r="F3721" s="1497"/>
      <c r="G3721" s="267" t="s">
        <v>27</v>
      </c>
      <c r="H3721" s="192"/>
    </row>
    <row r="3722" spans="1:8">
      <c r="A3722" s="270">
        <v>45145</v>
      </c>
      <c r="B3722" s="267"/>
      <c r="C3722" s="267" t="s">
        <v>79</v>
      </c>
      <c r="D3722" s="3" t="s">
        <v>79</v>
      </c>
      <c r="E3722" s="1497">
        <v>8700</v>
      </c>
      <c r="F3722" s="1497"/>
      <c r="G3722" s="267" t="s">
        <v>27</v>
      </c>
      <c r="H3722" s="3"/>
    </row>
    <row r="3723" spans="1:8">
      <c r="A3723" s="270">
        <v>45145</v>
      </c>
      <c r="B3723" s="267"/>
      <c r="C3723" s="267" t="s">
        <v>2212</v>
      </c>
      <c r="D3723" s="3" t="s">
        <v>2211</v>
      </c>
      <c r="E3723" s="1497">
        <v>102847</v>
      </c>
      <c r="F3723" s="1497"/>
      <c r="G3723" s="267" t="s">
        <v>27</v>
      </c>
      <c r="H3723" s="3"/>
    </row>
    <row r="3724" spans="1:8">
      <c r="A3724" s="270">
        <v>45145</v>
      </c>
      <c r="B3724" s="267"/>
      <c r="C3724" s="267" t="s">
        <v>77</v>
      </c>
      <c r="D3724" s="3" t="s">
        <v>170</v>
      </c>
      <c r="E3724" s="1497"/>
      <c r="F3724" s="1497">
        <v>568500</v>
      </c>
      <c r="G3724" s="267" t="s">
        <v>27</v>
      </c>
      <c r="H3724" s="3"/>
    </row>
    <row r="3725" spans="1:8">
      <c r="A3725" s="270">
        <v>45145</v>
      </c>
      <c r="B3725" s="267"/>
      <c r="C3725" s="267" t="s">
        <v>205</v>
      </c>
      <c r="D3725" s="3" t="s">
        <v>33</v>
      </c>
      <c r="E3725" s="1497">
        <v>19447.91</v>
      </c>
      <c r="F3725" s="1497"/>
      <c r="G3725" s="267" t="s">
        <v>27</v>
      </c>
      <c r="H3725" s="3"/>
    </row>
    <row r="3726" spans="1:8">
      <c r="A3726" s="270">
        <v>45145</v>
      </c>
      <c r="B3726" s="267"/>
      <c r="C3726" s="267" t="s">
        <v>537</v>
      </c>
      <c r="D3726" s="3" t="s">
        <v>208</v>
      </c>
      <c r="E3726" s="1497">
        <v>20000</v>
      </c>
      <c r="F3726" s="1497"/>
      <c r="G3726" s="267" t="s">
        <v>56</v>
      </c>
      <c r="H3726" s="3"/>
    </row>
    <row r="3727" spans="1:8">
      <c r="A3727" s="270">
        <v>45145</v>
      </c>
      <c r="B3727" s="267"/>
      <c r="C3727" s="267" t="s">
        <v>92</v>
      </c>
      <c r="D3727" s="3" t="s">
        <v>377</v>
      </c>
      <c r="E3727" s="1497"/>
      <c r="F3727" s="1497">
        <v>22880</v>
      </c>
      <c r="G3727" s="267" t="s">
        <v>56</v>
      </c>
      <c r="H3727" s="3"/>
    </row>
    <row r="3728" spans="1:8">
      <c r="A3728" s="270">
        <v>45145</v>
      </c>
      <c r="B3728" s="267"/>
      <c r="C3728" s="267" t="s">
        <v>77</v>
      </c>
      <c r="D3728" s="3" t="s">
        <v>377</v>
      </c>
      <c r="E3728" s="1497"/>
      <c r="F3728" s="1497">
        <v>104870</v>
      </c>
      <c r="G3728" s="267" t="s">
        <v>56</v>
      </c>
      <c r="H3728" s="3"/>
    </row>
    <row r="3729" spans="1:8">
      <c r="A3729" s="270">
        <v>45146</v>
      </c>
      <c r="B3729" s="267"/>
      <c r="C3729" s="267" t="s">
        <v>176</v>
      </c>
      <c r="D3729" s="3" t="s">
        <v>175</v>
      </c>
      <c r="E3729" s="1497">
        <v>23000</v>
      </c>
      <c r="F3729" s="1497"/>
      <c r="G3729" s="267" t="s">
        <v>56</v>
      </c>
      <c r="H3729" s="3"/>
    </row>
    <row r="3730" spans="1:8">
      <c r="A3730" s="270">
        <v>45146</v>
      </c>
      <c r="B3730" s="267"/>
      <c r="C3730" s="267" t="s">
        <v>55</v>
      </c>
      <c r="D3730" s="3" t="s">
        <v>225</v>
      </c>
      <c r="E3730" s="1497">
        <v>1200</v>
      </c>
      <c r="F3730" s="1497"/>
      <c r="G3730" s="267" t="s">
        <v>56</v>
      </c>
      <c r="H3730" s="3"/>
    </row>
    <row r="3731" spans="1:8">
      <c r="A3731" s="270">
        <v>45146</v>
      </c>
      <c r="B3731" s="267"/>
      <c r="C3731" s="267" t="s">
        <v>55</v>
      </c>
      <c r="D3731" s="15" t="s">
        <v>53</v>
      </c>
      <c r="E3731" s="1497">
        <v>100000</v>
      </c>
      <c r="F3731" s="1497"/>
      <c r="G3731" s="267" t="s">
        <v>56</v>
      </c>
      <c r="H3731" s="75" t="s">
        <v>2216</v>
      </c>
    </row>
    <row r="3732" spans="1:8">
      <c r="A3732" s="270">
        <v>45146</v>
      </c>
      <c r="B3732" s="267"/>
      <c r="C3732" s="267" t="s">
        <v>86</v>
      </c>
      <c r="D3732" s="3" t="s">
        <v>104</v>
      </c>
      <c r="E3732" s="1497">
        <v>4000</v>
      </c>
      <c r="F3732" s="1497"/>
      <c r="G3732" s="267" t="s">
        <v>56</v>
      </c>
      <c r="H3732" s="3"/>
    </row>
    <row r="3733" spans="1:8">
      <c r="A3733" s="270">
        <v>45146</v>
      </c>
      <c r="B3733" s="267"/>
      <c r="C3733" s="267" t="s">
        <v>62</v>
      </c>
      <c r="D3733" s="3" t="s">
        <v>38</v>
      </c>
      <c r="E3733" s="1497">
        <v>1700</v>
      </c>
      <c r="F3733" s="1497"/>
      <c r="G3733" s="267" t="s">
        <v>56</v>
      </c>
      <c r="H3733" s="3" t="s">
        <v>2016</v>
      </c>
    </row>
    <row r="3734" spans="1:8">
      <c r="A3734" s="270">
        <v>45146</v>
      </c>
      <c r="B3734" s="267"/>
      <c r="C3734" s="267" t="s">
        <v>55</v>
      </c>
      <c r="D3734" s="3" t="s">
        <v>613</v>
      </c>
      <c r="E3734" s="1497">
        <v>835</v>
      </c>
      <c r="F3734" s="1497"/>
      <c r="G3734" s="267" t="s">
        <v>56</v>
      </c>
      <c r="H3734" s="3" t="s">
        <v>2016</v>
      </c>
    </row>
    <row r="3735" spans="1:8">
      <c r="A3735" s="270">
        <v>45147</v>
      </c>
      <c r="B3735" s="267"/>
      <c r="C3735" s="267" t="s">
        <v>79</v>
      </c>
      <c r="D3735" s="3" t="s">
        <v>2217</v>
      </c>
      <c r="E3735" s="1497">
        <v>37860</v>
      </c>
      <c r="F3735" s="1497"/>
      <c r="G3735" s="267" t="s">
        <v>27</v>
      </c>
      <c r="H3735" s="3"/>
    </row>
    <row r="3736" spans="1:8">
      <c r="A3736" s="270">
        <v>45148</v>
      </c>
      <c r="B3736" s="267"/>
      <c r="C3736" s="267" t="s">
        <v>94</v>
      </c>
      <c r="D3736" s="3" t="s">
        <v>2218</v>
      </c>
      <c r="E3736" s="1497">
        <v>4139.05</v>
      </c>
      <c r="F3736" s="1497"/>
      <c r="G3736" s="267" t="s">
        <v>27</v>
      </c>
      <c r="H3736" s="3"/>
    </row>
    <row r="3737" spans="1:8">
      <c r="A3737" s="270">
        <v>45148</v>
      </c>
      <c r="B3737" s="267"/>
      <c r="C3737" s="267" t="s">
        <v>94</v>
      </c>
      <c r="D3737" s="3" t="s">
        <v>2219</v>
      </c>
      <c r="E3737" s="1497">
        <v>20270.75</v>
      </c>
      <c r="F3737" s="1497"/>
      <c r="G3737" s="267" t="s">
        <v>27</v>
      </c>
      <c r="H3737" s="3"/>
    </row>
    <row r="3738" spans="1:8">
      <c r="A3738" s="112">
        <v>45148</v>
      </c>
      <c r="B3738" s="70"/>
      <c r="C3738" s="70" t="s">
        <v>537</v>
      </c>
      <c r="D3738" s="113" t="s">
        <v>144</v>
      </c>
      <c r="E3738" s="70">
        <v>1871.79</v>
      </c>
      <c r="F3738" s="1497"/>
      <c r="G3738" s="267" t="s">
        <v>27</v>
      </c>
      <c r="H3738" s="3"/>
    </row>
    <row r="3739" spans="1:8">
      <c r="A3739" s="270">
        <v>45148</v>
      </c>
      <c r="B3739" s="267"/>
      <c r="C3739" s="267" t="s">
        <v>55</v>
      </c>
      <c r="D3739" s="3" t="s">
        <v>1951</v>
      </c>
      <c r="E3739" s="1497">
        <v>2500</v>
      </c>
      <c r="F3739" s="1497"/>
      <c r="G3739" s="267" t="s">
        <v>56</v>
      </c>
      <c r="H3739" s="3"/>
    </row>
    <row r="3740" spans="1:8">
      <c r="A3740" s="270">
        <v>45148</v>
      </c>
      <c r="B3740" s="267"/>
      <c r="C3740" s="267" t="s">
        <v>92</v>
      </c>
      <c r="D3740" s="3" t="s">
        <v>377</v>
      </c>
      <c r="E3740" s="1497"/>
      <c r="F3740" s="1497">
        <v>163790</v>
      </c>
      <c r="G3740" s="267" t="s">
        <v>56</v>
      </c>
      <c r="H3740" s="3"/>
    </row>
    <row r="3741" spans="1:8">
      <c r="A3741" s="270">
        <v>45148</v>
      </c>
      <c r="B3741" s="267"/>
      <c r="C3741" s="267" t="s">
        <v>92</v>
      </c>
      <c r="D3741" s="3" t="s">
        <v>2220</v>
      </c>
      <c r="E3741" s="1497"/>
      <c r="F3741" s="1497">
        <v>14800</v>
      </c>
      <c r="G3741" s="267" t="s">
        <v>27</v>
      </c>
      <c r="H3741" s="3"/>
    </row>
    <row r="3742" spans="1:8">
      <c r="A3742" s="270">
        <v>45149</v>
      </c>
      <c r="B3742" s="267"/>
      <c r="C3742" s="267" t="s">
        <v>205</v>
      </c>
      <c r="D3742" s="3" t="s">
        <v>207</v>
      </c>
      <c r="E3742" s="1497">
        <v>36500</v>
      </c>
      <c r="F3742" s="1497"/>
      <c r="G3742" s="267" t="s">
        <v>27</v>
      </c>
      <c r="H3742" s="3"/>
    </row>
    <row r="3743" spans="1:8">
      <c r="A3743" s="270">
        <v>45149</v>
      </c>
      <c r="B3743" s="267"/>
      <c r="C3743" s="267" t="s">
        <v>205</v>
      </c>
      <c r="D3743" s="3" t="s">
        <v>789</v>
      </c>
      <c r="E3743" s="1497">
        <v>33893</v>
      </c>
      <c r="F3743" s="1497"/>
      <c r="G3743" s="267" t="s">
        <v>27</v>
      </c>
      <c r="H3743" s="3"/>
    </row>
    <row r="3744" spans="1:8">
      <c r="A3744" s="270">
        <v>45149</v>
      </c>
      <c r="B3744" s="267"/>
      <c r="C3744" s="267" t="s">
        <v>205</v>
      </c>
      <c r="D3744" s="15" t="s">
        <v>2221</v>
      </c>
      <c r="E3744" s="1497">
        <v>21391.279999999999</v>
      </c>
      <c r="F3744" s="1497"/>
      <c r="G3744" s="267" t="s">
        <v>287</v>
      </c>
      <c r="H3744" s="135">
        <v>45240</v>
      </c>
    </row>
    <row r="3745" spans="1:8">
      <c r="A3745" s="270">
        <v>45149</v>
      </c>
      <c r="B3745" s="267"/>
      <c r="C3745" s="267" t="s">
        <v>205</v>
      </c>
      <c r="D3745" s="3" t="s">
        <v>52</v>
      </c>
      <c r="E3745" s="1497">
        <v>29738</v>
      </c>
      <c r="F3745" s="1497"/>
      <c r="G3745" s="267" t="s">
        <v>27</v>
      </c>
      <c r="H3745" s="3"/>
    </row>
    <row r="3746" spans="1:8">
      <c r="A3746" s="270">
        <v>45149</v>
      </c>
      <c r="B3746" s="267"/>
      <c r="C3746" s="267" t="s">
        <v>205</v>
      </c>
      <c r="D3746" s="3" t="s">
        <v>53</v>
      </c>
      <c r="E3746" s="1497">
        <v>19270</v>
      </c>
      <c r="F3746" s="1497"/>
      <c r="G3746" s="267" t="s">
        <v>56</v>
      </c>
      <c r="H3746" s="3" t="s">
        <v>377</v>
      </c>
    </row>
    <row r="3747" spans="1:8">
      <c r="A3747" s="270">
        <v>45149</v>
      </c>
      <c r="B3747" s="267"/>
      <c r="C3747" s="267" t="s">
        <v>55</v>
      </c>
      <c r="D3747" s="3" t="s">
        <v>2222</v>
      </c>
      <c r="E3747" s="1497">
        <v>24000</v>
      </c>
      <c r="F3747" s="1497"/>
      <c r="G3747" s="267" t="s">
        <v>56</v>
      </c>
      <c r="H3747" s="3"/>
    </row>
    <row r="3748" spans="1:8">
      <c r="A3748" s="270">
        <v>45149</v>
      </c>
      <c r="B3748" s="267"/>
      <c r="C3748" s="267" t="s">
        <v>92</v>
      </c>
      <c r="D3748" s="3" t="s">
        <v>300</v>
      </c>
      <c r="E3748" s="1497"/>
      <c r="F3748" s="1497">
        <v>6650</v>
      </c>
      <c r="G3748" s="267" t="s">
        <v>56</v>
      </c>
      <c r="H3748" s="3"/>
    </row>
    <row r="3749" spans="1:8">
      <c r="A3749" s="270">
        <v>45149</v>
      </c>
      <c r="B3749" s="267"/>
      <c r="C3749" s="267" t="s">
        <v>92</v>
      </c>
      <c r="D3749" s="3" t="s">
        <v>2223</v>
      </c>
      <c r="E3749" s="1497"/>
      <c r="F3749" s="1497">
        <v>18600</v>
      </c>
      <c r="G3749" s="267" t="s">
        <v>56</v>
      </c>
      <c r="H3749" s="3"/>
    </row>
    <row r="3750" spans="1:8">
      <c r="A3750" s="270">
        <v>45149</v>
      </c>
      <c r="B3750" s="267"/>
      <c r="C3750" s="267" t="s">
        <v>77</v>
      </c>
      <c r="D3750" s="3" t="s">
        <v>2224</v>
      </c>
      <c r="E3750" s="1497"/>
      <c r="F3750" s="1497">
        <v>60000</v>
      </c>
      <c r="G3750" s="267" t="s">
        <v>56</v>
      </c>
      <c r="H3750" s="3"/>
    </row>
    <row r="3751" spans="1:8">
      <c r="A3751" s="270">
        <v>45149</v>
      </c>
      <c r="B3751" s="267"/>
      <c r="C3751" s="267" t="s">
        <v>537</v>
      </c>
      <c r="D3751" s="3" t="s">
        <v>219</v>
      </c>
      <c r="E3751" s="1497">
        <v>53800</v>
      </c>
      <c r="F3751" s="1497"/>
      <c r="G3751" s="267" t="s">
        <v>56</v>
      </c>
      <c r="H3751" s="3"/>
    </row>
    <row r="3752" spans="1:8">
      <c r="A3752" s="270">
        <v>45149</v>
      </c>
      <c r="B3752" s="267"/>
      <c r="C3752" s="267" t="s">
        <v>537</v>
      </c>
      <c r="D3752" s="3" t="s">
        <v>208</v>
      </c>
      <c r="E3752" s="1497">
        <v>21300</v>
      </c>
      <c r="F3752" s="1497"/>
      <c r="G3752" s="267" t="s">
        <v>56</v>
      </c>
      <c r="H3752" s="3"/>
    </row>
    <row r="3753" spans="1:8">
      <c r="A3753" s="270">
        <v>45149</v>
      </c>
      <c r="B3753" s="267"/>
      <c r="C3753" s="267" t="s">
        <v>537</v>
      </c>
      <c r="D3753" s="3" t="s">
        <v>144</v>
      </c>
      <c r="E3753" s="1497">
        <v>50000</v>
      </c>
      <c r="F3753" s="1497"/>
      <c r="G3753" s="267" t="s">
        <v>56</v>
      </c>
      <c r="H3753" s="3"/>
    </row>
    <row r="3754" spans="1:8">
      <c r="A3754" s="270">
        <v>45149</v>
      </c>
      <c r="B3754" s="267"/>
      <c r="C3754" s="267" t="s">
        <v>537</v>
      </c>
      <c r="D3754" s="3" t="s">
        <v>144</v>
      </c>
      <c r="E3754" s="1497">
        <v>30000</v>
      </c>
      <c r="F3754" s="1497"/>
      <c r="G3754" s="267" t="s">
        <v>27</v>
      </c>
      <c r="H3754" s="3"/>
    </row>
    <row r="3755" spans="1:8">
      <c r="A3755" s="270">
        <v>45149</v>
      </c>
      <c r="B3755" s="267"/>
      <c r="C3755" s="267" t="s">
        <v>537</v>
      </c>
      <c r="D3755" s="3" t="s">
        <v>824</v>
      </c>
      <c r="E3755" s="1497">
        <v>33000</v>
      </c>
      <c r="F3755" s="1497"/>
      <c r="G3755" s="267" t="s">
        <v>56</v>
      </c>
      <c r="H3755" s="3"/>
    </row>
    <row r="3756" spans="1:8">
      <c r="A3756" s="267"/>
      <c r="B3756" s="267"/>
      <c r="C3756" s="267"/>
      <c r="D3756" s="3"/>
      <c r="E3756" s="1497"/>
      <c r="F3756" s="1497"/>
      <c r="G3756" s="267"/>
      <c r="H3756" s="128" t="s">
        <v>2225</v>
      </c>
    </row>
    <row r="3757" spans="1:8">
      <c r="H3757" s="132" t="s">
        <v>2227</v>
      </c>
    </row>
    <row r="3758" spans="1:8">
      <c r="H3758" s="132" t="s">
        <v>2228</v>
      </c>
    </row>
    <row r="3759" spans="1:8">
      <c r="H3759" s="117" t="s">
        <v>2229</v>
      </c>
    </row>
    <row r="3760" spans="1:8">
      <c r="H3760" s="117" t="s">
        <v>2182</v>
      </c>
    </row>
    <row r="3761" spans="1:8">
      <c r="H3761" s="117" t="s">
        <v>2226</v>
      </c>
    </row>
    <row r="3762" spans="1:8">
      <c r="H3762" s="117" t="s">
        <v>1937</v>
      </c>
    </row>
    <row r="3763" spans="1:8">
      <c r="H3763" s="117" t="s">
        <v>2147</v>
      </c>
    </row>
    <row r="3764" spans="1:8">
      <c r="H3764" s="117" t="s">
        <v>2148</v>
      </c>
    </row>
    <row r="3765" spans="1:8">
      <c r="H3765" s="117" t="s">
        <v>2151</v>
      </c>
    </row>
    <row r="3766" spans="1:8" ht="15.75" thickBot="1">
      <c r="H3766" s="118" t="s">
        <v>2230</v>
      </c>
    </row>
    <row r="3767" spans="1:8">
      <c r="H3767" s="193" t="s">
        <v>2231</v>
      </c>
    </row>
    <row r="3768" spans="1:8">
      <c r="A3768" s="270">
        <v>45152</v>
      </c>
      <c r="B3768" s="267"/>
      <c r="C3768" s="267" t="s">
        <v>86</v>
      </c>
      <c r="D3768" s="3" t="s">
        <v>104</v>
      </c>
      <c r="E3768" s="1497">
        <v>5000</v>
      </c>
      <c r="F3768" s="1497"/>
      <c r="G3768" s="267" t="s">
        <v>27</v>
      </c>
      <c r="H3768" s="192"/>
    </row>
    <row r="3769" spans="1:8">
      <c r="A3769" s="270">
        <v>45152</v>
      </c>
      <c r="B3769" s="267"/>
      <c r="C3769" s="267" t="s">
        <v>55</v>
      </c>
      <c r="D3769" s="3" t="s">
        <v>2232</v>
      </c>
      <c r="E3769" s="1497">
        <v>5000</v>
      </c>
      <c r="F3769" s="1497"/>
      <c r="G3769" s="267" t="s">
        <v>56</v>
      </c>
      <c r="H3769" s="3"/>
    </row>
    <row r="3770" spans="1:8">
      <c r="A3770" s="270">
        <v>45152</v>
      </c>
      <c r="B3770" s="267"/>
      <c r="C3770" s="267" t="s">
        <v>79</v>
      </c>
      <c r="D3770" s="3" t="s">
        <v>151</v>
      </c>
      <c r="E3770" s="1497">
        <v>2000</v>
      </c>
      <c r="F3770" s="1497"/>
      <c r="G3770" s="267" t="s">
        <v>56</v>
      </c>
      <c r="H3770" s="3"/>
    </row>
    <row r="3771" spans="1:8">
      <c r="A3771" s="270">
        <v>45152</v>
      </c>
      <c r="B3771" s="267"/>
      <c r="C3771" s="267" t="s">
        <v>92</v>
      </c>
      <c r="D3771" s="3" t="s">
        <v>2233</v>
      </c>
      <c r="E3771" s="1497"/>
      <c r="F3771" s="1497">
        <v>21000</v>
      </c>
      <c r="G3771" s="267" t="s">
        <v>56</v>
      </c>
      <c r="H3771" s="3"/>
    </row>
    <row r="3772" spans="1:8">
      <c r="A3772" s="270">
        <v>45152</v>
      </c>
      <c r="B3772" s="267"/>
      <c r="C3772" s="267" t="s">
        <v>205</v>
      </c>
      <c r="D3772" s="3" t="s">
        <v>48</v>
      </c>
      <c r="E3772" s="1497">
        <v>100000</v>
      </c>
      <c r="F3772" s="1497"/>
      <c r="G3772" s="267" t="s">
        <v>27</v>
      </c>
      <c r="H3772" s="3"/>
    </row>
    <row r="3773" spans="1:8">
      <c r="A3773" s="270">
        <v>45152</v>
      </c>
      <c r="B3773" s="267"/>
      <c r="C3773" s="267" t="s">
        <v>205</v>
      </c>
      <c r="D3773" s="3" t="s">
        <v>190</v>
      </c>
      <c r="E3773" s="1497">
        <v>434860</v>
      </c>
      <c r="F3773" s="1497"/>
      <c r="G3773" s="267" t="s">
        <v>287</v>
      </c>
      <c r="H3773" s="71">
        <v>78032.039999999994</v>
      </c>
    </row>
    <row r="3774" spans="1:8">
      <c r="A3774" s="270">
        <v>45152</v>
      </c>
      <c r="B3774" s="267"/>
      <c r="C3774" s="267" t="s">
        <v>55</v>
      </c>
      <c r="D3774" s="3" t="s">
        <v>61</v>
      </c>
      <c r="E3774" s="1497">
        <v>900</v>
      </c>
      <c r="F3774" s="1497"/>
      <c r="G3774" s="267" t="s">
        <v>56</v>
      </c>
      <c r="H3774" s="3"/>
    </row>
    <row r="3775" spans="1:8">
      <c r="A3775" s="270">
        <v>45152</v>
      </c>
      <c r="B3775" s="267"/>
      <c r="C3775" s="267" t="s">
        <v>55</v>
      </c>
      <c r="D3775" s="3" t="s">
        <v>409</v>
      </c>
      <c r="E3775" s="1497">
        <v>1400</v>
      </c>
      <c r="F3775" s="1497"/>
      <c r="G3775" s="267" t="s">
        <v>56</v>
      </c>
      <c r="H3775" s="3" t="s">
        <v>1979</v>
      </c>
    </row>
    <row r="3776" spans="1:8">
      <c r="A3776" s="270">
        <v>45152</v>
      </c>
      <c r="B3776" s="267"/>
      <c r="C3776" s="267" t="s">
        <v>92</v>
      </c>
      <c r="D3776" s="3" t="s">
        <v>2234</v>
      </c>
      <c r="E3776" s="1497"/>
      <c r="F3776" s="1497">
        <v>90000</v>
      </c>
      <c r="G3776" s="267" t="s">
        <v>27</v>
      </c>
      <c r="H3776" s="3"/>
    </row>
    <row r="3777" spans="1:8">
      <c r="A3777" s="270">
        <v>45153</v>
      </c>
      <c r="B3777" s="267"/>
      <c r="C3777" s="267" t="s">
        <v>176</v>
      </c>
      <c r="D3777" s="3" t="s">
        <v>1967</v>
      </c>
      <c r="E3777" s="1497">
        <v>500000</v>
      </c>
      <c r="F3777" s="1497"/>
      <c r="G3777" s="267" t="s">
        <v>27</v>
      </c>
      <c r="H3777" s="3"/>
    </row>
    <row r="3778" spans="1:8">
      <c r="A3778" s="270">
        <v>45153</v>
      </c>
      <c r="B3778" s="267"/>
      <c r="C3778" s="267" t="s">
        <v>2235</v>
      </c>
      <c r="D3778" s="3" t="s">
        <v>2236</v>
      </c>
      <c r="E3778" s="1497">
        <v>724000</v>
      </c>
      <c r="F3778" s="1497"/>
      <c r="G3778" s="267" t="s">
        <v>27</v>
      </c>
      <c r="H3778" s="3"/>
    </row>
    <row r="3779" spans="1:8">
      <c r="A3779" s="270">
        <v>45153</v>
      </c>
      <c r="B3779" s="267"/>
      <c r="C3779" s="267" t="s">
        <v>79</v>
      </c>
      <c r="D3779" s="3" t="s">
        <v>277</v>
      </c>
      <c r="E3779" s="1497">
        <v>5000</v>
      </c>
      <c r="F3779" s="1497"/>
      <c r="G3779" s="267" t="s">
        <v>56</v>
      </c>
      <c r="H3779" s="3"/>
    </row>
    <row r="3780" spans="1:8">
      <c r="A3780" s="270">
        <v>45154</v>
      </c>
      <c r="B3780" s="267"/>
      <c r="C3780" s="267" t="s">
        <v>97</v>
      </c>
      <c r="D3780" s="3" t="s">
        <v>920</v>
      </c>
      <c r="E3780" s="1497">
        <v>5000</v>
      </c>
      <c r="F3780" s="1497"/>
      <c r="G3780" s="267" t="s">
        <v>27</v>
      </c>
      <c r="H3780" s="3"/>
    </row>
    <row r="3781" spans="1:8">
      <c r="A3781" s="270">
        <v>45154</v>
      </c>
      <c r="B3781" s="267"/>
      <c r="C3781" s="267" t="s">
        <v>77</v>
      </c>
      <c r="D3781" s="3" t="s">
        <v>2237</v>
      </c>
      <c r="E3781" s="1497"/>
      <c r="F3781" s="1497">
        <v>25000</v>
      </c>
      <c r="G3781" s="267" t="s">
        <v>72</v>
      </c>
      <c r="H3781" s="3"/>
    </row>
    <row r="3782" spans="1:8">
      <c r="A3782" s="270">
        <v>45154</v>
      </c>
      <c r="B3782" s="267"/>
      <c r="C3782" s="267" t="s">
        <v>79</v>
      </c>
      <c r="D3782" s="3" t="s">
        <v>151</v>
      </c>
      <c r="E3782" s="1497">
        <v>38800</v>
      </c>
      <c r="F3782" s="1497"/>
      <c r="G3782" s="267" t="s">
        <v>27</v>
      </c>
      <c r="H3782" s="3"/>
    </row>
    <row r="3783" spans="1:8">
      <c r="A3783" s="270">
        <v>45154</v>
      </c>
      <c r="B3783" s="267"/>
      <c r="C3783" s="267" t="s">
        <v>55</v>
      </c>
      <c r="D3783" s="3" t="s">
        <v>335</v>
      </c>
      <c r="E3783" s="1497">
        <v>2500</v>
      </c>
      <c r="F3783" s="1497"/>
      <c r="G3783" s="267" t="s">
        <v>56</v>
      </c>
      <c r="H3783" s="3" t="s">
        <v>377</v>
      </c>
    </row>
    <row r="3784" spans="1:8">
      <c r="A3784" s="270">
        <v>45155</v>
      </c>
      <c r="B3784" s="267"/>
      <c r="C3784" s="267" t="s">
        <v>79</v>
      </c>
      <c r="D3784" s="3" t="s">
        <v>151</v>
      </c>
      <c r="E3784" s="1497">
        <v>27000</v>
      </c>
      <c r="F3784" s="1497"/>
      <c r="G3784" s="267" t="s">
        <v>56</v>
      </c>
      <c r="H3784" s="3"/>
    </row>
    <row r="3785" spans="1:8">
      <c r="A3785" s="270">
        <v>45155</v>
      </c>
      <c r="B3785" s="267"/>
      <c r="C3785" s="267" t="s">
        <v>55</v>
      </c>
      <c r="D3785" s="3" t="s">
        <v>562</v>
      </c>
      <c r="E3785" s="1497">
        <v>1780</v>
      </c>
      <c r="F3785" s="1497"/>
      <c r="G3785" s="267" t="s">
        <v>56</v>
      </c>
      <c r="H3785" s="3"/>
    </row>
    <row r="3786" spans="1:8">
      <c r="A3786" s="270">
        <v>45155</v>
      </c>
      <c r="B3786" s="267"/>
      <c r="C3786" s="267" t="s">
        <v>55</v>
      </c>
      <c r="D3786" s="3" t="s">
        <v>2238</v>
      </c>
      <c r="E3786" s="1497">
        <v>100</v>
      </c>
      <c r="F3786" s="1497"/>
      <c r="G3786" s="267" t="s">
        <v>56</v>
      </c>
      <c r="H3786" s="3"/>
    </row>
    <row r="3787" spans="1:8">
      <c r="A3787" s="270">
        <v>45155</v>
      </c>
      <c r="B3787" s="267"/>
      <c r="C3787" s="267"/>
      <c r="D3787" s="3" t="s">
        <v>2240</v>
      </c>
      <c r="E3787" s="1497">
        <v>8156</v>
      </c>
      <c r="F3787" s="1497"/>
      <c r="G3787" s="267" t="s">
        <v>27</v>
      </c>
      <c r="H3787" s="3"/>
    </row>
    <row r="3788" spans="1:8">
      <c r="A3788" s="270">
        <v>45156</v>
      </c>
      <c r="B3788" s="267"/>
      <c r="C3788" s="267" t="s">
        <v>92</v>
      </c>
      <c r="D3788" s="3" t="s">
        <v>455</v>
      </c>
      <c r="E3788" s="1497"/>
      <c r="F3788" s="1497">
        <v>55000</v>
      </c>
      <c r="G3788" s="267" t="s">
        <v>27</v>
      </c>
      <c r="H3788" s="3"/>
    </row>
    <row r="3789" spans="1:8">
      <c r="A3789" s="270">
        <v>45156</v>
      </c>
      <c r="B3789" s="267"/>
      <c r="C3789" s="267" t="s">
        <v>55</v>
      </c>
      <c r="D3789" s="15" t="s">
        <v>514</v>
      </c>
      <c r="E3789" s="1497">
        <v>1400</v>
      </c>
      <c r="F3789" s="1497"/>
      <c r="G3789" s="267" t="s">
        <v>27</v>
      </c>
      <c r="H3789" s="3"/>
    </row>
    <row r="3790" spans="1:8">
      <c r="A3790" s="270">
        <v>45156</v>
      </c>
      <c r="B3790" s="267"/>
      <c r="C3790" s="267" t="s">
        <v>92</v>
      </c>
      <c r="D3790" s="3" t="s">
        <v>2241</v>
      </c>
      <c r="E3790" s="1497"/>
      <c r="F3790" s="1497">
        <v>254700</v>
      </c>
      <c r="G3790" s="267" t="s">
        <v>56</v>
      </c>
      <c r="H3790" s="3"/>
    </row>
    <row r="3791" spans="1:8">
      <c r="A3791" s="270">
        <v>45156</v>
      </c>
      <c r="B3791" s="267"/>
      <c r="C3791" s="267" t="s">
        <v>205</v>
      </c>
      <c r="D3791" s="3" t="s">
        <v>207</v>
      </c>
      <c r="E3791" s="1497">
        <v>45000</v>
      </c>
      <c r="F3791" s="1497"/>
      <c r="G3791" s="267" t="s">
        <v>27</v>
      </c>
      <c r="H3791" s="3"/>
    </row>
    <row r="3792" spans="1:8">
      <c r="A3792" s="270">
        <v>45156</v>
      </c>
      <c r="B3792" s="267"/>
      <c r="C3792" s="267" t="s">
        <v>205</v>
      </c>
      <c r="D3792" s="15" t="s">
        <v>37</v>
      </c>
      <c r="E3792" s="1497">
        <v>50000</v>
      </c>
      <c r="F3792" s="1497"/>
      <c r="G3792" s="267" t="s">
        <v>27</v>
      </c>
      <c r="H3792" s="3"/>
    </row>
    <row r="3793" spans="1:8">
      <c r="A3793" s="270">
        <v>45156</v>
      </c>
      <c r="B3793" s="267"/>
      <c r="C3793" s="267" t="s">
        <v>205</v>
      </c>
      <c r="D3793" s="3" t="s">
        <v>71</v>
      </c>
      <c r="E3793" s="1497">
        <v>76123</v>
      </c>
      <c r="F3793" s="1497"/>
      <c r="G3793" s="267" t="s">
        <v>27</v>
      </c>
      <c r="H3793" s="3"/>
    </row>
    <row r="3794" spans="1:8">
      <c r="A3794" s="270">
        <v>45156</v>
      </c>
      <c r="B3794" s="267"/>
      <c r="C3794" s="267" t="s">
        <v>92</v>
      </c>
      <c r="D3794" s="3" t="s">
        <v>2242</v>
      </c>
      <c r="E3794" s="1497"/>
      <c r="F3794" s="1497">
        <v>185000</v>
      </c>
      <c r="G3794" s="267" t="s">
        <v>56</v>
      </c>
      <c r="H3794" s="3"/>
    </row>
    <row r="3795" spans="1:8">
      <c r="A3795" s="270">
        <v>45156</v>
      </c>
      <c r="B3795" s="267"/>
      <c r="C3795" s="267" t="s">
        <v>92</v>
      </c>
      <c r="D3795" s="3" t="s">
        <v>2243</v>
      </c>
      <c r="E3795" s="1497"/>
      <c r="F3795" s="1497">
        <v>18400</v>
      </c>
      <c r="G3795" s="267" t="s">
        <v>27</v>
      </c>
      <c r="H3795" s="3"/>
    </row>
    <row r="3796" spans="1:8">
      <c r="A3796" s="270">
        <v>45156</v>
      </c>
      <c r="B3796" s="267"/>
      <c r="C3796" s="267" t="s">
        <v>205</v>
      </c>
      <c r="D3796" s="3" t="s">
        <v>48</v>
      </c>
      <c r="E3796" s="1497">
        <v>100000</v>
      </c>
      <c r="F3796" s="1497"/>
      <c r="G3796" s="267" t="s">
        <v>56</v>
      </c>
      <c r="H3796" s="3"/>
    </row>
    <row r="3797" spans="1:8">
      <c r="A3797" s="270">
        <v>45156</v>
      </c>
      <c r="B3797" s="267"/>
      <c r="C3797" s="267" t="s">
        <v>205</v>
      </c>
      <c r="D3797" s="3" t="s">
        <v>71</v>
      </c>
      <c r="E3797" s="1497">
        <v>50000</v>
      </c>
      <c r="F3797" s="1497"/>
      <c r="G3797" s="267" t="s">
        <v>56</v>
      </c>
      <c r="H3797" s="3"/>
    </row>
    <row r="3798" spans="1:8">
      <c r="A3798" s="270">
        <v>45156</v>
      </c>
      <c r="B3798" s="267"/>
      <c r="C3798" s="267" t="s">
        <v>79</v>
      </c>
      <c r="D3798" s="3" t="s">
        <v>2245</v>
      </c>
      <c r="E3798" s="1497">
        <v>100000</v>
      </c>
      <c r="F3798" s="1497"/>
      <c r="G3798" s="267" t="s">
        <v>56</v>
      </c>
      <c r="H3798" s="3"/>
    </row>
    <row r="3799" spans="1:8">
      <c r="A3799" s="270">
        <v>45156</v>
      </c>
      <c r="B3799" s="267"/>
      <c r="C3799" s="267" t="s">
        <v>79</v>
      </c>
      <c r="D3799" s="3" t="s">
        <v>2245</v>
      </c>
      <c r="E3799" s="1497">
        <v>25000</v>
      </c>
      <c r="F3799" s="1497"/>
      <c r="G3799" s="267" t="s">
        <v>72</v>
      </c>
      <c r="H3799" s="3"/>
    </row>
    <row r="3800" spans="1:8" ht="30">
      <c r="A3800" s="116">
        <v>45156</v>
      </c>
      <c r="B3800" s="51"/>
      <c r="C3800" s="51" t="s">
        <v>79</v>
      </c>
      <c r="D3800" s="52" t="s">
        <v>2245</v>
      </c>
      <c r="E3800" s="51">
        <v>145364</v>
      </c>
      <c r="F3800" s="51"/>
      <c r="G3800" s="51" t="s">
        <v>1580</v>
      </c>
      <c r="H3800" s="48" t="s">
        <v>2246</v>
      </c>
    </row>
    <row r="3801" spans="1:8">
      <c r="A3801" s="270">
        <v>45156</v>
      </c>
      <c r="B3801" s="267"/>
      <c r="C3801" s="267" t="s">
        <v>88</v>
      </c>
      <c r="D3801" s="3" t="s">
        <v>144</v>
      </c>
      <c r="E3801" s="1497">
        <v>15000</v>
      </c>
      <c r="F3801" s="1497"/>
      <c r="G3801" s="267" t="s">
        <v>56</v>
      </c>
      <c r="H3801" s="3"/>
    </row>
    <row r="3802" spans="1:8">
      <c r="A3802" s="270">
        <v>45156</v>
      </c>
      <c r="B3802" s="267"/>
      <c r="C3802" s="267" t="s">
        <v>88</v>
      </c>
      <c r="D3802" s="3" t="s">
        <v>144</v>
      </c>
      <c r="E3802" s="1497">
        <v>66200</v>
      </c>
      <c r="F3802" s="1497"/>
      <c r="G3802" s="267" t="s">
        <v>56</v>
      </c>
      <c r="H3802" s="3"/>
    </row>
    <row r="3803" spans="1:8">
      <c r="A3803" s="270">
        <v>45156</v>
      </c>
      <c r="B3803" s="267"/>
      <c r="C3803" s="267" t="s">
        <v>88</v>
      </c>
      <c r="D3803" s="3" t="s">
        <v>208</v>
      </c>
      <c r="E3803" s="1497">
        <v>41200</v>
      </c>
      <c r="F3803" s="1497"/>
      <c r="G3803" s="267" t="s">
        <v>56</v>
      </c>
      <c r="H3803" s="3"/>
    </row>
    <row r="3804" spans="1:8">
      <c r="A3804" s="116">
        <v>45156</v>
      </c>
      <c r="B3804" s="267"/>
      <c r="C3804" s="267" t="s">
        <v>88</v>
      </c>
      <c r="D3804" s="3" t="s">
        <v>219</v>
      </c>
      <c r="E3804" s="1497">
        <v>53700</v>
      </c>
      <c r="F3804" s="1497"/>
      <c r="G3804" s="267" t="s">
        <v>56</v>
      </c>
      <c r="H3804" s="128" t="s">
        <v>2244</v>
      </c>
    </row>
    <row r="3805" spans="1:8">
      <c r="A3805" s="270">
        <v>45156</v>
      </c>
      <c r="B3805" s="267"/>
      <c r="C3805" s="267" t="s">
        <v>88</v>
      </c>
      <c r="D3805" s="3" t="s">
        <v>824</v>
      </c>
      <c r="E3805" s="1497">
        <v>33000</v>
      </c>
      <c r="F3805" s="1497"/>
      <c r="G3805" s="267" t="s">
        <v>56</v>
      </c>
      <c r="H3805" s="132" t="s">
        <v>2227</v>
      </c>
    </row>
    <row r="3806" spans="1:8">
      <c r="A3806" s="267"/>
      <c r="B3806" s="267"/>
      <c r="C3806" s="267"/>
      <c r="D3806" s="3"/>
      <c r="E3806" s="1497"/>
      <c r="F3806" s="1497"/>
      <c r="G3806" s="267"/>
      <c r="H3806" s="132" t="s">
        <v>2250</v>
      </c>
    </row>
    <row r="3807" spans="1:8">
      <c r="A3807" s="267"/>
      <c r="B3807" s="267"/>
      <c r="C3807" s="267"/>
      <c r="D3807" s="3"/>
      <c r="E3807" s="1497"/>
      <c r="F3807" s="1497"/>
      <c r="G3807" s="267"/>
      <c r="H3807" s="117" t="s">
        <v>2251</v>
      </c>
    </row>
    <row r="3808" spans="1:8">
      <c r="H3808" s="117" t="s">
        <v>2182</v>
      </c>
    </row>
    <row r="3809" spans="1:8">
      <c r="H3809" s="117" t="s">
        <v>2248</v>
      </c>
    </row>
    <row r="3810" spans="1:8">
      <c r="H3810" s="117" t="s">
        <v>1937</v>
      </c>
    </row>
    <row r="3811" spans="1:8">
      <c r="H3811" s="117" t="s">
        <v>2147</v>
      </c>
    </row>
    <row r="3812" spans="1:8">
      <c r="H3812" s="117" t="s">
        <v>2249</v>
      </c>
    </row>
    <row r="3813" spans="1:8">
      <c r="H3813" s="117" t="s">
        <v>2151</v>
      </c>
    </row>
    <row r="3814" spans="1:8" ht="15.75" thickBot="1">
      <c r="H3814" s="118" t="s">
        <v>2247</v>
      </c>
    </row>
    <row r="3815" spans="1:8" ht="15.75" thickBot="1">
      <c r="H3815" s="194" t="s">
        <v>2252</v>
      </c>
    </row>
    <row r="3816" spans="1:8">
      <c r="A3816" s="270">
        <v>45160</v>
      </c>
      <c r="B3816" s="267"/>
      <c r="C3816" s="267" t="s">
        <v>79</v>
      </c>
      <c r="D3816" s="3" t="s">
        <v>277</v>
      </c>
      <c r="E3816" s="1497">
        <v>100000</v>
      </c>
      <c r="F3816" s="1497"/>
      <c r="G3816" s="267" t="s">
        <v>614</v>
      </c>
      <c r="H3816" s="5"/>
    </row>
    <row r="3817" spans="1:8">
      <c r="A3817" s="270">
        <v>45160</v>
      </c>
      <c r="B3817" s="267"/>
      <c r="C3817" s="267" t="s">
        <v>79</v>
      </c>
      <c r="D3817" s="3"/>
      <c r="E3817" s="1497"/>
      <c r="F3817" s="1497"/>
      <c r="G3817" s="267"/>
      <c r="H3817" s="3"/>
    </row>
    <row r="3818" spans="1:8">
      <c r="A3818" s="270">
        <v>45160</v>
      </c>
      <c r="B3818" s="267"/>
      <c r="C3818" s="267" t="s">
        <v>2190</v>
      </c>
      <c r="D3818" s="3" t="s">
        <v>1406</v>
      </c>
      <c r="E3818" s="1497">
        <v>102850</v>
      </c>
      <c r="F3818" s="1497"/>
      <c r="G3818" s="267" t="s">
        <v>27</v>
      </c>
      <c r="H3818" s="3"/>
    </row>
    <row r="3819" spans="1:8">
      <c r="A3819" s="270">
        <v>45160</v>
      </c>
      <c r="B3819" s="267"/>
      <c r="C3819" s="267" t="s">
        <v>205</v>
      </c>
      <c r="D3819" s="3" t="s">
        <v>1344</v>
      </c>
      <c r="E3819" s="1497">
        <v>5250.01</v>
      </c>
      <c r="F3819" s="1497"/>
      <c r="G3819" s="267" t="s">
        <v>56</v>
      </c>
      <c r="H3819" s="195" t="s">
        <v>811</v>
      </c>
    </row>
    <row r="3820" spans="1:8">
      <c r="A3820" s="270">
        <v>45160</v>
      </c>
      <c r="B3820" s="267"/>
      <c r="C3820" s="267" t="s">
        <v>55</v>
      </c>
      <c r="D3820" s="3" t="s">
        <v>811</v>
      </c>
      <c r="E3820" s="1497">
        <v>15000</v>
      </c>
      <c r="F3820" s="1497"/>
      <c r="G3820" s="267" t="s">
        <v>56</v>
      </c>
      <c r="H3820" s="45"/>
    </row>
    <row r="3821" spans="1:8">
      <c r="A3821" s="270">
        <v>45161</v>
      </c>
      <c r="B3821" s="267"/>
      <c r="C3821" s="267" t="s">
        <v>55</v>
      </c>
      <c r="D3821" s="3" t="s">
        <v>70</v>
      </c>
      <c r="E3821" s="1497">
        <v>610</v>
      </c>
      <c r="F3821" s="1497"/>
      <c r="G3821" s="267" t="s">
        <v>56</v>
      </c>
      <c r="H3821" s="45"/>
    </row>
    <row r="3822" spans="1:8">
      <c r="A3822" s="270">
        <v>45161</v>
      </c>
      <c r="B3822" s="267"/>
      <c r="C3822" s="267" t="s">
        <v>86</v>
      </c>
      <c r="D3822" s="3" t="s">
        <v>104</v>
      </c>
      <c r="E3822" s="1497">
        <v>7000</v>
      </c>
      <c r="F3822" s="1497"/>
      <c r="G3822" s="267" t="s">
        <v>56</v>
      </c>
      <c r="H3822" s="195" t="s">
        <v>811</v>
      </c>
    </row>
    <row r="3823" spans="1:8">
      <c r="A3823" s="270">
        <v>45161</v>
      </c>
      <c r="B3823" s="267"/>
      <c r="C3823" s="267" t="s">
        <v>55</v>
      </c>
      <c r="D3823" s="3" t="s">
        <v>2253</v>
      </c>
      <c r="E3823" s="1497">
        <v>3280</v>
      </c>
      <c r="F3823" s="1497"/>
      <c r="G3823" s="267" t="s">
        <v>56</v>
      </c>
      <c r="H3823" s="195" t="s">
        <v>811</v>
      </c>
    </row>
    <row r="3824" spans="1:8">
      <c r="A3824" s="270">
        <v>45161</v>
      </c>
      <c r="B3824" s="267"/>
      <c r="C3824" s="267" t="s">
        <v>831</v>
      </c>
      <c r="D3824" s="3" t="s">
        <v>2254</v>
      </c>
      <c r="E3824" s="1497">
        <v>6900</v>
      </c>
      <c r="F3824" s="1497"/>
      <c r="G3824" s="267" t="s">
        <v>56</v>
      </c>
      <c r="H3824" s="195" t="s">
        <v>811</v>
      </c>
    </row>
    <row r="3825" spans="1:8">
      <c r="A3825" s="270">
        <v>45161</v>
      </c>
      <c r="B3825" s="267"/>
      <c r="C3825" s="267" t="s">
        <v>55</v>
      </c>
      <c r="D3825" s="3" t="s">
        <v>63</v>
      </c>
      <c r="E3825" s="1497">
        <v>1385.69</v>
      </c>
      <c r="F3825" s="1497"/>
      <c r="G3825" s="267" t="s">
        <v>56</v>
      </c>
      <c r="H3825" s="3"/>
    </row>
    <row r="3826" spans="1:8">
      <c r="A3826" s="270">
        <v>45161</v>
      </c>
      <c r="B3826" s="267"/>
      <c r="C3826" s="267" t="s">
        <v>86</v>
      </c>
      <c r="D3826" s="3" t="s">
        <v>86</v>
      </c>
      <c r="E3826" s="1497">
        <v>6000</v>
      </c>
      <c r="F3826" s="1497"/>
      <c r="G3826" s="267" t="s">
        <v>27</v>
      </c>
      <c r="H3826" s="3"/>
    </row>
    <row r="3827" spans="1:8">
      <c r="A3827" s="270">
        <v>45161</v>
      </c>
      <c r="B3827" s="267"/>
      <c r="C3827" s="267" t="s">
        <v>92</v>
      </c>
      <c r="D3827" s="3" t="s">
        <v>2239</v>
      </c>
      <c r="E3827" s="1497"/>
      <c r="F3827" s="1497">
        <v>41200</v>
      </c>
      <c r="G3827" s="267" t="s">
        <v>27</v>
      </c>
      <c r="H3827" s="3"/>
    </row>
    <row r="3828" spans="1:8">
      <c r="A3828" s="270">
        <v>45161</v>
      </c>
      <c r="B3828" s="267"/>
      <c r="C3828" s="267" t="s">
        <v>77</v>
      </c>
      <c r="D3828" s="3" t="s">
        <v>170</v>
      </c>
      <c r="E3828" s="1497"/>
      <c r="F3828" s="1497">
        <v>479300</v>
      </c>
      <c r="G3828" s="267" t="s">
        <v>27</v>
      </c>
      <c r="H3828" s="3"/>
    </row>
    <row r="3829" spans="1:8">
      <c r="A3829" s="270">
        <v>45162</v>
      </c>
      <c r="B3829" s="267"/>
      <c r="C3829" s="267" t="s">
        <v>2190</v>
      </c>
      <c r="D3829" s="3" t="s">
        <v>2255</v>
      </c>
      <c r="E3829" s="1497">
        <v>102850</v>
      </c>
      <c r="F3829" s="1497"/>
      <c r="G3829" s="267" t="s">
        <v>27</v>
      </c>
      <c r="H3829" s="3"/>
    </row>
    <row r="3830" spans="1:8">
      <c r="A3830" s="270">
        <v>45162</v>
      </c>
      <c r="B3830" s="267"/>
      <c r="C3830" s="267" t="s">
        <v>79</v>
      </c>
      <c r="D3830" s="3" t="s">
        <v>2256</v>
      </c>
      <c r="E3830" s="1497">
        <v>3962.42</v>
      </c>
      <c r="F3830" s="1497"/>
      <c r="G3830" s="267" t="s">
        <v>27</v>
      </c>
      <c r="H3830" s="3"/>
    </row>
    <row r="3831" spans="1:8">
      <c r="A3831" s="270">
        <v>45162</v>
      </c>
      <c r="B3831" s="267"/>
      <c r="C3831" s="267" t="s">
        <v>79</v>
      </c>
      <c r="D3831" s="3" t="s">
        <v>181</v>
      </c>
      <c r="E3831" s="1497">
        <v>8356.32</v>
      </c>
      <c r="F3831" s="1497"/>
      <c r="G3831" s="267" t="s">
        <v>27</v>
      </c>
      <c r="H3831" s="3"/>
    </row>
    <row r="3832" spans="1:8">
      <c r="A3832" s="270">
        <v>45162</v>
      </c>
      <c r="B3832" s="267"/>
      <c r="C3832" s="267" t="s">
        <v>55</v>
      </c>
      <c r="D3832" s="3" t="s">
        <v>1951</v>
      </c>
      <c r="E3832" s="1497">
        <v>3750</v>
      </c>
      <c r="F3832" s="1497"/>
      <c r="G3832" s="267" t="s">
        <v>56</v>
      </c>
      <c r="H3832" s="3"/>
    </row>
    <row r="3833" spans="1:8">
      <c r="A3833" s="270">
        <v>45162</v>
      </c>
      <c r="B3833" s="267"/>
      <c r="C3833" s="267" t="s">
        <v>92</v>
      </c>
      <c r="D3833" s="71" t="s">
        <v>2136</v>
      </c>
      <c r="E3833" s="1497"/>
      <c r="F3833" s="1497">
        <v>187585.84</v>
      </c>
      <c r="G3833" s="267" t="s">
        <v>27</v>
      </c>
      <c r="H3833" s="3"/>
    </row>
    <row r="3834" spans="1:8">
      <c r="A3834" s="270">
        <v>45163</v>
      </c>
      <c r="B3834" s="267"/>
      <c r="C3834" s="267" t="s">
        <v>92</v>
      </c>
      <c r="D3834" s="3" t="s">
        <v>582</v>
      </c>
      <c r="E3834" s="1497"/>
      <c r="F3834" s="1497">
        <v>169547.47</v>
      </c>
      <c r="G3834" s="267" t="s">
        <v>27</v>
      </c>
      <c r="H3834" s="3"/>
    </row>
    <row r="3835" spans="1:8">
      <c r="A3835" s="270">
        <v>45163</v>
      </c>
      <c r="B3835" s="267"/>
      <c r="C3835" s="267" t="s">
        <v>2257</v>
      </c>
      <c r="D3835" s="3" t="s">
        <v>2258</v>
      </c>
      <c r="E3835" s="1497"/>
      <c r="F3835" s="1497">
        <v>243126.32</v>
      </c>
      <c r="G3835" s="267" t="s">
        <v>27</v>
      </c>
      <c r="H3835" s="3"/>
    </row>
    <row r="3836" spans="1:8">
      <c r="A3836" s="270">
        <v>45163</v>
      </c>
      <c r="B3836" s="267"/>
      <c r="C3836" s="267" t="s">
        <v>205</v>
      </c>
      <c r="D3836" s="3" t="s">
        <v>37</v>
      </c>
      <c r="E3836" s="1497">
        <v>51640</v>
      </c>
      <c r="F3836" s="1497"/>
      <c r="G3836" s="267" t="s">
        <v>27</v>
      </c>
      <c r="H3836" s="3"/>
    </row>
    <row r="3837" spans="1:8">
      <c r="A3837" s="270">
        <v>45163</v>
      </c>
      <c r="B3837" s="267"/>
      <c r="C3837" s="267" t="s">
        <v>1805</v>
      </c>
      <c r="D3837" s="3" t="s">
        <v>2259</v>
      </c>
      <c r="E3837" s="1497">
        <v>6000</v>
      </c>
      <c r="F3837" s="1497"/>
      <c r="G3837" s="267" t="s">
        <v>27</v>
      </c>
      <c r="H3837" s="3"/>
    </row>
    <row r="3838" spans="1:8">
      <c r="A3838" s="270">
        <v>45163</v>
      </c>
      <c r="B3838" s="267"/>
      <c r="C3838" s="267" t="s">
        <v>62</v>
      </c>
      <c r="D3838" s="3" t="s">
        <v>63</v>
      </c>
      <c r="E3838" s="1497">
        <v>2731.55</v>
      </c>
      <c r="F3838" s="1497"/>
      <c r="G3838" s="267" t="s">
        <v>56</v>
      </c>
      <c r="H3838" s="3"/>
    </row>
    <row r="3839" spans="1:8">
      <c r="A3839" s="270">
        <v>45163</v>
      </c>
      <c r="B3839" s="267"/>
      <c r="C3839" s="267" t="s">
        <v>537</v>
      </c>
      <c r="D3839" s="3" t="s">
        <v>144</v>
      </c>
      <c r="E3839" s="1497">
        <v>76200</v>
      </c>
      <c r="F3839" s="1497"/>
      <c r="G3839" s="267" t="s">
        <v>56</v>
      </c>
      <c r="H3839" s="3"/>
    </row>
    <row r="3840" spans="1:8">
      <c r="A3840" s="270">
        <v>45163</v>
      </c>
      <c r="B3840" s="267"/>
      <c r="C3840" s="267" t="s">
        <v>537</v>
      </c>
      <c r="D3840" s="3" t="s">
        <v>144</v>
      </c>
      <c r="E3840" s="1497">
        <v>5000</v>
      </c>
      <c r="F3840" s="1497"/>
      <c r="G3840" s="267" t="s">
        <v>27</v>
      </c>
      <c r="H3840" s="3"/>
    </row>
    <row r="3841" spans="1:8">
      <c r="A3841" s="270">
        <v>45163</v>
      </c>
      <c r="B3841" s="267"/>
      <c r="C3841" s="267" t="s">
        <v>537</v>
      </c>
      <c r="D3841" s="3" t="s">
        <v>208</v>
      </c>
      <c r="E3841" s="1497">
        <v>41200</v>
      </c>
      <c r="F3841" s="1497"/>
      <c r="G3841" s="267" t="s">
        <v>56</v>
      </c>
      <c r="H3841" s="3"/>
    </row>
    <row r="3842" spans="1:8">
      <c r="A3842" s="270">
        <v>45163</v>
      </c>
      <c r="B3842" s="267"/>
      <c r="C3842" s="267" t="s">
        <v>537</v>
      </c>
      <c r="D3842" s="3" t="s">
        <v>219</v>
      </c>
      <c r="E3842" s="1497">
        <v>53700</v>
      </c>
      <c r="F3842" s="1497"/>
      <c r="G3842" s="267" t="s">
        <v>56</v>
      </c>
      <c r="H3842" s="3"/>
    </row>
    <row r="3843" spans="1:8">
      <c r="A3843" s="270">
        <v>45163</v>
      </c>
      <c r="B3843" s="267"/>
      <c r="C3843" s="267" t="s">
        <v>537</v>
      </c>
      <c r="D3843" s="3" t="s">
        <v>219</v>
      </c>
      <c r="E3843" s="1497">
        <v>33000</v>
      </c>
      <c r="F3843" s="1497"/>
      <c r="G3843" s="267" t="s">
        <v>56</v>
      </c>
      <c r="H3843" s="3"/>
    </row>
    <row r="3844" spans="1:8">
      <c r="A3844" s="267"/>
      <c r="B3844" s="267"/>
      <c r="C3844" s="267"/>
      <c r="D3844" s="3"/>
      <c r="E3844" s="1497"/>
      <c r="F3844" s="1497"/>
      <c r="G3844" s="267"/>
      <c r="H3844" s="3"/>
    </row>
    <row r="3845" spans="1:8">
      <c r="A3845" s="267"/>
      <c r="B3845" s="267"/>
      <c r="C3845" s="267"/>
      <c r="D3845" s="3"/>
      <c r="E3845" s="1497"/>
      <c r="F3845" s="1497"/>
      <c r="G3845" s="267"/>
      <c r="H3845" s="3"/>
    </row>
    <row r="3846" spans="1:8">
      <c r="A3846" s="267"/>
      <c r="B3846" s="267"/>
      <c r="C3846" s="267"/>
      <c r="D3846" s="3"/>
      <c r="E3846" s="1497"/>
      <c r="F3846" s="1497"/>
      <c r="G3846" s="267"/>
      <c r="H3846" s="3"/>
    </row>
    <row r="3847" spans="1:8">
      <c r="H3847" s="132" t="s">
        <v>2227</v>
      </c>
    </row>
    <row r="3848" spans="1:8">
      <c r="H3848" s="132" t="s">
        <v>2268</v>
      </c>
    </row>
    <row r="3849" spans="1:8">
      <c r="H3849" s="117" t="s">
        <v>2264</v>
      </c>
    </row>
    <row r="3850" spans="1:8">
      <c r="H3850" s="117" t="s">
        <v>2260</v>
      </c>
    </row>
    <row r="3851" spans="1:8">
      <c r="H3851" s="117" t="s">
        <v>2265</v>
      </c>
    </row>
    <row r="3852" spans="1:8">
      <c r="H3852" s="117" t="s">
        <v>1937</v>
      </c>
    </row>
    <row r="3853" spans="1:8">
      <c r="H3853" s="117" t="s">
        <v>2261</v>
      </c>
    </row>
    <row r="3854" spans="1:8">
      <c r="H3854" s="117" t="s">
        <v>2262</v>
      </c>
    </row>
    <row r="3855" spans="1:8">
      <c r="H3855" s="117" t="s">
        <v>2151</v>
      </c>
    </row>
    <row r="3856" spans="1:8" ht="15.75" thickBot="1">
      <c r="H3856" s="118" t="s">
        <v>2266</v>
      </c>
    </row>
    <row r="3857" spans="1:8" ht="15.75" thickBot="1">
      <c r="A3857" s="127"/>
      <c r="H3857" s="194" t="s">
        <v>2267</v>
      </c>
    </row>
    <row r="3858" spans="1:8">
      <c r="A3858" s="270">
        <v>45166</v>
      </c>
      <c r="B3858" s="267"/>
      <c r="C3858" s="267"/>
      <c r="D3858" s="3" t="s">
        <v>232</v>
      </c>
      <c r="E3858" s="1497">
        <v>100000</v>
      </c>
      <c r="F3858" s="1497"/>
      <c r="G3858" s="267" t="s">
        <v>56</v>
      </c>
      <c r="H3858" s="196"/>
    </row>
    <row r="3859" spans="1:8">
      <c r="A3859" s="270">
        <v>45166</v>
      </c>
      <c r="B3859" s="267"/>
      <c r="C3859" s="267" t="s">
        <v>86</v>
      </c>
      <c r="D3859" s="3" t="s">
        <v>195</v>
      </c>
      <c r="E3859" s="1497">
        <v>7000</v>
      </c>
      <c r="F3859" s="1497"/>
      <c r="G3859" s="267" t="s">
        <v>27</v>
      </c>
      <c r="H3859" s="192"/>
    </row>
    <row r="3860" spans="1:8">
      <c r="A3860" s="270">
        <v>45166</v>
      </c>
      <c r="B3860" s="267"/>
      <c r="C3860" s="267" t="s">
        <v>156</v>
      </c>
      <c r="D3860" s="3" t="s">
        <v>156</v>
      </c>
      <c r="E3860" s="1497">
        <v>31755.33</v>
      </c>
      <c r="F3860" s="1497"/>
      <c r="G3860" s="267" t="s">
        <v>27</v>
      </c>
      <c r="H3860" s="3"/>
    </row>
    <row r="3861" spans="1:8">
      <c r="A3861" s="270">
        <v>45166</v>
      </c>
      <c r="B3861" s="267"/>
      <c r="C3861" s="267" t="s">
        <v>55</v>
      </c>
      <c r="D3861" s="3" t="s">
        <v>2194</v>
      </c>
      <c r="E3861" s="1497">
        <v>4000</v>
      </c>
      <c r="F3861" s="1497"/>
      <c r="G3861" s="267" t="s">
        <v>56</v>
      </c>
      <c r="H3861" s="3"/>
    </row>
    <row r="3862" spans="1:8">
      <c r="A3862" s="270">
        <v>45166</v>
      </c>
      <c r="B3862" s="267"/>
      <c r="C3862" s="267" t="s">
        <v>55</v>
      </c>
      <c r="D3862" s="3" t="s">
        <v>562</v>
      </c>
      <c r="E3862" s="1497">
        <v>16808.419999999998</v>
      </c>
      <c r="F3862" s="1497"/>
      <c r="G3862" s="267" t="s">
        <v>27</v>
      </c>
      <c r="H3862" s="3"/>
    </row>
    <row r="3863" spans="1:8">
      <c r="A3863" s="270">
        <v>45166</v>
      </c>
      <c r="B3863" s="267"/>
      <c r="C3863" s="267" t="s">
        <v>29</v>
      </c>
      <c r="D3863" s="3" t="s">
        <v>1368</v>
      </c>
      <c r="E3863" s="1497" t="s">
        <v>2269</v>
      </c>
      <c r="F3863" s="1497"/>
      <c r="G3863" s="267" t="s">
        <v>2270</v>
      </c>
      <c r="H3863" s="3"/>
    </row>
    <row r="3864" spans="1:8">
      <c r="A3864" s="270">
        <v>45166</v>
      </c>
      <c r="B3864" s="267"/>
      <c r="C3864" s="267" t="s">
        <v>77</v>
      </c>
      <c r="D3864" s="3" t="s">
        <v>2271</v>
      </c>
      <c r="E3864" s="1497"/>
      <c r="F3864" s="1497">
        <v>3020600</v>
      </c>
      <c r="G3864" s="267" t="s">
        <v>56</v>
      </c>
      <c r="H3864" s="3"/>
    </row>
    <row r="3865" spans="1:8">
      <c r="A3865" s="270">
        <v>45166</v>
      </c>
      <c r="B3865" s="267"/>
      <c r="C3865" s="267" t="s">
        <v>77</v>
      </c>
      <c r="D3865" s="3" t="s">
        <v>2272</v>
      </c>
      <c r="E3865" s="1497"/>
      <c r="F3865" s="1497">
        <v>49300</v>
      </c>
      <c r="G3865" s="267" t="s">
        <v>56</v>
      </c>
      <c r="H3865" s="3"/>
    </row>
    <row r="3866" spans="1:8">
      <c r="A3866" s="270">
        <v>45167</v>
      </c>
      <c r="B3866" s="267"/>
      <c r="C3866" s="267" t="s">
        <v>55</v>
      </c>
      <c r="D3866" s="3" t="s">
        <v>38</v>
      </c>
      <c r="E3866" s="1497">
        <v>900</v>
      </c>
      <c r="F3866" s="1497"/>
      <c r="G3866" s="267" t="s">
        <v>56</v>
      </c>
      <c r="H3866" s="3"/>
    </row>
    <row r="3867" spans="1:8">
      <c r="A3867" s="270">
        <v>45167</v>
      </c>
      <c r="B3867" s="267"/>
      <c r="C3867" s="267" t="s">
        <v>55</v>
      </c>
      <c r="D3867" s="3" t="s">
        <v>38</v>
      </c>
      <c r="E3867" s="1497">
        <v>1049.68</v>
      </c>
      <c r="F3867" s="1497"/>
      <c r="G3867" s="267" t="s">
        <v>56</v>
      </c>
      <c r="H3867" s="3"/>
    </row>
    <row r="3868" spans="1:8">
      <c r="A3868" s="270">
        <v>45167</v>
      </c>
      <c r="B3868" s="267"/>
      <c r="C3868" s="267" t="s">
        <v>29</v>
      </c>
      <c r="D3868" s="3" t="s">
        <v>1845</v>
      </c>
      <c r="E3868" s="1497">
        <v>15300</v>
      </c>
      <c r="F3868" s="1497"/>
      <c r="G3868" s="267" t="s">
        <v>56</v>
      </c>
      <c r="H3868" s="3"/>
    </row>
    <row r="3869" spans="1:8">
      <c r="A3869" s="270">
        <v>45167</v>
      </c>
      <c r="B3869" s="267"/>
      <c r="C3869" s="267" t="s">
        <v>55</v>
      </c>
      <c r="D3869" s="3" t="s">
        <v>2273</v>
      </c>
      <c r="E3869" s="1497">
        <v>10000</v>
      </c>
      <c r="F3869" s="1497"/>
      <c r="G3869" s="267" t="s">
        <v>56</v>
      </c>
      <c r="H3869" s="3"/>
    </row>
    <row r="3870" spans="1:8">
      <c r="A3870" s="270">
        <v>45167</v>
      </c>
      <c r="B3870" s="267"/>
      <c r="C3870" s="267" t="s">
        <v>2190</v>
      </c>
      <c r="D3870" s="3" t="s">
        <v>2211</v>
      </c>
      <c r="E3870" s="1497">
        <v>102850</v>
      </c>
      <c r="F3870" s="1497"/>
      <c r="G3870" s="267" t="s">
        <v>27</v>
      </c>
      <c r="H3870" s="3"/>
    </row>
    <row r="3871" spans="1:8">
      <c r="A3871" s="270">
        <v>45167</v>
      </c>
      <c r="B3871" s="267"/>
      <c r="C3871" s="267" t="s">
        <v>65</v>
      </c>
      <c r="D3871" s="3" t="s">
        <v>776</v>
      </c>
      <c r="E3871" s="1497">
        <v>5880</v>
      </c>
      <c r="F3871" s="1497"/>
      <c r="G3871" s="267" t="s">
        <v>27</v>
      </c>
      <c r="H3871" s="3"/>
    </row>
    <row r="3872" spans="1:8">
      <c r="A3872" s="270">
        <v>45167</v>
      </c>
      <c r="B3872" s="267"/>
      <c r="C3872" s="267" t="s">
        <v>65</v>
      </c>
      <c r="D3872" s="3" t="s">
        <v>776</v>
      </c>
      <c r="E3872" s="1497">
        <v>10069</v>
      </c>
      <c r="F3872" s="1497"/>
      <c r="G3872" s="267" t="s">
        <v>27</v>
      </c>
      <c r="H3872" s="3"/>
    </row>
    <row r="3873" spans="1:8">
      <c r="A3873" s="270">
        <v>45167</v>
      </c>
      <c r="B3873" s="267"/>
      <c r="C3873" s="267" t="s">
        <v>28</v>
      </c>
      <c r="D3873" s="3" t="s">
        <v>2274</v>
      </c>
      <c r="E3873" s="1497">
        <v>24857</v>
      </c>
      <c r="F3873" s="1497"/>
      <c r="G3873" s="267" t="s">
        <v>27</v>
      </c>
      <c r="H3873" s="3"/>
    </row>
    <row r="3874" spans="1:8">
      <c r="A3874" s="270">
        <v>45167</v>
      </c>
      <c r="B3874" s="267"/>
      <c r="C3874" s="267" t="s">
        <v>79</v>
      </c>
      <c r="D3874" s="3" t="s">
        <v>344</v>
      </c>
      <c r="E3874" s="1497">
        <v>4100</v>
      </c>
      <c r="F3874" s="1497"/>
      <c r="G3874" s="267" t="s">
        <v>27</v>
      </c>
      <c r="H3874" s="3"/>
    </row>
    <row r="3875" spans="1:8">
      <c r="A3875" s="270">
        <v>45167</v>
      </c>
      <c r="B3875" s="267"/>
      <c r="C3875" s="267" t="s">
        <v>79</v>
      </c>
      <c r="D3875" s="3" t="s">
        <v>345</v>
      </c>
      <c r="E3875" s="1497">
        <v>42750</v>
      </c>
      <c r="F3875" s="1497"/>
      <c r="G3875" s="267" t="s">
        <v>27</v>
      </c>
      <c r="H3875" s="3"/>
    </row>
    <row r="3876" spans="1:8">
      <c r="A3876" s="270">
        <v>45167</v>
      </c>
      <c r="B3876" s="267"/>
      <c r="C3876" s="267" t="s">
        <v>29</v>
      </c>
      <c r="D3876" s="3" t="s">
        <v>207</v>
      </c>
      <c r="E3876" s="1497">
        <v>84800</v>
      </c>
      <c r="F3876" s="1497"/>
      <c r="G3876" s="267" t="s">
        <v>27</v>
      </c>
      <c r="H3876" s="3"/>
    </row>
    <row r="3877" spans="1:8">
      <c r="A3877" s="270">
        <v>45167</v>
      </c>
      <c r="B3877" s="267"/>
      <c r="C3877" s="267" t="s">
        <v>29</v>
      </c>
      <c r="D3877" s="3" t="s">
        <v>48</v>
      </c>
      <c r="E3877" s="1497">
        <v>1800000</v>
      </c>
      <c r="F3877" s="1497"/>
      <c r="G3877" s="267" t="s">
        <v>56</v>
      </c>
      <c r="H3877" s="45" t="s">
        <v>2275</v>
      </c>
    </row>
    <row r="3878" spans="1:8">
      <c r="A3878" s="270">
        <v>45167</v>
      </c>
      <c r="B3878" s="267"/>
      <c r="C3878" s="267" t="s">
        <v>176</v>
      </c>
      <c r="D3878" s="3" t="s">
        <v>2276</v>
      </c>
      <c r="E3878" s="1497">
        <v>59000</v>
      </c>
      <c r="F3878" s="1497"/>
      <c r="G3878" s="267" t="s">
        <v>56</v>
      </c>
      <c r="H3878" s="45" t="s">
        <v>2275</v>
      </c>
    </row>
    <row r="3879" spans="1:8">
      <c r="A3879" s="270">
        <v>45167</v>
      </c>
      <c r="B3879" s="267"/>
      <c r="C3879" s="267" t="s">
        <v>176</v>
      </c>
      <c r="D3879" s="3" t="s">
        <v>2277</v>
      </c>
      <c r="E3879" s="1497">
        <v>61000</v>
      </c>
      <c r="F3879" s="1497"/>
      <c r="G3879" s="267" t="s">
        <v>56</v>
      </c>
      <c r="H3879" s="45" t="s">
        <v>2275</v>
      </c>
    </row>
    <row r="3880" spans="1:8">
      <c r="A3880" s="270">
        <v>45167</v>
      </c>
      <c r="B3880" s="267"/>
      <c r="C3880" s="267" t="s">
        <v>55</v>
      </c>
      <c r="D3880" s="3" t="s">
        <v>562</v>
      </c>
      <c r="E3880" s="1497">
        <v>1250</v>
      </c>
      <c r="F3880" s="1497"/>
      <c r="G3880" s="267" t="s">
        <v>56</v>
      </c>
      <c r="H3880" s="3"/>
    </row>
    <row r="3881" spans="1:8">
      <c r="A3881" s="270">
        <v>45167</v>
      </c>
      <c r="B3881" s="267"/>
      <c r="C3881" s="267" t="s">
        <v>55</v>
      </c>
      <c r="D3881" s="3" t="s">
        <v>2278</v>
      </c>
      <c r="E3881" s="1497">
        <v>6842.56</v>
      </c>
      <c r="F3881" s="1497"/>
      <c r="G3881" s="267" t="s">
        <v>27</v>
      </c>
      <c r="H3881" s="3"/>
    </row>
    <row r="3882" spans="1:8">
      <c r="A3882" s="270">
        <v>45167</v>
      </c>
      <c r="B3882" s="267"/>
      <c r="C3882" s="267" t="s">
        <v>77</v>
      </c>
      <c r="D3882" s="3" t="s">
        <v>1008</v>
      </c>
      <c r="E3882" s="1497"/>
      <c r="F3882" s="1497">
        <v>88600</v>
      </c>
      <c r="G3882" s="267" t="s">
        <v>27</v>
      </c>
      <c r="H3882" s="3"/>
    </row>
    <row r="3883" spans="1:8">
      <c r="A3883" s="270">
        <v>45168</v>
      </c>
      <c r="B3883" s="267"/>
      <c r="C3883" s="267" t="s">
        <v>79</v>
      </c>
      <c r="D3883" s="3" t="s">
        <v>653</v>
      </c>
      <c r="E3883" s="1497">
        <v>130481.3</v>
      </c>
      <c r="F3883" s="1497"/>
      <c r="G3883" s="267" t="s">
        <v>27</v>
      </c>
      <c r="H3883" s="3"/>
    </row>
    <row r="3884" spans="1:8">
      <c r="A3884" s="270">
        <v>45168</v>
      </c>
      <c r="B3884" s="197" t="s">
        <v>746</v>
      </c>
      <c r="C3884" s="267" t="s">
        <v>94</v>
      </c>
      <c r="D3884" s="3" t="s">
        <v>14</v>
      </c>
      <c r="E3884" s="1497">
        <v>9000</v>
      </c>
      <c r="F3884" s="1497"/>
      <c r="G3884" s="267" t="s">
        <v>27</v>
      </c>
      <c r="H3884" s="3"/>
    </row>
    <row r="3885" spans="1:8">
      <c r="A3885" s="270">
        <v>45169</v>
      </c>
      <c r="B3885" s="267"/>
      <c r="C3885" s="267" t="s">
        <v>92</v>
      </c>
      <c r="D3885" s="3" t="s">
        <v>2280</v>
      </c>
      <c r="E3885" s="1497"/>
      <c r="F3885" s="1497">
        <v>245864.49</v>
      </c>
      <c r="G3885" s="267" t="s">
        <v>27</v>
      </c>
      <c r="H3885" s="3"/>
    </row>
    <row r="3886" spans="1:8">
      <c r="A3886" s="270">
        <v>45169</v>
      </c>
      <c r="B3886" s="267"/>
      <c r="C3886" s="267" t="s">
        <v>156</v>
      </c>
      <c r="D3886" s="3" t="s">
        <v>2279</v>
      </c>
      <c r="E3886" s="1497">
        <v>11087</v>
      </c>
      <c r="F3886" s="1497"/>
      <c r="G3886" s="267" t="s">
        <v>27</v>
      </c>
      <c r="H3886" s="3"/>
    </row>
    <row r="3887" spans="1:8">
      <c r="A3887" s="270">
        <v>45169</v>
      </c>
      <c r="B3887" s="267"/>
      <c r="C3887" s="267" t="s">
        <v>55</v>
      </c>
      <c r="D3887" s="3" t="s">
        <v>446</v>
      </c>
      <c r="E3887" s="1497">
        <v>2700</v>
      </c>
      <c r="F3887" s="1497"/>
      <c r="G3887" s="267" t="s">
        <v>56</v>
      </c>
      <c r="H3887" s="3"/>
    </row>
    <row r="3888" spans="1:8">
      <c r="A3888" s="270">
        <v>45169</v>
      </c>
      <c r="B3888" s="267"/>
      <c r="C3888" s="267" t="s">
        <v>79</v>
      </c>
      <c r="D3888" s="15" t="s">
        <v>2281</v>
      </c>
      <c r="E3888" s="1497">
        <v>8000</v>
      </c>
      <c r="F3888" s="1497"/>
      <c r="G3888" s="267" t="s">
        <v>56</v>
      </c>
      <c r="H3888" s="3"/>
    </row>
    <row r="3889" spans="1:8">
      <c r="A3889" s="270">
        <v>45169</v>
      </c>
      <c r="B3889" s="267"/>
      <c r="C3889" s="267" t="s">
        <v>29</v>
      </c>
      <c r="D3889" s="15" t="s">
        <v>48</v>
      </c>
      <c r="E3889" s="1497">
        <v>440000</v>
      </c>
      <c r="F3889" s="1497"/>
      <c r="G3889" s="267" t="s">
        <v>27</v>
      </c>
      <c r="H3889" s="3"/>
    </row>
    <row r="3890" spans="1:8">
      <c r="A3890" s="270">
        <v>45169</v>
      </c>
      <c r="B3890" s="267"/>
      <c r="C3890" s="267" t="s">
        <v>90</v>
      </c>
      <c r="D3890" s="15" t="s">
        <v>2282</v>
      </c>
      <c r="E3890" s="1497">
        <v>12000</v>
      </c>
      <c r="F3890" s="1497"/>
      <c r="G3890" s="267" t="s">
        <v>27</v>
      </c>
      <c r="H3890" s="3"/>
    </row>
    <row r="3891" spans="1:8">
      <c r="A3891" s="13">
        <v>45169</v>
      </c>
      <c r="B3891" s="12"/>
      <c r="C3891" s="12" t="s">
        <v>86</v>
      </c>
      <c r="D3891" s="89" t="s">
        <v>2287</v>
      </c>
      <c r="E3891" s="12">
        <v>10000</v>
      </c>
      <c r="F3891" s="12"/>
      <c r="G3891" s="12" t="s">
        <v>56</v>
      </c>
      <c r="H3891" s="113" t="s">
        <v>2010</v>
      </c>
    </row>
    <row r="3892" spans="1:8">
      <c r="A3892" s="270">
        <v>45169</v>
      </c>
      <c r="B3892" s="267"/>
      <c r="C3892" s="267" t="s">
        <v>55</v>
      </c>
      <c r="D3892" s="3" t="s">
        <v>63</v>
      </c>
      <c r="E3892" s="1497">
        <v>2657.29</v>
      </c>
      <c r="F3892" s="1497"/>
      <c r="G3892" s="267" t="s">
        <v>27</v>
      </c>
      <c r="H3892" s="3"/>
    </row>
    <row r="3893" spans="1:8">
      <c r="A3893" s="270">
        <v>45169</v>
      </c>
      <c r="B3893" s="267"/>
      <c r="C3893" s="267" t="s">
        <v>88</v>
      </c>
      <c r="D3893" s="15" t="s">
        <v>259</v>
      </c>
      <c r="E3893" s="1497">
        <v>50000</v>
      </c>
      <c r="F3893" s="1497"/>
      <c r="G3893" s="267" t="s">
        <v>27</v>
      </c>
      <c r="H3893" s="3"/>
    </row>
    <row r="3894" spans="1:8" ht="15.75" thickBot="1">
      <c r="A3894" s="119">
        <v>45169</v>
      </c>
      <c r="B3894" s="57"/>
      <c r="C3894" s="57" t="s">
        <v>92</v>
      </c>
      <c r="D3894" s="179" t="s">
        <v>2286</v>
      </c>
      <c r="E3894" s="57"/>
      <c r="F3894" s="57">
        <v>10840</v>
      </c>
      <c r="G3894" s="57" t="s">
        <v>27</v>
      </c>
      <c r="H3894" s="85"/>
    </row>
    <row r="3895" spans="1:8" ht="15.75" thickBot="1">
      <c r="A3895" s="234" t="s">
        <v>878</v>
      </c>
      <c r="B3895" s="230"/>
      <c r="C3895" s="230"/>
      <c r="D3895" s="230"/>
      <c r="E3895" s="1494"/>
      <c r="F3895" s="1494"/>
      <c r="G3895" s="230"/>
      <c r="H3895" s="235"/>
    </row>
    <row r="3896" spans="1:8">
      <c r="A3896" s="77">
        <v>45170</v>
      </c>
      <c r="B3896" s="62"/>
      <c r="C3896" s="62" t="s">
        <v>730</v>
      </c>
      <c r="D3896" s="5" t="s">
        <v>1167</v>
      </c>
      <c r="E3896" s="62">
        <v>26000</v>
      </c>
      <c r="F3896" s="62"/>
      <c r="G3896" s="62" t="s">
        <v>56</v>
      </c>
      <c r="H3896" s="5"/>
    </row>
    <row r="3897" spans="1:8">
      <c r="A3897" s="270">
        <v>45170</v>
      </c>
      <c r="B3897" s="267"/>
      <c r="C3897" s="267" t="s">
        <v>79</v>
      </c>
      <c r="D3897" s="3" t="s">
        <v>2284</v>
      </c>
      <c r="E3897" s="1497">
        <v>36000</v>
      </c>
      <c r="F3897" s="1497"/>
      <c r="G3897" s="267" t="s">
        <v>27</v>
      </c>
      <c r="H3897" s="3"/>
    </row>
    <row r="3898" spans="1:8">
      <c r="A3898" s="270">
        <v>45170</v>
      </c>
      <c r="B3898" s="267"/>
      <c r="C3898" s="267" t="s">
        <v>2190</v>
      </c>
      <c r="D3898" s="3" t="s">
        <v>2285</v>
      </c>
      <c r="E3898" s="1497">
        <v>86288</v>
      </c>
      <c r="F3898" s="1497"/>
      <c r="G3898" s="267" t="s">
        <v>27</v>
      </c>
      <c r="H3898" s="3"/>
    </row>
    <row r="3899" spans="1:8">
      <c r="A3899" s="270">
        <v>45170</v>
      </c>
      <c r="B3899" s="267"/>
      <c r="C3899" s="267" t="s">
        <v>55</v>
      </c>
      <c r="D3899" s="3" t="s">
        <v>452</v>
      </c>
      <c r="E3899" s="1497"/>
      <c r="F3899" s="1497">
        <v>242400</v>
      </c>
      <c r="G3899" s="267" t="s">
        <v>27</v>
      </c>
      <c r="H3899" s="3"/>
    </row>
    <row r="3900" spans="1:8">
      <c r="A3900" s="270">
        <v>45170</v>
      </c>
      <c r="B3900" s="267"/>
      <c r="C3900" s="267" t="s">
        <v>88</v>
      </c>
      <c r="D3900" s="3" t="s">
        <v>259</v>
      </c>
      <c r="E3900" s="1497">
        <v>22000</v>
      </c>
      <c r="F3900" s="1497"/>
      <c r="G3900" s="267" t="s">
        <v>56</v>
      </c>
      <c r="H3900" s="3"/>
    </row>
    <row r="3901" spans="1:8">
      <c r="A3901" s="270">
        <v>45170</v>
      </c>
      <c r="B3901" s="267"/>
      <c r="C3901" s="267" t="s">
        <v>88</v>
      </c>
      <c r="D3901" s="3" t="s">
        <v>824</v>
      </c>
      <c r="E3901" s="1497">
        <v>36000</v>
      </c>
      <c r="F3901" s="1497"/>
      <c r="G3901" s="267" t="s">
        <v>56</v>
      </c>
      <c r="H3901" s="3"/>
    </row>
    <row r="3902" spans="1:8">
      <c r="A3902" s="270">
        <v>45170</v>
      </c>
      <c r="B3902" s="267"/>
      <c r="C3902" s="267" t="s">
        <v>88</v>
      </c>
      <c r="D3902" s="3" t="s">
        <v>208</v>
      </c>
      <c r="E3902" s="1497">
        <v>42000</v>
      </c>
      <c r="F3902" s="1497"/>
      <c r="G3902" s="267" t="s">
        <v>56</v>
      </c>
      <c r="H3902" s="3"/>
    </row>
    <row r="3903" spans="1:8">
      <c r="A3903" s="270">
        <v>45170</v>
      </c>
      <c r="B3903" s="267"/>
      <c r="C3903" s="267" t="s">
        <v>88</v>
      </c>
      <c r="D3903" s="3" t="s">
        <v>219</v>
      </c>
      <c r="E3903" s="1497">
        <v>54000</v>
      </c>
      <c r="F3903" s="1497"/>
      <c r="G3903" s="267" t="s">
        <v>56</v>
      </c>
      <c r="H3903" s="3"/>
    </row>
    <row r="3904" spans="1:8">
      <c r="A3904" s="270">
        <v>45170</v>
      </c>
      <c r="B3904" s="267"/>
      <c r="C3904" s="267" t="s">
        <v>86</v>
      </c>
      <c r="D3904" s="3" t="s">
        <v>2287</v>
      </c>
      <c r="E3904" s="1497">
        <v>10000</v>
      </c>
      <c r="F3904" s="1497"/>
      <c r="G3904" s="267" t="s">
        <v>56</v>
      </c>
      <c r="H3904" s="3" t="s">
        <v>2010</v>
      </c>
    </row>
    <row r="3905" spans="1:8">
      <c r="A3905" s="267"/>
      <c r="B3905" s="267"/>
      <c r="C3905" s="267"/>
      <c r="D3905" s="3"/>
      <c r="E3905" s="1497"/>
      <c r="F3905" s="1497"/>
      <c r="G3905" s="267"/>
      <c r="H3905" s="132" t="s">
        <v>2227</v>
      </c>
    </row>
    <row r="3906" spans="1:8">
      <c r="A3906" s="267"/>
      <c r="B3906" s="267"/>
      <c r="C3906" s="267"/>
      <c r="D3906" s="3"/>
      <c r="E3906" s="1497"/>
      <c r="F3906" s="1497"/>
      <c r="G3906" s="267"/>
      <c r="H3906" s="132" t="s">
        <v>2290</v>
      </c>
    </row>
    <row r="3907" spans="1:8">
      <c r="A3907" s="267"/>
      <c r="B3907" s="267"/>
      <c r="C3907" s="267"/>
      <c r="D3907" s="3"/>
      <c r="E3907" s="1497"/>
      <c r="F3907" s="1497"/>
      <c r="G3907" s="267"/>
      <c r="H3907" s="117" t="s">
        <v>2292</v>
      </c>
    </row>
    <row r="3908" spans="1:8">
      <c r="A3908" s="267"/>
      <c r="B3908" s="267"/>
      <c r="C3908" s="267"/>
      <c r="D3908" s="3"/>
      <c r="E3908" s="1497"/>
      <c r="F3908" s="1497"/>
      <c r="G3908" s="267"/>
      <c r="H3908" s="117" t="s">
        <v>2288</v>
      </c>
    </row>
    <row r="3909" spans="1:8">
      <c r="A3909" s="267"/>
      <c r="B3909" s="267"/>
      <c r="C3909" s="267"/>
      <c r="D3909" s="3"/>
      <c r="E3909" s="1497"/>
      <c r="F3909" s="1497"/>
      <c r="G3909" s="267"/>
      <c r="H3909" s="117" t="s">
        <v>2289</v>
      </c>
    </row>
    <row r="3910" spans="1:8">
      <c r="A3910" s="267"/>
      <c r="B3910" s="267"/>
      <c r="C3910" s="267"/>
      <c r="D3910" s="3"/>
      <c r="E3910" s="1497"/>
      <c r="F3910" s="1497"/>
      <c r="G3910" s="267"/>
      <c r="H3910" s="117" t="s">
        <v>1937</v>
      </c>
    </row>
    <row r="3911" spans="1:8">
      <c r="A3911" s="267"/>
      <c r="B3911" s="267"/>
      <c r="C3911" s="267"/>
      <c r="D3911" s="3"/>
      <c r="E3911" s="1497"/>
      <c r="F3911" s="1497"/>
      <c r="G3911" s="267"/>
      <c r="H3911" s="117" t="s">
        <v>2261</v>
      </c>
    </row>
    <row r="3912" spans="1:8">
      <c r="H3912" s="117" t="s">
        <v>2262</v>
      </c>
    </row>
    <row r="3913" spans="1:8">
      <c r="H3913" s="117" t="s">
        <v>2151</v>
      </c>
    </row>
    <row r="3914" spans="1:8" ht="15.75" thickBot="1">
      <c r="H3914" s="118" t="s">
        <v>2291</v>
      </c>
    </row>
    <row r="3915" spans="1:8" ht="15.75" thickBot="1">
      <c r="H3915" s="194" t="s">
        <v>2293</v>
      </c>
    </row>
    <row r="3916" spans="1:8">
      <c r="A3916" s="270">
        <v>45173</v>
      </c>
      <c r="B3916" s="267"/>
      <c r="C3916" s="267" t="s">
        <v>55</v>
      </c>
      <c r="D3916" s="3" t="s">
        <v>2294</v>
      </c>
      <c r="E3916" s="1497">
        <v>1500</v>
      </c>
      <c r="F3916" s="1497"/>
      <c r="G3916" s="267" t="s">
        <v>56</v>
      </c>
      <c r="H3916" s="3"/>
    </row>
    <row r="3917" spans="1:8">
      <c r="A3917" s="270">
        <v>45173</v>
      </c>
      <c r="B3917" s="267"/>
      <c r="C3917" s="267" t="s">
        <v>160</v>
      </c>
      <c r="D3917" s="3" t="s">
        <v>2295</v>
      </c>
      <c r="E3917" s="1497"/>
      <c r="F3917" s="1497">
        <v>18980</v>
      </c>
      <c r="G3917" s="267" t="s">
        <v>27</v>
      </c>
      <c r="H3917" s="3"/>
    </row>
    <row r="3918" spans="1:8">
      <c r="A3918" s="270">
        <v>45173</v>
      </c>
      <c r="B3918" s="267"/>
      <c r="C3918" s="267" t="s">
        <v>308</v>
      </c>
      <c r="D3918" s="3" t="s">
        <v>307</v>
      </c>
      <c r="E3918" s="1497">
        <v>20000</v>
      </c>
      <c r="F3918" s="1497"/>
      <c r="G3918" s="267" t="s">
        <v>27</v>
      </c>
      <c r="H3918" s="3"/>
    </row>
    <row r="3919" spans="1:8">
      <c r="A3919" s="270">
        <v>45173</v>
      </c>
      <c r="B3919" s="267"/>
      <c r="C3919" s="267" t="s">
        <v>55</v>
      </c>
      <c r="D3919" s="3" t="s">
        <v>70</v>
      </c>
      <c r="E3919" s="1497">
        <v>3100</v>
      </c>
      <c r="F3919" s="1497"/>
      <c r="G3919" s="267" t="s">
        <v>56</v>
      </c>
      <c r="H3919" s="3"/>
    </row>
    <row r="3920" spans="1:8">
      <c r="A3920" s="270">
        <v>45173</v>
      </c>
      <c r="B3920" s="267"/>
      <c r="C3920" s="267" t="s">
        <v>92</v>
      </c>
      <c r="D3920" s="3" t="s">
        <v>604</v>
      </c>
      <c r="E3920" s="1497"/>
      <c r="F3920" s="1497">
        <v>7390</v>
      </c>
      <c r="G3920" s="267" t="s">
        <v>56</v>
      </c>
      <c r="H3920" s="3"/>
    </row>
    <row r="3921" spans="1:8">
      <c r="A3921" s="270">
        <v>45174</v>
      </c>
      <c r="B3921" s="267"/>
      <c r="C3921" s="267" t="s">
        <v>55</v>
      </c>
      <c r="D3921" s="3" t="s">
        <v>63</v>
      </c>
      <c r="E3921" s="1497">
        <v>15670</v>
      </c>
      <c r="F3921" s="1497"/>
      <c r="G3921" s="267" t="s">
        <v>56</v>
      </c>
      <c r="H3921" s="3" t="s">
        <v>1972</v>
      </c>
    </row>
    <row r="3922" spans="1:8">
      <c r="A3922" s="270">
        <v>45174</v>
      </c>
      <c r="B3922" s="267"/>
      <c r="C3922" s="267" t="s">
        <v>55</v>
      </c>
      <c r="D3922" s="3" t="s">
        <v>63</v>
      </c>
      <c r="E3922" s="1497">
        <v>1450</v>
      </c>
      <c r="F3922" s="1497"/>
      <c r="G3922" s="267" t="s">
        <v>56</v>
      </c>
      <c r="H3922" s="3" t="s">
        <v>1972</v>
      </c>
    </row>
    <row r="3923" spans="1:8">
      <c r="A3923" s="270">
        <v>45174</v>
      </c>
      <c r="B3923" s="267"/>
      <c r="C3923" s="267" t="s">
        <v>92</v>
      </c>
      <c r="D3923" s="3" t="s">
        <v>2296</v>
      </c>
      <c r="E3923" s="1497"/>
      <c r="F3923" s="1497">
        <v>39500</v>
      </c>
      <c r="G3923" s="267" t="s">
        <v>27</v>
      </c>
      <c r="H3923" s="3"/>
    </row>
    <row r="3924" spans="1:8">
      <c r="A3924" s="270">
        <v>45175</v>
      </c>
      <c r="B3924" s="267"/>
      <c r="C3924" s="267"/>
      <c r="D3924" s="3" t="s">
        <v>2301</v>
      </c>
      <c r="E3924" s="1497">
        <v>6480</v>
      </c>
      <c r="F3924" s="1497"/>
      <c r="G3924" s="267" t="s">
        <v>56</v>
      </c>
      <c r="H3924" s="3" t="s">
        <v>1972</v>
      </c>
    </row>
    <row r="3925" spans="1:8">
      <c r="A3925" s="270">
        <v>45175</v>
      </c>
      <c r="B3925" s="267"/>
      <c r="C3925" s="267" t="s">
        <v>86</v>
      </c>
      <c r="D3925" s="3" t="s">
        <v>2302</v>
      </c>
      <c r="E3925" s="1497">
        <v>10000</v>
      </c>
      <c r="F3925" s="1497"/>
      <c r="G3925" s="267" t="s">
        <v>56</v>
      </c>
      <c r="H3925" s="3" t="s">
        <v>1972</v>
      </c>
    </row>
    <row r="3926" spans="1:8">
      <c r="A3926" s="270">
        <v>45175</v>
      </c>
      <c r="B3926" s="267"/>
      <c r="C3926" s="267" t="s">
        <v>150</v>
      </c>
      <c r="D3926" s="3" t="s">
        <v>97</v>
      </c>
      <c r="E3926" s="1497"/>
      <c r="F3926" s="1497">
        <v>917503</v>
      </c>
      <c r="G3926" s="267" t="s">
        <v>27</v>
      </c>
      <c r="H3926" s="3"/>
    </row>
    <row r="3927" spans="1:8">
      <c r="A3927" s="270">
        <v>45175</v>
      </c>
      <c r="B3927" s="267"/>
      <c r="C3927" s="267" t="s">
        <v>92</v>
      </c>
      <c r="D3927" s="3" t="s">
        <v>2297</v>
      </c>
      <c r="E3927" s="1497"/>
      <c r="F3927" s="1497">
        <v>149400</v>
      </c>
      <c r="G3927" s="267" t="s">
        <v>56</v>
      </c>
      <c r="H3927" s="3"/>
    </row>
    <row r="3928" spans="1:8">
      <c r="A3928" s="270">
        <v>45175</v>
      </c>
      <c r="B3928" s="267"/>
      <c r="C3928" s="267" t="s">
        <v>94</v>
      </c>
      <c r="D3928" s="3" t="s">
        <v>2298</v>
      </c>
      <c r="E3928" s="1497">
        <v>21953.360000000001</v>
      </c>
      <c r="F3928" s="1497"/>
      <c r="G3928" s="267" t="s">
        <v>27</v>
      </c>
      <c r="H3928" s="3"/>
    </row>
    <row r="3929" spans="1:8">
      <c r="A3929" s="270">
        <v>45175</v>
      </c>
      <c r="B3929" s="267"/>
      <c r="C3929" s="267" t="s">
        <v>92</v>
      </c>
      <c r="D3929" s="3" t="s">
        <v>2007</v>
      </c>
      <c r="E3929" s="1497"/>
      <c r="F3929" s="1497">
        <v>23500</v>
      </c>
      <c r="G3929" s="267" t="s">
        <v>72</v>
      </c>
      <c r="H3929" s="3"/>
    </row>
    <row r="3930" spans="1:8">
      <c r="A3930" s="270">
        <v>45176</v>
      </c>
      <c r="B3930" s="267"/>
      <c r="C3930" s="267" t="s">
        <v>76</v>
      </c>
      <c r="D3930" s="3" t="s">
        <v>2300</v>
      </c>
      <c r="E3930" s="1497"/>
      <c r="F3930" s="1497">
        <v>124300</v>
      </c>
      <c r="G3930" s="267" t="s">
        <v>72</v>
      </c>
      <c r="H3930" s="3" t="s">
        <v>2299</v>
      </c>
    </row>
    <row r="3931" spans="1:8">
      <c r="A3931" s="270">
        <v>45176</v>
      </c>
      <c r="B3931" s="267"/>
      <c r="C3931" s="267" t="s">
        <v>29</v>
      </c>
      <c r="D3931" s="3" t="s">
        <v>48</v>
      </c>
      <c r="E3931" s="1497">
        <v>17100</v>
      </c>
      <c r="F3931" s="1497"/>
      <c r="G3931" s="267" t="s">
        <v>27</v>
      </c>
      <c r="H3931" s="3"/>
    </row>
    <row r="3932" spans="1:8">
      <c r="A3932" s="270">
        <v>45176</v>
      </c>
      <c r="B3932" s="267"/>
      <c r="C3932" s="267" t="s">
        <v>2190</v>
      </c>
      <c r="D3932" s="3" t="s">
        <v>2285</v>
      </c>
      <c r="E3932" s="1497">
        <v>102847</v>
      </c>
      <c r="F3932" s="1497"/>
      <c r="G3932" s="267" t="s">
        <v>27</v>
      </c>
      <c r="H3932" s="3"/>
    </row>
    <row r="3933" spans="1:8">
      <c r="A3933" s="270">
        <v>45176</v>
      </c>
      <c r="B3933" s="267"/>
      <c r="C3933" s="267" t="s">
        <v>1261</v>
      </c>
      <c r="D3933" s="3" t="s">
        <v>2303</v>
      </c>
      <c r="E3933" s="1497"/>
      <c r="F3933" s="1497">
        <v>50000</v>
      </c>
      <c r="G3933" s="267" t="s">
        <v>56</v>
      </c>
      <c r="H3933" s="3"/>
    </row>
    <row r="3934" spans="1:8">
      <c r="A3934" s="270">
        <v>45176</v>
      </c>
      <c r="B3934" s="267"/>
      <c r="C3934" s="267" t="s">
        <v>79</v>
      </c>
      <c r="D3934" s="3" t="s">
        <v>79</v>
      </c>
      <c r="E3934" s="1497">
        <v>17000</v>
      </c>
      <c r="F3934" s="1497"/>
      <c r="G3934" s="267" t="s">
        <v>56</v>
      </c>
      <c r="H3934" s="3"/>
    </row>
    <row r="3935" spans="1:8">
      <c r="A3935" s="270">
        <v>45176</v>
      </c>
      <c r="B3935" s="267"/>
      <c r="C3935" s="267" t="s">
        <v>2304</v>
      </c>
      <c r="D3935" s="3" t="s">
        <v>39</v>
      </c>
      <c r="E3935" s="1497">
        <v>124300</v>
      </c>
      <c r="F3935" s="1497"/>
      <c r="G3935" s="267" t="s">
        <v>72</v>
      </c>
      <c r="H3935" s="3"/>
    </row>
    <row r="3936" spans="1:8">
      <c r="A3936" s="270">
        <v>45176</v>
      </c>
      <c r="B3936" s="267"/>
      <c r="C3936" s="267" t="s">
        <v>2304</v>
      </c>
      <c r="D3936" s="3" t="s">
        <v>39</v>
      </c>
      <c r="E3936" s="1497"/>
      <c r="F3936" s="1497">
        <v>80510</v>
      </c>
      <c r="G3936" s="267" t="s">
        <v>72</v>
      </c>
      <c r="H3936" s="3"/>
    </row>
    <row r="3937" spans="1:8">
      <c r="A3937" s="270">
        <v>45176</v>
      </c>
      <c r="B3937" s="267"/>
      <c r="C3937" s="267" t="s">
        <v>2304</v>
      </c>
      <c r="D3937" s="3" t="s">
        <v>39</v>
      </c>
      <c r="E3937" s="1497"/>
      <c r="F3937" s="1497">
        <v>2560</v>
      </c>
      <c r="G3937" s="267" t="s">
        <v>56</v>
      </c>
      <c r="H3937" s="3"/>
    </row>
    <row r="3938" spans="1:8">
      <c r="A3938" s="270">
        <v>45176</v>
      </c>
      <c r="B3938" s="267"/>
      <c r="C3938" s="267" t="s">
        <v>55</v>
      </c>
      <c r="D3938" s="3" t="s">
        <v>63</v>
      </c>
      <c r="E3938" s="1497">
        <v>4700.2700000000004</v>
      </c>
      <c r="F3938" s="1497"/>
      <c r="G3938" s="267" t="s">
        <v>56</v>
      </c>
      <c r="H3938" s="3"/>
    </row>
    <row r="3939" spans="1:8">
      <c r="A3939" s="270">
        <v>45176</v>
      </c>
      <c r="B3939" s="267"/>
      <c r="C3939" s="267" t="s">
        <v>90</v>
      </c>
      <c r="D3939" s="3" t="s">
        <v>1951</v>
      </c>
      <c r="E3939" s="1497">
        <v>4000</v>
      </c>
      <c r="F3939" s="1497"/>
      <c r="G3939" s="267" t="s">
        <v>56</v>
      </c>
      <c r="H3939" s="3"/>
    </row>
    <row r="3940" spans="1:8">
      <c r="A3940" s="270">
        <v>45176</v>
      </c>
      <c r="B3940" s="267"/>
      <c r="C3940" s="267" t="s">
        <v>65</v>
      </c>
      <c r="D3940" s="3" t="s">
        <v>2305</v>
      </c>
      <c r="E3940" s="1497">
        <v>28500</v>
      </c>
      <c r="F3940" s="1497"/>
      <c r="G3940" s="267" t="s">
        <v>56</v>
      </c>
      <c r="H3940" s="3"/>
    </row>
    <row r="3941" spans="1:8">
      <c r="A3941" s="270">
        <v>45176</v>
      </c>
      <c r="B3941" s="267"/>
      <c r="C3941" s="267" t="s">
        <v>65</v>
      </c>
      <c r="D3941" s="3" t="s">
        <v>2305</v>
      </c>
      <c r="E3941" s="1497">
        <v>8100</v>
      </c>
      <c r="F3941" s="1497"/>
      <c r="G3941" s="267" t="s">
        <v>56</v>
      </c>
      <c r="H3941" s="3"/>
    </row>
    <row r="3942" spans="1:8">
      <c r="A3942" s="270">
        <v>45177</v>
      </c>
      <c r="B3942" s="267"/>
      <c r="C3942" s="267" t="s">
        <v>92</v>
      </c>
      <c r="D3942" s="3" t="s">
        <v>2166</v>
      </c>
      <c r="E3942" s="1497"/>
      <c r="F3942" s="1497">
        <v>14500</v>
      </c>
      <c r="G3942" s="267" t="s">
        <v>27</v>
      </c>
      <c r="H3942" s="3"/>
    </row>
    <row r="3943" spans="1:8">
      <c r="A3943" s="270">
        <v>45177</v>
      </c>
      <c r="B3943" s="267"/>
      <c r="C3943" s="267" t="s">
        <v>76</v>
      </c>
      <c r="D3943" s="3" t="s">
        <v>2201</v>
      </c>
      <c r="E3943" s="1497"/>
      <c r="F3943" s="1497">
        <v>80000</v>
      </c>
      <c r="G3943" s="267" t="s">
        <v>56</v>
      </c>
      <c r="H3943" s="3"/>
    </row>
    <row r="3944" spans="1:8">
      <c r="A3944" s="270">
        <v>45177</v>
      </c>
      <c r="B3944" s="267"/>
      <c r="C3944" s="267" t="s">
        <v>79</v>
      </c>
      <c r="D3944" s="3" t="s">
        <v>2306</v>
      </c>
      <c r="E3944" s="1497">
        <v>15000</v>
      </c>
      <c r="F3944" s="1497"/>
      <c r="G3944" s="267" t="s">
        <v>27</v>
      </c>
      <c r="H3944" s="3"/>
    </row>
    <row r="3945" spans="1:8">
      <c r="A3945" s="13">
        <v>45177</v>
      </c>
      <c r="B3945" s="12"/>
      <c r="C3945" s="12" t="s">
        <v>55</v>
      </c>
      <c r="D3945" s="89" t="s">
        <v>38</v>
      </c>
      <c r="E3945" s="12">
        <v>880</v>
      </c>
      <c r="F3945" s="12"/>
      <c r="G3945" s="12" t="s">
        <v>56</v>
      </c>
      <c r="H3945" s="113"/>
    </row>
    <row r="3946" spans="1:8">
      <c r="A3946" s="270">
        <v>45177</v>
      </c>
      <c r="B3946" s="267"/>
      <c r="C3946" s="267" t="s">
        <v>88</v>
      </c>
      <c r="D3946" s="3" t="s">
        <v>144</v>
      </c>
      <c r="E3946" s="1497">
        <v>14500</v>
      </c>
      <c r="F3946" s="1497"/>
      <c r="G3946" s="267" t="s">
        <v>56</v>
      </c>
      <c r="H3946" s="3"/>
    </row>
    <row r="3947" spans="1:8">
      <c r="A3947" s="270">
        <v>45177</v>
      </c>
      <c r="B3947" s="267"/>
      <c r="C3947" s="267" t="s">
        <v>88</v>
      </c>
      <c r="D3947" s="3" t="s">
        <v>144</v>
      </c>
      <c r="E3947" s="1497">
        <v>57500</v>
      </c>
      <c r="F3947" s="1497"/>
      <c r="G3947" s="267" t="s">
        <v>56</v>
      </c>
      <c r="H3947" s="3"/>
    </row>
    <row r="3948" spans="1:8">
      <c r="A3948" s="270">
        <v>45177</v>
      </c>
      <c r="B3948" s="267"/>
      <c r="C3948" s="267" t="s">
        <v>88</v>
      </c>
      <c r="D3948" s="3" t="s">
        <v>208</v>
      </c>
      <c r="E3948" s="1497">
        <v>42000</v>
      </c>
      <c r="F3948" s="1497"/>
      <c r="G3948" s="267" t="s">
        <v>56</v>
      </c>
      <c r="H3948" s="3"/>
    </row>
    <row r="3949" spans="1:8">
      <c r="A3949" s="270">
        <v>45177</v>
      </c>
      <c r="B3949" s="267"/>
      <c r="C3949" s="267" t="s">
        <v>88</v>
      </c>
      <c r="D3949" s="3" t="s">
        <v>193</v>
      </c>
      <c r="E3949" s="1497">
        <v>36000</v>
      </c>
      <c r="F3949" s="1497"/>
      <c r="G3949" s="267" t="s">
        <v>56</v>
      </c>
      <c r="H3949" s="3"/>
    </row>
    <row r="3950" spans="1:8" ht="15.75" thickBot="1">
      <c r="A3950" s="270">
        <v>45177</v>
      </c>
      <c r="B3950" s="267"/>
      <c r="C3950" s="267" t="s">
        <v>88</v>
      </c>
      <c r="D3950" s="3" t="s">
        <v>219</v>
      </c>
      <c r="E3950" s="1497">
        <v>54000</v>
      </c>
      <c r="F3950" s="1497"/>
      <c r="G3950" s="267" t="s">
        <v>56</v>
      </c>
      <c r="H3950" s="85"/>
    </row>
    <row r="3951" spans="1:8" ht="15.75" thickBot="1">
      <c r="A3951" s="267"/>
      <c r="B3951" s="267"/>
      <c r="C3951" s="267"/>
      <c r="D3951" s="3"/>
      <c r="E3951" s="1497"/>
      <c r="F3951" s="1497"/>
      <c r="G3951" s="226"/>
      <c r="H3951" s="198">
        <v>45177</v>
      </c>
    </row>
    <row r="3952" spans="1:8">
      <c r="A3952" s="267"/>
      <c r="B3952" s="267"/>
      <c r="C3952" s="267"/>
      <c r="D3952" s="3"/>
      <c r="E3952" s="1497"/>
      <c r="F3952" s="1497"/>
      <c r="G3952" s="226"/>
      <c r="H3952" s="199" t="s">
        <v>2227</v>
      </c>
    </row>
    <row r="3953" spans="1:8">
      <c r="H3953" s="137" t="s">
        <v>2311</v>
      </c>
    </row>
    <row r="3954" spans="1:8">
      <c r="H3954" s="138" t="s">
        <v>2313</v>
      </c>
    </row>
    <row r="3955" spans="1:8">
      <c r="H3955" s="138" t="s">
        <v>2314</v>
      </c>
    </row>
    <row r="3956" spans="1:8">
      <c r="H3956" s="138" t="s">
        <v>2309</v>
      </c>
    </row>
    <row r="3957" spans="1:8">
      <c r="H3957" s="138" t="s">
        <v>2308</v>
      </c>
    </row>
    <row r="3958" spans="1:8">
      <c r="H3958" s="138" t="s">
        <v>2307</v>
      </c>
    </row>
    <row r="3959" spans="1:8">
      <c r="H3959" s="138" t="s">
        <v>2310</v>
      </c>
    </row>
    <row r="3960" spans="1:8">
      <c r="H3960" s="138" t="s">
        <v>2262</v>
      </c>
    </row>
    <row r="3961" spans="1:8">
      <c r="H3961" s="138" t="s">
        <v>2151</v>
      </c>
    </row>
    <row r="3962" spans="1:8" ht="15.75" thickBot="1">
      <c r="H3962" s="139" t="s">
        <v>2312</v>
      </c>
    </row>
    <row r="3963" spans="1:8" ht="15.75" thickBot="1">
      <c r="H3963" s="194" t="s">
        <v>2315</v>
      </c>
    </row>
    <row r="3964" spans="1:8">
      <c r="A3964" s="270">
        <v>45180</v>
      </c>
      <c r="B3964" s="267"/>
      <c r="C3964" s="267" t="s">
        <v>2316</v>
      </c>
      <c r="D3964" s="3" t="s">
        <v>38</v>
      </c>
      <c r="E3964" s="1497">
        <v>1700</v>
      </c>
      <c r="F3964" s="1497"/>
      <c r="G3964" s="267" t="s">
        <v>56</v>
      </c>
      <c r="H3964" s="3"/>
    </row>
    <row r="3965" spans="1:8">
      <c r="A3965" s="270">
        <v>45180</v>
      </c>
      <c r="B3965" s="267"/>
      <c r="C3965" s="267" t="s">
        <v>79</v>
      </c>
      <c r="D3965" s="3" t="s">
        <v>79</v>
      </c>
      <c r="E3965" s="1497" t="s">
        <v>2317</v>
      </c>
      <c r="F3965" s="1497"/>
      <c r="G3965" s="267" t="s">
        <v>27</v>
      </c>
      <c r="H3965" s="3"/>
    </row>
    <row r="3966" spans="1:8">
      <c r="A3966" s="270">
        <v>45180</v>
      </c>
      <c r="B3966" s="267"/>
      <c r="C3966" s="267" t="s">
        <v>94</v>
      </c>
      <c r="D3966" s="3" t="s">
        <v>13</v>
      </c>
      <c r="E3966" s="1497">
        <v>18201.41</v>
      </c>
      <c r="F3966" s="1497"/>
      <c r="G3966" s="267" t="s">
        <v>27</v>
      </c>
      <c r="H3966" s="3"/>
    </row>
    <row r="3967" spans="1:8">
      <c r="A3967" s="270">
        <v>45180</v>
      </c>
      <c r="B3967" s="267"/>
      <c r="C3967" s="267" t="s">
        <v>730</v>
      </c>
      <c r="D3967" s="3" t="s">
        <v>2318</v>
      </c>
      <c r="E3967" s="1497">
        <v>2500</v>
      </c>
      <c r="F3967" s="1497"/>
      <c r="G3967" s="267" t="s">
        <v>27</v>
      </c>
      <c r="H3967" s="3"/>
    </row>
    <row r="3968" spans="1:8">
      <c r="A3968" s="270">
        <v>45180</v>
      </c>
      <c r="B3968" s="267"/>
      <c r="C3968" s="267" t="s">
        <v>94</v>
      </c>
      <c r="D3968" s="3" t="s">
        <v>207</v>
      </c>
      <c r="E3968" s="1497">
        <v>103500</v>
      </c>
      <c r="F3968" s="1497"/>
      <c r="G3968" s="267" t="s">
        <v>27</v>
      </c>
      <c r="H3968" s="3"/>
    </row>
    <row r="3969" spans="1:8">
      <c r="A3969" s="270">
        <v>45180</v>
      </c>
      <c r="B3969" s="267"/>
      <c r="C3969" s="267" t="s">
        <v>92</v>
      </c>
      <c r="D3969" s="3" t="s">
        <v>1843</v>
      </c>
      <c r="E3969" s="1497"/>
      <c r="F3969" s="1497">
        <v>12900</v>
      </c>
      <c r="G3969" s="267" t="s">
        <v>56</v>
      </c>
      <c r="H3969" s="3"/>
    </row>
    <row r="3970" spans="1:8">
      <c r="A3970" s="270">
        <v>45180</v>
      </c>
      <c r="B3970" s="267"/>
      <c r="C3970" s="267" t="s">
        <v>79</v>
      </c>
      <c r="D3970" s="3" t="s">
        <v>2319</v>
      </c>
      <c r="E3970" s="1497">
        <v>14991.4</v>
      </c>
      <c r="F3970" s="1497"/>
      <c r="G3970" s="267" t="s">
        <v>27</v>
      </c>
      <c r="H3970" s="3"/>
    </row>
    <row r="3971" spans="1:8">
      <c r="A3971" s="270">
        <v>45180</v>
      </c>
      <c r="B3971" s="267"/>
      <c r="C3971" s="267" t="s">
        <v>94</v>
      </c>
      <c r="D3971" s="3" t="s">
        <v>1687</v>
      </c>
      <c r="E3971" s="1497">
        <v>5004.7299999999996</v>
      </c>
      <c r="F3971" s="1497"/>
      <c r="G3971" s="267" t="s">
        <v>27</v>
      </c>
      <c r="H3971" s="3"/>
    </row>
    <row r="3972" spans="1:8">
      <c r="A3972" s="270">
        <v>45180</v>
      </c>
      <c r="B3972" s="267"/>
      <c r="C3972" s="267" t="s">
        <v>308</v>
      </c>
      <c r="D3972" s="3" t="s">
        <v>307</v>
      </c>
      <c r="E3972" s="1497">
        <v>27080</v>
      </c>
      <c r="F3972" s="1497"/>
      <c r="G3972" s="267" t="s">
        <v>27</v>
      </c>
      <c r="H3972" s="3"/>
    </row>
    <row r="3973" spans="1:8">
      <c r="A3973" s="270">
        <v>45181</v>
      </c>
      <c r="B3973" s="267"/>
      <c r="C3973" s="267" t="s">
        <v>77</v>
      </c>
      <c r="D3973" s="3" t="s">
        <v>2320</v>
      </c>
      <c r="E3973" s="1497"/>
      <c r="F3973" s="1497">
        <v>814000</v>
      </c>
      <c r="G3973" s="267" t="s">
        <v>56</v>
      </c>
      <c r="H3973" s="3"/>
    </row>
    <row r="3974" spans="1:8">
      <c r="A3974" s="270">
        <v>45181</v>
      </c>
      <c r="B3974" s="267"/>
      <c r="C3974" s="267" t="s">
        <v>76</v>
      </c>
      <c r="D3974" s="3" t="s">
        <v>1551</v>
      </c>
      <c r="E3974" s="1497"/>
      <c r="F3974" s="1497">
        <v>185000</v>
      </c>
      <c r="G3974" s="267" t="s">
        <v>56</v>
      </c>
      <c r="H3974" s="3"/>
    </row>
    <row r="3975" spans="1:8">
      <c r="A3975" s="270">
        <v>45181</v>
      </c>
      <c r="B3975" s="267"/>
      <c r="C3975" s="267" t="s">
        <v>55</v>
      </c>
      <c r="D3975" s="3" t="s">
        <v>2321</v>
      </c>
      <c r="E3975" s="1497">
        <v>25000</v>
      </c>
      <c r="F3975" s="1497"/>
      <c r="G3975" s="267" t="s">
        <v>56</v>
      </c>
      <c r="H3975" s="3"/>
    </row>
    <row r="3976" spans="1:8">
      <c r="A3976" s="270">
        <v>45181</v>
      </c>
      <c r="B3976" s="267"/>
      <c r="C3976" s="267" t="s">
        <v>92</v>
      </c>
      <c r="D3976" s="3" t="s">
        <v>2322</v>
      </c>
      <c r="E3976" s="1497"/>
      <c r="F3976" s="1497">
        <v>23650</v>
      </c>
      <c r="G3976" s="267" t="s">
        <v>56</v>
      </c>
      <c r="H3976" s="3"/>
    </row>
    <row r="3977" spans="1:8">
      <c r="A3977" s="270">
        <v>45181</v>
      </c>
      <c r="B3977" s="267"/>
      <c r="C3977" s="267" t="s">
        <v>29</v>
      </c>
      <c r="D3977" s="3" t="s">
        <v>2323</v>
      </c>
      <c r="E3977" s="1497">
        <v>43741</v>
      </c>
      <c r="F3977" s="1497"/>
      <c r="G3977" s="267" t="s">
        <v>108</v>
      </c>
      <c r="H3977" s="3"/>
    </row>
    <row r="3978" spans="1:8">
      <c r="A3978" s="270">
        <v>45181</v>
      </c>
      <c r="B3978" s="267"/>
      <c r="C3978" s="267" t="s">
        <v>79</v>
      </c>
      <c r="D3978" s="3" t="s">
        <v>2323</v>
      </c>
      <c r="E3978" s="1497">
        <v>53759</v>
      </c>
      <c r="F3978" s="1497"/>
      <c r="G3978" s="267" t="s">
        <v>108</v>
      </c>
      <c r="H3978" s="3" t="s">
        <v>2324</v>
      </c>
    </row>
    <row r="3979" spans="1:8">
      <c r="A3979" s="270">
        <v>45181</v>
      </c>
      <c r="B3979" s="267"/>
      <c r="C3979" s="267" t="s">
        <v>2325</v>
      </c>
      <c r="D3979" s="3" t="s">
        <v>107</v>
      </c>
      <c r="E3979" s="1497">
        <v>6000</v>
      </c>
      <c r="F3979" s="1497"/>
      <c r="G3979" s="267" t="s">
        <v>27</v>
      </c>
      <c r="H3979" s="3"/>
    </row>
    <row r="3980" spans="1:8">
      <c r="A3980" s="270">
        <v>45181</v>
      </c>
      <c r="B3980" s="267"/>
      <c r="C3980" s="267" t="s">
        <v>55</v>
      </c>
      <c r="D3980" s="15" t="s">
        <v>562</v>
      </c>
      <c r="E3980" s="1497">
        <v>3910</v>
      </c>
      <c r="F3980" s="1497"/>
      <c r="G3980" s="267" t="s">
        <v>56</v>
      </c>
      <c r="H3980" s="3"/>
    </row>
    <row r="3981" spans="1:8">
      <c r="A3981" s="270">
        <v>45181</v>
      </c>
      <c r="B3981" s="267"/>
      <c r="C3981" s="267" t="s">
        <v>55</v>
      </c>
      <c r="D3981" s="3" t="s">
        <v>38</v>
      </c>
      <c r="E3981" s="1497">
        <v>975</v>
      </c>
      <c r="F3981" s="1497"/>
      <c r="G3981" s="267" t="s">
        <v>56</v>
      </c>
      <c r="H3981" s="3"/>
    </row>
    <row r="3982" spans="1:8">
      <c r="A3982" s="270">
        <v>45181</v>
      </c>
      <c r="B3982" s="267"/>
      <c r="C3982" s="267" t="s">
        <v>79</v>
      </c>
      <c r="D3982" s="3" t="s">
        <v>79</v>
      </c>
      <c r="E3982" s="1497">
        <v>200000</v>
      </c>
      <c r="F3982" s="1497"/>
      <c r="G3982" s="267" t="s">
        <v>614</v>
      </c>
      <c r="H3982" s="3"/>
    </row>
    <row r="3983" spans="1:8">
      <c r="A3983" s="270">
        <v>45183</v>
      </c>
      <c r="B3983" s="267"/>
      <c r="C3983" s="267" t="s">
        <v>92</v>
      </c>
      <c r="D3983" s="3" t="s">
        <v>582</v>
      </c>
      <c r="E3983" s="1497"/>
      <c r="F3983" s="1497">
        <v>309249.48</v>
      </c>
      <c r="G3983" s="267" t="s">
        <v>27</v>
      </c>
      <c r="H3983" s="3"/>
    </row>
    <row r="3984" spans="1:8">
      <c r="A3984" s="270">
        <v>45183</v>
      </c>
      <c r="B3984" s="267"/>
      <c r="C3984" s="267" t="s">
        <v>178</v>
      </c>
      <c r="D3984" s="3" t="s">
        <v>514</v>
      </c>
      <c r="E3984" s="1497">
        <v>1400</v>
      </c>
      <c r="F3984" s="1497"/>
      <c r="G3984" s="267" t="s">
        <v>27</v>
      </c>
      <c r="H3984" s="3"/>
    </row>
    <row r="3985" spans="1:8">
      <c r="A3985" s="270">
        <v>45183</v>
      </c>
      <c r="B3985" s="267"/>
      <c r="C3985" s="267" t="s">
        <v>65</v>
      </c>
      <c r="D3985" s="3" t="s">
        <v>2305</v>
      </c>
      <c r="E3985" s="1497">
        <v>10000</v>
      </c>
      <c r="F3985" s="1497"/>
      <c r="G3985" s="267" t="s">
        <v>72</v>
      </c>
      <c r="H3985" s="3"/>
    </row>
    <row r="3986" spans="1:8">
      <c r="A3986" s="270">
        <v>45183</v>
      </c>
      <c r="B3986" s="267"/>
      <c r="C3986" s="267" t="s">
        <v>90</v>
      </c>
      <c r="D3986" s="3" t="s">
        <v>1951</v>
      </c>
      <c r="E3986" s="1497">
        <v>4200</v>
      </c>
      <c r="F3986" s="1497"/>
      <c r="G3986" s="267" t="s">
        <v>56</v>
      </c>
      <c r="H3986" s="3"/>
    </row>
    <row r="3987" spans="1:8">
      <c r="A3987" s="270">
        <v>45183</v>
      </c>
      <c r="B3987" s="267"/>
      <c r="C3987" s="267" t="s">
        <v>55</v>
      </c>
      <c r="D3987" s="3" t="s">
        <v>562</v>
      </c>
      <c r="E3987" s="1497">
        <v>3500</v>
      </c>
      <c r="F3987" s="1497"/>
      <c r="G3987" s="267" t="s">
        <v>56</v>
      </c>
      <c r="H3987" s="3"/>
    </row>
    <row r="3988" spans="1:8">
      <c r="A3988" s="270">
        <v>45183</v>
      </c>
      <c r="B3988" s="267"/>
      <c r="C3988" s="267" t="s">
        <v>55</v>
      </c>
      <c r="D3988" s="3" t="s">
        <v>63</v>
      </c>
      <c r="E3988" s="1497">
        <v>9030.01</v>
      </c>
      <c r="F3988" s="1497"/>
      <c r="G3988" s="267" t="s">
        <v>27</v>
      </c>
      <c r="H3988" s="3"/>
    </row>
    <row r="3989" spans="1:8">
      <c r="A3989" s="270">
        <v>45183</v>
      </c>
      <c r="B3989" s="267"/>
      <c r="C3989" s="267" t="s">
        <v>55</v>
      </c>
      <c r="D3989" s="3" t="s">
        <v>2326</v>
      </c>
      <c r="E3989" s="1497">
        <v>40000</v>
      </c>
      <c r="F3989" s="1497"/>
      <c r="G3989" s="267" t="s">
        <v>56</v>
      </c>
      <c r="H3989" s="3"/>
    </row>
    <row r="3990" spans="1:8">
      <c r="A3990" s="270">
        <v>45183</v>
      </c>
      <c r="B3990" s="267"/>
      <c r="C3990" s="267" t="s">
        <v>77</v>
      </c>
      <c r="D3990" s="3" t="s">
        <v>2327</v>
      </c>
      <c r="E3990" s="1497"/>
      <c r="F3990" s="1497">
        <v>25100</v>
      </c>
      <c r="G3990" s="267" t="s">
        <v>56</v>
      </c>
      <c r="H3990" s="3"/>
    </row>
    <row r="3991" spans="1:8">
      <c r="A3991" s="270">
        <v>45184</v>
      </c>
      <c r="B3991" s="267"/>
      <c r="C3991" s="267" t="s">
        <v>79</v>
      </c>
      <c r="D3991" s="3" t="s">
        <v>2284</v>
      </c>
      <c r="E3991" s="1497">
        <v>36364</v>
      </c>
      <c r="F3991" s="1497"/>
      <c r="G3991" s="267" t="s">
        <v>27</v>
      </c>
      <c r="H3991" s="3"/>
    </row>
    <row r="3992" spans="1:8">
      <c r="A3992" s="270">
        <v>45184</v>
      </c>
      <c r="B3992" s="267"/>
      <c r="C3992" s="267" t="s">
        <v>55</v>
      </c>
      <c r="D3992" s="3" t="s">
        <v>2328</v>
      </c>
      <c r="E3992" s="1497">
        <v>1000</v>
      </c>
      <c r="F3992" s="1497"/>
      <c r="G3992" s="267" t="s">
        <v>56</v>
      </c>
      <c r="H3992" s="3"/>
    </row>
    <row r="3993" spans="1:8">
      <c r="A3993" s="270">
        <v>45184</v>
      </c>
      <c r="B3993" s="267"/>
      <c r="C3993" s="267" t="s">
        <v>29</v>
      </c>
      <c r="D3993" s="3" t="s">
        <v>2329</v>
      </c>
      <c r="E3993" s="1497">
        <v>434860</v>
      </c>
      <c r="F3993" s="1497"/>
      <c r="G3993" s="267" t="s">
        <v>287</v>
      </c>
      <c r="H3993" s="3"/>
    </row>
    <row r="3994" spans="1:8">
      <c r="A3994" s="270">
        <v>45184</v>
      </c>
      <c r="B3994" s="267"/>
      <c r="C3994" s="267" t="s">
        <v>29</v>
      </c>
      <c r="D3994" s="3" t="s">
        <v>426</v>
      </c>
      <c r="E3994" s="1497">
        <v>28668.2</v>
      </c>
      <c r="F3994" s="1497"/>
      <c r="G3994" s="267" t="s">
        <v>27</v>
      </c>
      <c r="H3994" s="3"/>
    </row>
    <row r="3995" spans="1:8">
      <c r="A3995" s="270">
        <v>45184</v>
      </c>
      <c r="B3995" s="267"/>
      <c r="C3995" s="267" t="s">
        <v>29</v>
      </c>
      <c r="D3995" s="3" t="s">
        <v>2329</v>
      </c>
      <c r="E3995" s="1497">
        <v>198740</v>
      </c>
      <c r="F3995" s="1497"/>
      <c r="G3995" s="267" t="s">
        <v>27</v>
      </c>
      <c r="H3995" s="3"/>
    </row>
    <row r="3996" spans="1:8">
      <c r="A3996" s="270">
        <v>45184</v>
      </c>
      <c r="B3996" s="267"/>
      <c r="C3996" s="267" t="s">
        <v>88</v>
      </c>
      <c r="D3996" s="3" t="s">
        <v>219</v>
      </c>
      <c r="E3996" s="1497">
        <v>54000</v>
      </c>
      <c r="F3996" s="1497"/>
      <c r="G3996" s="267" t="s">
        <v>56</v>
      </c>
      <c r="H3996" s="3"/>
    </row>
    <row r="3997" spans="1:8">
      <c r="A3997" s="270">
        <v>45184</v>
      </c>
      <c r="B3997" s="267"/>
      <c r="C3997" s="267" t="s">
        <v>88</v>
      </c>
      <c r="D3997" s="3" t="s">
        <v>208</v>
      </c>
      <c r="E3997" s="1497">
        <v>42000</v>
      </c>
      <c r="F3997" s="1497"/>
      <c r="G3997" s="267" t="s">
        <v>56</v>
      </c>
      <c r="H3997" s="3"/>
    </row>
    <row r="3998" spans="1:8">
      <c r="A3998" s="270">
        <v>45184</v>
      </c>
      <c r="B3998" s="267"/>
      <c r="C3998" s="267" t="s">
        <v>88</v>
      </c>
      <c r="D3998" s="3" t="s">
        <v>193</v>
      </c>
      <c r="E3998" s="1497">
        <v>36000</v>
      </c>
      <c r="F3998" s="1497"/>
      <c r="G3998" s="267" t="s">
        <v>56</v>
      </c>
      <c r="H3998" s="3"/>
    </row>
    <row r="3999" spans="1:8">
      <c r="A3999" s="270">
        <v>45184</v>
      </c>
      <c r="B3999" s="267"/>
      <c r="C3999" s="267" t="s">
        <v>88</v>
      </c>
      <c r="D3999" s="3" t="s">
        <v>144</v>
      </c>
      <c r="E3999" s="1497">
        <v>15000</v>
      </c>
      <c r="F3999" s="1497"/>
      <c r="G3999" s="267" t="s">
        <v>27</v>
      </c>
      <c r="H3999" s="3"/>
    </row>
    <row r="4000" spans="1:8">
      <c r="A4000" s="270">
        <v>45184</v>
      </c>
      <c r="B4000" s="267"/>
      <c r="C4000" s="267" t="s">
        <v>88</v>
      </c>
      <c r="D4000" s="3" t="s">
        <v>144</v>
      </c>
      <c r="E4000" s="1497">
        <v>12000</v>
      </c>
      <c r="F4000" s="1497"/>
      <c r="G4000" s="267" t="s">
        <v>56</v>
      </c>
      <c r="H4000" s="3"/>
    </row>
    <row r="4001" spans="1:8" ht="15.75" thickBot="1">
      <c r="A4001" s="270">
        <v>45184</v>
      </c>
      <c r="B4001" s="267"/>
      <c r="C4001" s="267" t="s">
        <v>88</v>
      </c>
      <c r="D4001" s="3" t="s">
        <v>144</v>
      </c>
      <c r="E4001" s="1497">
        <v>45000</v>
      </c>
      <c r="F4001" s="1497"/>
      <c r="G4001" s="267" t="s">
        <v>27</v>
      </c>
      <c r="H4001" s="3"/>
    </row>
    <row r="4002" spans="1:8" ht="15.75" thickBot="1">
      <c r="H4002" s="198">
        <v>45184</v>
      </c>
    </row>
    <row r="4003" spans="1:8">
      <c r="H4003" s="199" t="s">
        <v>2333</v>
      </c>
    </row>
    <row r="4004" spans="1:8">
      <c r="H4004" s="137" t="s">
        <v>2334</v>
      </c>
    </row>
    <row r="4005" spans="1:8">
      <c r="H4005" s="138" t="s">
        <v>2330</v>
      </c>
    </row>
    <row r="4006" spans="1:8">
      <c r="H4006" s="138" t="s">
        <v>2335</v>
      </c>
    </row>
    <row r="4007" spans="1:8">
      <c r="H4007" s="138" t="s">
        <v>2331</v>
      </c>
    </row>
    <row r="4008" spans="1:8">
      <c r="H4008" s="138" t="s">
        <v>2332</v>
      </c>
    </row>
    <row r="4009" spans="1:8">
      <c r="H4009" s="138" t="s">
        <v>2307</v>
      </c>
    </row>
    <row r="4010" spans="1:8">
      <c r="H4010" s="138" t="s">
        <v>809</v>
      </c>
    </row>
    <row r="4011" spans="1:8">
      <c r="H4011" s="138" t="s">
        <v>1215</v>
      </c>
    </row>
    <row r="4012" spans="1:8">
      <c r="H4012" s="138" t="s">
        <v>2151</v>
      </c>
    </row>
    <row r="4013" spans="1:8" ht="15.75" thickBot="1">
      <c r="H4013" s="139" t="s">
        <v>2312</v>
      </c>
    </row>
    <row r="4014" spans="1:8" ht="15.75" thickBot="1">
      <c r="H4014" s="194" t="s">
        <v>2336</v>
      </c>
    </row>
    <row r="4015" spans="1:8">
      <c r="A4015" s="270">
        <v>45184</v>
      </c>
      <c r="B4015" s="267"/>
      <c r="C4015" s="267" t="s">
        <v>308</v>
      </c>
      <c r="D4015" s="3" t="s">
        <v>232</v>
      </c>
      <c r="E4015" s="1497">
        <v>30000</v>
      </c>
      <c r="F4015" s="1497"/>
      <c r="G4015" s="267" t="s">
        <v>27</v>
      </c>
      <c r="H4015" s="5"/>
    </row>
    <row r="4016" spans="1:8">
      <c r="A4016" s="270">
        <v>45187</v>
      </c>
      <c r="B4016" s="267"/>
      <c r="C4016" s="267" t="s">
        <v>79</v>
      </c>
      <c r="D4016" s="3" t="s">
        <v>277</v>
      </c>
      <c r="E4016" s="1497">
        <v>7400</v>
      </c>
      <c r="F4016" s="1497"/>
      <c r="G4016" s="267" t="s">
        <v>56</v>
      </c>
      <c r="H4016" s="3"/>
    </row>
    <row r="4017" spans="1:8">
      <c r="A4017" s="270">
        <v>45187</v>
      </c>
      <c r="B4017" s="267"/>
      <c r="C4017" s="267" t="s">
        <v>79</v>
      </c>
      <c r="D4017" s="3" t="s">
        <v>78</v>
      </c>
      <c r="E4017" s="1497">
        <v>5000</v>
      </c>
      <c r="F4017" s="1497"/>
      <c r="G4017" s="267" t="s">
        <v>56</v>
      </c>
      <c r="H4017" s="3"/>
    </row>
    <row r="4018" spans="1:8">
      <c r="A4018" s="270">
        <v>45187</v>
      </c>
      <c r="B4018" s="267"/>
      <c r="C4018" s="267" t="s">
        <v>55</v>
      </c>
      <c r="D4018" s="3" t="s">
        <v>70</v>
      </c>
      <c r="E4018" s="1497">
        <v>2663</v>
      </c>
      <c r="F4018" s="1497"/>
      <c r="G4018" s="267" t="s">
        <v>56</v>
      </c>
      <c r="H4018" s="3"/>
    </row>
    <row r="4019" spans="1:8">
      <c r="A4019" s="270">
        <v>45187</v>
      </c>
      <c r="B4019" s="267"/>
      <c r="C4019" s="267" t="s">
        <v>2190</v>
      </c>
      <c r="D4019" s="3" t="s">
        <v>2285</v>
      </c>
      <c r="E4019" s="1497">
        <v>102850</v>
      </c>
      <c r="F4019" s="1497"/>
      <c r="G4019" s="267" t="s">
        <v>27</v>
      </c>
      <c r="H4019" s="3"/>
    </row>
    <row r="4020" spans="1:8">
      <c r="A4020" s="270">
        <v>45187</v>
      </c>
      <c r="B4020" s="267"/>
      <c r="C4020" s="267" t="s">
        <v>55</v>
      </c>
      <c r="D4020" s="3" t="s">
        <v>1023</v>
      </c>
      <c r="E4020" s="1497">
        <v>3500</v>
      </c>
      <c r="F4020" s="1497"/>
      <c r="G4020" s="267" t="s">
        <v>56</v>
      </c>
      <c r="H4020" s="3"/>
    </row>
    <row r="4021" spans="1:8">
      <c r="A4021" s="270">
        <v>45187</v>
      </c>
      <c r="B4021" s="267"/>
      <c r="C4021" s="267" t="s">
        <v>156</v>
      </c>
      <c r="D4021" s="3" t="s">
        <v>156</v>
      </c>
      <c r="E4021" s="1497">
        <v>45860.63</v>
      </c>
      <c r="F4021" s="1497"/>
      <c r="G4021" s="267" t="s">
        <v>27</v>
      </c>
      <c r="H4021" s="3"/>
    </row>
    <row r="4022" spans="1:8">
      <c r="A4022" s="270">
        <v>45188</v>
      </c>
      <c r="B4022" s="267"/>
      <c r="C4022" s="267" t="s">
        <v>55</v>
      </c>
      <c r="D4022" s="3" t="s">
        <v>70</v>
      </c>
      <c r="E4022" s="1497">
        <v>1020</v>
      </c>
      <c r="F4022" s="1497"/>
      <c r="G4022" s="267" t="s">
        <v>56</v>
      </c>
      <c r="H4022" s="3"/>
    </row>
    <row r="4023" spans="1:8">
      <c r="A4023" s="270">
        <v>45189</v>
      </c>
      <c r="B4023" s="267"/>
      <c r="C4023" s="267" t="s">
        <v>92</v>
      </c>
      <c r="D4023" s="3" t="s">
        <v>2337</v>
      </c>
      <c r="E4023" s="1497"/>
      <c r="F4023" s="1497">
        <v>181000</v>
      </c>
      <c r="G4023" s="267" t="s">
        <v>27</v>
      </c>
      <c r="H4023" s="3"/>
    </row>
    <row r="4024" spans="1:8">
      <c r="A4024" s="270">
        <v>45189</v>
      </c>
      <c r="B4024" s="267"/>
      <c r="C4024" s="267" t="s">
        <v>79</v>
      </c>
      <c r="D4024" s="3" t="s">
        <v>166</v>
      </c>
      <c r="E4024" s="1497">
        <v>100000</v>
      </c>
      <c r="F4024" s="1497"/>
      <c r="G4024" s="267" t="s">
        <v>27</v>
      </c>
      <c r="H4024" s="3"/>
    </row>
    <row r="4025" spans="1:8">
      <c r="A4025" s="270">
        <v>45189</v>
      </c>
      <c r="B4025" s="267"/>
      <c r="C4025" s="267" t="s">
        <v>55</v>
      </c>
      <c r="D4025" s="3" t="s">
        <v>2338</v>
      </c>
      <c r="E4025" s="1497"/>
      <c r="F4025" s="1497">
        <v>459360</v>
      </c>
      <c r="G4025" s="267" t="s">
        <v>27</v>
      </c>
      <c r="H4025" s="3"/>
    </row>
    <row r="4026" spans="1:8">
      <c r="A4026" s="270">
        <v>45189</v>
      </c>
      <c r="B4026" s="267"/>
      <c r="C4026" s="267" t="s">
        <v>92</v>
      </c>
      <c r="D4026" s="3" t="s">
        <v>232</v>
      </c>
      <c r="E4026" s="1497">
        <v>25000</v>
      </c>
      <c r="F4026" s="1497"/>
      <c r="G4026" s="267" t="s">
        <v>27</v>
      </c>
      <c r="H4026" s="3"/>
    </row>
    <row r="4027" spans="1:8">
      <c r="A4027" s="270">
        <v>45189</v>
      </c>
      <c r="B4027" s="267"/>
      <c r="C4027" s="267" t="s">
        <v>55</v>
      </c>
      <c r="D4027" s="3" t="s">
        <v>2339</v>
      </c>
      <c r="E4027" s="1497">
        <v>8500</v>
      </c>
      <c r="F4027" s="1497"/>
      <c r="G4027" s="267" t="s">
        <v>56</v>
      </c>
      <c r="H4027" s="167" t="s">
        <v>407</v>
      </c>
    </row>
    <row r="4028" spans="1:8">
      <c r="A4028" s="270">
        <v>45190</v>
      </c>
      <c r="B4028" s="267"/>
      <c r="C4028" s="267" t="s">
        <v>29</v>
      </c>
      <c r="D4028" s="3" t="s">
        <v>2285</v>
      </c>
      <c r="E4028" s="1497">
        <v>102850</v>
      </c>
      <c r="F4028" s="1497"/>
      <c r="G4028" s="267" t="s">
        <v>72</v>
      </c>
      <c r="H4028" s="3"/>
    </row>
    <row r="4029" spans="1:8">
      <c r="A4029" s="270">
        <v>45190</v>
      </c>
      <c r="B4029" s="267"/>
      <c r="C4029" s="267" t="s">
        <v>79</v>
      </c>
      <c r="D4029" s="3" t="s">
        <v>151</v>
      </c>
      <c r="E4029" s="1497">
        <v>14900</v>
      </c>
      <c r="F4029" s="1497"/>
      <c r="G4029" s="267" t="s">
        <v>27</v>
      </c>
      <c r="H4029" s="3"/>
    </row>
    <row r="4030" spans="1:8">
      <c r="A4030" s="270">
        <v>45190</v>
      </c>
      <c r="B4030" s="267"/>
      <c r="C4030" s="267" t="s">
        <v>29</v>
      </c>
      <c r="D4030" s="3" t="s">
        <v>2340</v>
      </c>
      <c r="E4030" s="1497">
        <v>9787.2000000000007</v>
      </c>
      <c r="F4030" s="1497"/>
      <c r="G4030" s="267" t="s">
        <v>27</v>
      </c>
      <c r="H4030" s="3"/>
    </row>
    <row r="4031" spans="1:8">
      <c r="A4031" s="270">
        <v>45190</v>
      </c>
      <c r="B4031" s="267"/>
      <c r="C4031" s="267" t="s">
        <v>55</v>
      </c>
      <c r="D4031" s="3" t="s">
        <v>1951</v>
      </c>
      <c r="E4031" s="1497">
        <v>4000</v>
      </c>
      <c r="F4031" s="1497"/>
      <c r="G4031" s="267" t="s">
        <v>56</v>
      </c>
      <c r="H4031" s="3"/>
    </row>
    <row r="4032" spans="1:8">
      <c r="A4032" s="270">
        <v>45190</v>
      </c>
      <c r="B4032" s="267"/>
      <c r="C4032" s="267" t="s">
        <v>77</v>
      </c>
      <c r="D4032" s="3" t="s">
        <v>160</v>
      </c>
      <c r="E4032" s="1497"/>
      <c r="F4032" s="1497">
        <v>5000</v>
      </c>
      <c r="G4032" s="267" t="s">
        <v>56</v>
      </c>
      <c r="H4032" s="3"/>
    </row>
    <row r="4033" spans="1:8">
      <c r="A4033" s="270">
        <v>45190</v>
      </c>
      <c r="B4033" s="267"/>
      <c r="C4033" s="267" t="s">
        <v>88</v>
      </c>
      <c r="D4033" s="3" t="s">
        <v>208</v>
      </c>
      <c r="E4033" s="1497">
        <v>5000</v>
      </c>
      <c r="F4033" s="1497"/>
      <c r="G4033" s="267" t="s">
        <v>56</v>
      </c>
      <c r="H4033" s="3"/>
    </row>
    <row r="4034" spans="1:8">
      <c r="A4034" s="270">
        <v>45191</v>
      </c>
      <c r="B4034" s="267"/>
      <c r="C4034" s="267" t="s">
        <v>29</v>
      </c>
      <c r="D4034" s="3" t="s">
        <v>1234</v>
      </c>
      <c r="E4034" s="1497">
        <v>103100</v>
      </c>
      <c r="F4034" s="1497"/>
      <c r="G4034" s="267" t="s">
        <v>27</v>
      </c>
      <c r="H4034" s="3"/>
    </row>
    <row r="4035" spans="1:8">
      <c r="A4035" s="270">
        <v>45191</v>
      </c>
      <c r="B4035" s="267"/>
      <c r="C4035" s="267" t="s">
        <v>92</v>
      </c>
      <c r="D4035" s="3" t="s">
        <v>2341</v>
      </c>
      <c r="E4035" s="1497"/>
      <c r="F4035" s="1497">
        <v>205000</v>
      </c>
      <c r="G4035" s="267" t="s">
        <v>56</v>
      </c>
      <c r="H4035" s="167" t="s">
        <v>2342</v>
      </c>
    </row>
    <row r="4036" spans="1:8">
      <c r="A4036" s="270">
        <v>45191</v>
      </c>
      <c r="B4036" s="267"/>
      <c r="C4036" s="267" t="s">
        <v>29</v>
      </c>
      <c r="D4036" s="3" t="s">
        <v>190</v>
      </c>
      <c r="E4036" s="1497">
        <v>205000</v>
      </c>
      <c r="F4036" s="1497"/>
      <c r="G4036" s="267" t="s">
        <v>72</v>
      </c>
      <c r="H4036" s="167" t="s">
        <v>2343</v>
      </c>
    </row>
    <row r="4037" spans="1:8">
      <c r="A4037" s="270">
        <v>45191</v>
      </c>
      <c r="B4037" s="267"/>
      <c r="C4037" s="267" t="s">
        <v>92</v>
      </c>
      <c r="D4037" s="3" t="s">
        <v>2115</v>
      </c>
      <c r="E4037" s="1497"/>
      <c r="F4037" s="1497">
        <v>180632.05</v>
      </c>
      <c r="G4037" s="267" t="s">
        <v>27</v>
      </c>
      <c r="H4037" s="3"/>
    </row>
    <row r="4038" spans="1:8">
      <c r="A4038" s="270">
        <v>45191</v>
      </c>
      <c r="B4038" s="267"/>
      <c r="C4038" s="267" t="s">
        <v>29</v>
      </c>
      <c r="D4038" s="3" t="s">
        <v>1225</v>
      </c>
      <c r="E4038" s="1497">
        <v>2281770</v>
      </c>
      <c r="F4038" s="1497"/>
      <c r="G4038" s="267" t="s">
        <v>27</v>
      </c>
      <c r="H4038" s="3"/>
    </row>
    <row r="4039" spans="1:8">
      <c r="A4039" s="270">
        <v>45191</v>
      </c>
      <c r="B4039" s="267"/>
      <c r="C4039" s="267" t="s">
        <v>29</v>
      </c>
      <c r="D4039" s="3" t="s">
        <v>63</v>
      </c>
      <c r="E4039" s="1497">
        <v>1260</v>
      </c>
      <c r="F4039" s="1497"/>
      <c r="G4039" s="267" t="s">
        <v>56</v>
      </c>
      <c r="H4039" s="3"/>
    </row>
    <row r="4040" spans="1:8">
      <c r="A4040" s="270">
        <v>45191</v>
      </c>
      <c r="B4040" s="267"/>
      <c r="C4040" s="267" t="s">
        <v>88</v>
      </c>
      <c r="D4040" s="3" t="s">
        <v>219</v>
      </c>
      <c r="E4040" s="1497">
        <v>54000</v>
      </c>
      <c r="F4040" s="1497"/>
      <c r="G4040" s="267" t="s">
        <v>56</v>
      </c>
      <c r="H4040" s="3"/>
    </row>
    <row r="4041" spans="1:8">
      <c r="A4041" s="270">
        <v>45191</v>
      </c>
      <c r="B4041" s="267"/>
      <c r="C4041" s="267" t="s">
        <v>88</v>
      </c>
      <c r="D4041" s="3" t="s">
        <v>144</v>
      </c>
      <c r="E4041" s="1497">
        <v>40000</v>
      </c>
      <c r="F4041" s="1497"/>
      <c r="G4041" s="267" t="s">
        <v>27</v>
      </c>
      <c r="H4041" s="3"/>
    </row>
    <row r="4042" spans="1:8">
      <c r="A4042" s="270">
        <v>45191</v>
      </c>
      <c r="B4042" s="267"/>
      <c r="C4042" s="267" t="s">
        <v>88</v>
      </c>
      <c r="D4042" s="3" t="s">
        <v>144</v>
      </c>
      <c r="E4042" s="1497">
        <v>32000</v>
      </c>
      <c r="F4042" s="1497"/>
      <c r="G4042" s="267" t="s">
        <v>56</v>
      </c>
      <c r="H4042" s="3"/>
    </row>
    <row r="4043" spans="1:8">
      <c r="A4043" s="270">
        <v>45191</v>
      </c>
      <c r="B4043" s="267"/>
      <c r="C4043" s="267" t="s">
        <v>88</v>
      </c>
      <c r="D4043" s="3" t="s">
        <v>824</v>
      </c>
      <c r="E4043" s="1497">
        <v>36000</v>
      </c>
      <c r="F4043" s="1497"/>
      <c r="G4043" s="267" t="s">
        <v>56</v>
      </c>
      <c r="H4043" s="3"/>
    </row>
    <row r="4044" spans="1:8">
      <c r="A4044" s="270">
        <v>45191</v>
      </c>
      <c r="B4044" s="267"/>
      <c r="C4044" s="267" t="s">
        <v>88</v>
      </c>
      <c r="D4044" s="3" t="s">
        <v>208</v>
      </c>
      <c r="E4044" s="1497">
        <v>37000</v>
      </c>
      <c r="F4044" s="1497"/>
      <c r="G4044" s="267" t="s">
        <v>56</v>
      </c>
      <c r="H4044" s="3"/>
    </row>
    <row r="4045" spans="1:8">
      <c r="A4045" s="270">
        <v>45191</v>
      </c>
      <c r="B4045" s="267"/>
      <c r="C4045" s="267" t="s">
        <v>88</v>
      </c>
      <c r="D4045" s="3" t="s">
        <v>232</v>
      </c>
      <c r="E4045" s="1497">
        <v>15000</v>
      </c>
      <c r="F4045" s="1497"/>
      <c r="G4045" s="267" t="s">
        <v>27</v>
      </c>
      <c r="H4045" s="3"/>
    </row>
    <row r="4046" spans="1:8" ht="15.75" thickBot="1">
      <c r="A4046" s="267"/>
      <c r="B4046" s="267"/>
      <c r="C4046" s="267"/>
      <c r="D4046" s="3"/>
      <c r="E4046" s="1497"/>
      <c r="F4046" s="1497"/>
      <c r="G4046" s="267"/>
      <c r="H4046" s="3"/>
    </row>
    <row r="4047" spans="1:8" ht="15.75" thickBot="1">
      <c r="H4047" s="198">
        <v>45191</v>
      </c>
    </row>
    <row r="4048" spans="1:8">
      <c r="H4048" s="199" t="s">
        <v>2333</v>
      </c>
    </row>
    <row r="4049" spans="1:8">
      <c r="H4049" s="137" t="s">
        <v>2348</v>
      </c>
    </row>
    <row r="4050" spans="1:8">
      <c r="H4050" s="138" t="s">
        <v>2349</v>
      </c>
    </row>
    <row r="4051" spans="1:8">
      <c r="H4051" s="138" t="s">
        <v>2346</v>
      </c>
    </row>
    <row r="4052" spans="1:8">
      <c r="H4052" s="138" t="s">
        <v>2345</v>
      </c>
    </row>
    <row r="4053" spans="1:8">
      <c r="H4053" s="138" t="s">
        <v>2344</v>
      </c>
    </row>
    <row r="4054" spans="1:8">
      <c r="H4054" s="138" t="s">
        <v>2351</v>
      </c>
    </row>
    <row r="4055" spans="1:8">
      <c r="H4055" s="138" t="s">
        <v>809</v>
      </c>
    </row>
    <row r="4056" spans="1:8">
      <c r="H4056" s="138" t="s">
        <v>1215</v>
      </c>
    </row>
    <row r="4057" spans="1:8">
      <c r="H4057" s="138" t="s">
        <v>2151</v>
      </c>
    </row>
    <row r="4058" spans="1:8" ht="15.75" thickBot="1">
      <c r="H4058" s="139" t="s">
        <v>2347</v>
      </c>
    </row>
    <row r="4059" spans="1:8" ht="15.75" thickBot="1">
      <c r="H4059" s="194" t="s">
        <v>2350</v>
      </c>
    </row>
    <row r="4060" spans="1:8">
      <c r="A4060" s="270">
        <v>45195</v>
      </c>
      <c r="B4060" s="267"/>
      <c r="C4060" s="267" t="s">
        <v>2352</v>
      </c>
      <c r="D4060" s="3" t="s">
        <v>195</v>
      </c>
      <c r="E4060" s="1497">
        <v>7000</v>
      </c>
      <c r="F4060" s="1497"/>
      <c r="G4060" s="267" t="s">
        <v>27</v>
      </c>
      <c r="H4060" s="196"/>
    </row>
    <row r="4061" spans="1:8">
      <c r="A4061" s="270">
        <v>45195</v>
      </c>
      <c r="B4061" s="267"/>
      <c r="C4061" s="267" t="s">
        <v>156</v>
      </c>
      <c r="D4061" s="3" t="s">
        <v>156</v>
      </c>
      <c r="E4061" s="1497">
        <v>105935.69</v>
      </c>
      <c r="F4061" s="1497"/>
      <c r="G4061" s="267" t="s">
        <v>27</v>
      </c>
      <c r="H4061" s="3"/>
    </row>
    <row r="4062" spans="1:8">
      <c r="A4062" s="270">
        <v>45195</v>
      </c>
      <c r="B4062" s="267"/>
      <c r="C4062" s="267" t="s">
        <v>205</v>
      </c>
      <c r="D4062" s="3" t="s">
        <v>2285</v>
      </c>
      <c r="E4062" s="1497">
        <v>102850</v>
      </c>
      <c r="F4062" s="1497"/>
      <c r="G4062" s="267" t="s">
        <v>27</v>
      </c>
      <c r="H4062" s="3"/>
    </row>
    <row r="4063" spans="1:8">
      <c r="A4063" s="270">
        <v>45195</v>
      </c>
      <c r="B4063" s="267"/>
      <c r="C4063" s="267" t="s">
        <v>205</v>
      </c>
      <c r="D4063" s="3" t="s">
        <v>335</v>
      </c>
      <c r="E4063" s="1497">
        <v>1000</v>
      </c>
      <c r="F4063" s="1497"/>
      <c r="G4063" s="267" t="s">
        <v>56</v>
      </c>
      <c r="H4063" s="3"/>
    </row>
    <row r="4064" spans="1:8">
      <c r="A4064" s="270">
        <v>45195</v>
      </c>
      <c r="B4064" s="267"/>
      <c r="C4064" s="267" t="s">
        <v>92</v>
      </c>
      <c r="D4064" s="3" t="s">
        <v>675</v>
      </c>
      <c r="E4064" s="1497"/>
      <c r="F4064" s="1497">
        <v>237510.09</v>
      </c>
      <c r="G4064" s="267" t="s">
        <v>27</v>
      </c>
      <c r="H4064" s="3"/>
    </row>
    <row r="4065" spans="1:8">
      <c r="A4065" s="270">
        <v>45195</v>
      </c>
      <c r="B4065" s="267"/>
      <c r="C4065" s="267" t="s">
        <v>103</v>
      </c>
      <c r="D4065" s="3" t="s">
        <v>2353</v>
      </c>
      <c r="E4065" s="1497">
        <v>40626.400000000001</v>
      </c>
      <c r="F4065" s="1497"/>
      <c r="G4065" s="267" t="s">
        <v>27</v>
      </c>
      <c r="H4065" s="3"/>
    </row>
    <row r="4066" spans="1:8">
      <c r="A4066" s="270">
        <v>45195</v>
      </c>
      <c r="B4066" s="267"/>
      <c r="C4066" s="267" t="s">
        <v>86</v>
      </c>
      <c r="D4066" s="3" t="s">
        <v>104</v>
      </c>
      <c r="E4066" s="1497">
        <v>5000</v>
      </c>
      <c r="F4066" s="1497"/>
      <c r="G4066" s="267" t="s">
        <v>56</v>
      </c>
      <c r="H4066" s="3"/>
    </row>
    <row r="4067" spans="1:8">
      <c r="A4067" s="270">
        <v>45195</v>
      </c>
      <c r="B4067" s="267"/>
      <c r="C4067" s="267" t="s">
        <v>55</v>
      </c>
      <c r="D4067" s="3" t="s">
        <v>407</v>
      </c>
      <c r="E4067" s="1497">
        <v>4700.2700000000004</v>
      </c>
      <c r="F4067" s="1497"/>
      <c r="G4067" s="267" t="s">
        <v>56</v>
      </c>
      <c r="H4067" s="3"/>
    </row>
    <row r="4068" spans="1:8">
      <c r="A4068" s="270">
        <v>45195</v>
      </c>
      <c r="B4068" s="267"/>
      <c r="C4068" s="267" t="s">
        <v>55</v>
      </c>
      <c r="D4068" s="3" t="s">
        <v>633</v>
      </c>
      <c r="E4068" s="1497">
        <v>800</v>
      </c>
      <c r="F4068" s="1497"/>
      <c r="G4068" s="267" t="s">
        <v>56</v>
      </c>
      <c r="H4068" s="3"/>
    </row>
    <row r="4069" spans="1:8">
      <c r="A4069" s="270">
        <v>45195</v>
      </c>
      <c r="B4069" s="267"/>
      <c r="C4069" s="267" t="s">
        <v>55</v>
      </c>
      <c r="D4069" s="3" t="s">
        <v>1926</v>
      </c>
      <c r="E4069" s="1497">
        <v>1000</v>
      </c>
      <c r="F4069" s="1497"/>
      <c r="G4069" s="267" t="s">
        <v>56</v>
      </c>
      <c r="H4069" s="3"/>
    </row>
    <row r="4070" spans="1:8">
      <c r="A4070" s="270">
        <v>45196</v>
      </c>
      <c r="B4070" s="267"/>
      <c r="C4070" s="267" t="s">
        <v>92</v>
      </c>
      <c r="D4070" s="3" t="s">
        <v>675</v>
      </c>
      <c r="E4070" s="1497">
        <v>97577.279999999999</v>
      </c>
      <c r="F4070" s="1497"/>
      <c r="G4070" s="267" t="s">
        <v>27</v>
      </c>
      <c r="H4070" s="3"/>
    </row>
    <row r="4071" spans="1:8">
      <c r="A4071" s="270">
        <v>45196</v>
      </c>
      <c r="B4071" s="267"/>
      <c r="C4071" s="267" t="s">
        <v>537</v>
      </c>
      <c r="D4071" s="3" t="s">
        <v>144</v>
      </c>
      <c r="E4071" s="1497">
        <v>10000</v>
      </c>
      <c r="F4071" s="1497"/>
      <c r="G4071" s="267" t="s">
        <v>27</v>
      </c>
      <c r="H4071" s="3"/>
    </row>
    <row r="4072" spans="1:8">
      <c r="A4072" s="270">
        <v>45196</v>
      </c>
      <c r="B4072" s="267"/>
      <c r="C4072" s="267" t="s">
        <v>55</v>
      </c>
      <c r="D4072" s="3" t="s">
        <v>38</v>
      </c>
      <c r="E4072" s="1497">
        <v>880</v>
      </c>
      <c r="F4072" s="1497"/>
      <c r="G4072" s="267" t="s">
        <v>56</v>
      </c>
      <c r="H4072" s="3"/>
    </row>
    <row r="4073" spans="1:8">
      <c r="A4073" s="270">
        <v>45196</v>
      </c>
      <c r="B4073" s="267"/>
      <c r="C4073" s="267" t="s">
        <v>55</v>
      </c>
      <c r="D4073" s="3" t="s">
        <v>38</v>
      </c>
      <c r="E4073" s="1497">
        <v>900</v>
      </c>
      <c r="F4073" s="1497"/>
      <c r="G4073" s="267" t="s">
        <v>56</v>
      </c>
      <c r="H4073" s="3"/>
    </row>
    <row r="4074" spans="1:8">
      <c r="A4074" s="270">
        <v>45197</v>
      </c>
      <c r="B4074" s="267"/>
      <c r="C4074" s="267" t="s">
        <v>90</v>
      </c>
      <c r="D4074" s="3" t="s">
        <v>1951</v>
      </c>
      <c r="E4074" s="1497">
        <v>3750</v>
      </c>
      <c r="F4074" s="1497"/>
      <c r="G4074" s="267" t="s">
        <v>56</v>
      </c>
      <c r="H4074" s="3"/>
    </row>
    <row r="4075" spans="1:8">
      <c r="A4075" s="270">
        <v>45197</v>
      </c>
      <c r="B4075" s="267"/>
      <c r="C4075" s="267" t="s">
        <v>86</v>
      </c>
      <c r="D4075" s="3" t="s">
        <v>104</v>
      </c>
      <c r="E4075" s="1497">
        <v>6000</v>
      </c>
      <c r="F4075" s="1497"/>
      <c r="G4075" s="267" t="s">
        <v>56</v>
      </c>
      <c r="H4075" s="3" t="s">
        <v>2010</v>
      </c>
    </row>
    <row r="4076" spans="1:8">
      <c r="A4076" s="270">
        <v>45197</v>
      </c>
      <c r="B4076" s="267"/>
      <c r="C4076" s="267" t="s">
        <v>86</v>
      </c>
      <c r="D4076" s="3" t="s">
        <v>107</v>
      </c>
      <c r="E4076" s="1497">
        <v>5000</v>
      </c>
      <c r="F4076" s="1497"/>
      <c r="G4076" s="267" t="s">
        <v>56</v>
      </c>
      <c r="H4076" s="3"/>
    </row>
    <row r="4077" spans="1:8">
      <c r="A4077" s="270">
        <v>45197</v>
      </c>
      <c r="B4077" s="267"/>
      <c r="C4077" s="267" t="s">
        <v>79</v>
      </c>
      <c r="D4077" s="3" t="s">
        <v>2354</v>
      </c>
      <c r="E4077" s="1497">
        <v>11540</v>
      </c>
      <c r="F4077" s="1497"/>
      <c r="G4077" s="267" t="s">
        <v>27</v>
      </c>
      <c r="H4077" s="3"/>
    </row>
    <row r="4078" spans="1:8">
      <c r="A4078" s="270">
        <v>45197</v>
      </c>
      <c r="B4078" s="267"/>
      <c r="C4078" s="267" t="s">
        <v>79</v>
      </c>
      <c r="D4078" s="3" t="s">
        <v>2355</v>
      </c>
      <c r="E4078" s="1497">
        <v>4100</v>
      </c>
      <c r="F4078" s="1497"/>
      <c r="G4078" s="267" t="s">
        <v>27</v>
      </c>
      <c r="H4078" s="3"/>
    </row>
    <row r="4079" spans="1:8">
      <c r="A4079" s="13">
        <v>45197</v>
      </c>
      <c r="B4079" s="12"/>
      <c r="C4079" s="12" t="s">
        <v>86</v>
      </c>
      <c r="D4079" s="89" t="s">
        <v>104</v>
      </c>
      <c r="E4079" s="12">
        <v>10000</v>
      </c>
      <c r="F4079" s="12"/>
      <c r="G4079" s="12" t="s">
        <v>56</v>
      </c>
      <c r="H4079" s="89" t="s">
        <v>2010</v>
      </c>
    </row>
    <row r="4080" spans="1:8">
      <c r="A4080" s="270">
        <v>45198</v>
      </c>
      <c r="B4080" s="267"/>
      <c r="C4080" s="267" t="s">
        <v>76</v>
      </c>
      <c r="D4080" s="3" t="s">
        <v>2356</v>
      </c>
      <c r="E4080" s="1497"/>
      <c r="F4080" s="1497">
        <v>80000</v>
      </c>
      <c r="G4080" s="267" t="s">
        <v>27</v>
      </c>
      <c r="H4080" s="3"/>
    </row>
    <row r="4081" spans="1:8">
      <c r="A4081" s="270">
        <v>45198</v>
      </c>
      <c r="B4081" s="267"/>
      <c r="C4081" s="267" t="s">
        <v>77</v>
      </c>
      <c r="D4081" s="3" t="s">
        <v>2357</v>
      </c>
      <c r="E4081" s="1497"/>
      <c r="F4081" s="1497">
        <v>286900</v>
      </c>
      <c r="G4081" s="267" t="s">
        <v>27</v>
      </c>
      <c r="H4081" s="3"/>
    </row>
    <row r="4082" spans="1:8">
      <c r="A4082" s="270">
        <v>45198</v>
      </c>
      <c r="B4082" s="267"/>
      <c r="C4082" s="267" t="s">
        <v>205</v>
      </c>
      <c r="D4082" s="3" t="s">
        <v>2358</v>
      </c>
      <c r="E4082" s="1497">
        <v>189904.07</v>
      </c>
      <c r="F4082" s="1497"/>
      <c r="G4082" s="267" t="s">
        <v>27</v>
      </c>
      <c r="H4082" s="3"/>
    </row>
    <row r="4083" spans="1:8">
      <c r="A4083" s="270">
        <v>45198</v>
      </c>
      <c r="B4083" s="267"/>
      <c r="C4083" s="267" t="s">
        <v>55</v>
      </c>
      <c r="D4083" s="3" t="s">
        <v>2359</v>
      </c>
      <c r="E4083" s="1497">
        <v>3800</v>
      </c>
      <c r="F4083" s="1497"/>
      <c r="G4083" s="267" t="s">
        <v>56</v>
      </c>
      <c r="H4083" s="3"/>
    </row>
    <row r="4084" spans="1:8">
      <c r="A4084" s="270">
        <v>45198</v>
      </c>
      <c r="B4084" s="267"/>
      <c r="C4084" s="267" t="s">
        <v>205</v>
      </c>
      <c r="D4084" s="3" t="s">
        <v>48</v>
      </c>
      <c r="E4084" s="1497">
        <v>60000</v>
      </c>
      <c r="F4084" s="1497"/>
      <c r="G4084" s="267" t="s">
        <v>27</v>
      </c>
      <c r="H4084" s="3"/>
    </row>
    <row r="4085" spans="1:8">
      <c r="A4085" s="270">
        <v>45198</v>
      </c>
      <c r="B4085" s="267"/>
      <c r="C4085" s="267" t="s">
        <v>88</v>
      </c>
      <c r="D4085" s="3" t="s">
        <v>219</v>
      </c>
      <c r="E4085" s="1497">
        <v>54000</v>
      </c>
      <c r="F4085" s="1497"/>
      <c r="G4085" s="267" t="s">
        <v>56</v>
      </c>
      <c r="H4085" s="3"/>
    </row>
    <row r="4086" spans="1:8">
      <c r="A4086" s="270">
        <v>45198</v>
      </c>
      <c r="B4086" s="267"/>
      <c r="C4086" s="267" t="s">
        <v>88</v>
      </c>
      <c r="D4086" s="3" t="s">
        <v>208</v>
      </c>
      <c r="E4086" s="1497">
        <v>42000</v>
      </c>
      <c r="F4086" s="1497"/>
      <c r="G4086" s="267" t="s">
        <v>56</v>
      </c>
      <c r="H4086" s="3"/>
    </row>
    <row r="4087" spans="1:8">
      <c r="A4087" s="270">
        <v>45198</v>
      </c>
      <c r="B4087" s="267"/>
      <c r="C4087" s="267" t="s">
        <v>88</v>
      </c>
      <c r="D4087" s="3" t="s">
        <v>824</v>
      </c>
      <c r="E4087" s="1497">
        <v>36000</v>
      </c>
      <c r="F4087" s="1497"/>
      <c r="G4087" s="267" t="s">
        <v>56</v>
      </c>
      <c r="H4087" s="3"/>
    </row>
    <row r="4088" spans="1:8">
      <c r="A4088" s="270">
        <v>45198</v>
      </c>
      <c r="B4088" s="267"/>
      <c r="C4088" s="267" t="s">
        <v>88</v>
      </c>
      <c r="D4088" s="3" t="s">
        <v>259</v>
      </c>
      <c r="E4088" s="1497">
        <v>62000</v>
      </c>
      <c r="F4088" s="1497"/>
      <c r="G4088" s="267" t="s">
        <v>56</v>
      </c>
      <c r="H4088" s="3"/>
    </row>
    <row r="4089" spans="1:8">
      <c r="A4089" s="267"/>
      <c r="B4089" s="267"/>
      <c r="C4089" s="267"/>
      <c r="D4089" s="3"/>
      <c r="E4089" s="1497"/>
      <c r="F4089" s="1497"/>
      <c r="G4089" s="267"/>
      <c r="H4089" s="3"/>
    </row>
    <row r="4090" spans="1:8">
      <c r="A4090" s="270">
        <v>45198</v>
      </c>
      <c r="B4090" s="267"/>
      <c r="C4090" s="267" t="s">
        <v>76</v>
      </c>
      <c r="D4090" s="3" t="s">
        <v>2360</v>
      </c>
      <c r="E4090" s="1497"/>
      <c r="F4090" s="1497">
        <v>744705</v>
      </c>
      <c r="G4090" s="267" t="s">
        <v>1279</v>
      </c>
      <c r="H4090" s="3" t="s">
        <v>2361</v>
      </c>
    </row>
    <row r="4091" spans="1:8">
      <c r="A4091" s="270">
        <v>45198</v>
      </c>
      <c r="B4091" s="267"/>
      <c r="C4091" s="267" t="s">
        <v>79</v>
      </c>
      <c r="D4091" s="3" t="s">
        <v>79</v>
      </c>
      <c r="E4091" s="1497">
        <v>50000</v>
      </c>
      <c r="F4091" s="1497"/>
      <c r="G4091" s="267" t="s">
        <v>56</v>
      </c>
      <c r="H4091" s="3"/>
    </row>
    <row r="4092" spans="1:8">
      <c r="A4092" s="270">
        <v>45198</v>
      </c>
      <c r="B4092" s="267"/>
      <c r="C4092" s="267" t="s">
        <v>205</v>
      </c>
      <c r="D4092" s="3" t="s">
        <v>246</v>
      </c>
      <c r="E4092" s="1497">
        <v>17044.689999999999</v>
      </c>
      <c r="F4092" s="1497"/>
      <c r="G4092" s="267" t="s">
        <v>27</v>
      </c>
      <c r="H4092" s="3"/>
    </row>
    <row r="4093" spans="1:8">
      <c r="A4093" s="119">
        <v>45198</v>
      </c>
      <c r="B4093" s="57"/>
      <c r="C4093" s="57" t="s">
        <v>205</v>
      </c>
      <c r="D4093" s="85" t="s">
        <v>53</v>
      </c>
      <c r="E4093" s="57">
        <v>7986</v>
      </c>
      <c r="F4093" s="57"/>
      <c r="G4093" s="57" t="s">
        <v>27</v>
      </c>
      <c r="H4093" s="85"/>
    </row>
    <row r="4094" spans="1:8" ht="15.75" thickBot="1">
      <c r="A4094" s="270">
        <v>45198</v>
      </c>
      <c r="B4094" s="267"/>
      <c r="C4094" s="267" t="s">
        <v>308</v>
      </c>
      <c r="D4094" s="3" t="s">
        <v>232</v>
      </c>
      <c r="E4094" s="1497">
        <v>15000</v>
      </c>
      <c r="F4094" s="1497"/>
      <c r="G4094" s="267" t="s">
        <v>27</v>
      </c>
      <c r="H4094" s="85"/>
    </row>
    <row r="4095" spans="1:8" ht="15.75" thickBot="1">
      <c r="A4095" s="244"/>
      <c r="B4095" s="244"/>
      <c r="C4095" s="244"/>
      <c r="D4095" s="115"/>
      <c r="E4095" s="1492"/>
      <c r="F4095" s="1492"/>
      <c r="G4095" s="244"/>
      <c r="H4095" s="198">
        <v>45198</v>
      </c>
    </row>
    <row r="4096" spans="1:8">
      <c r="A4096" s="244"/>
      <c r="B4096" s="244"/>
      <c r="C4096" s="244"/>
      <c r="D4096" s="115"/>
      <c r="E4096" s="1492"/>
      <c r="F4096" s="1492"/>
      <c r="G4096" s="244"/>
      <c r="H4096" s="199" t="s">
        <v>2365</v>
      </c>
    </row>
    <row r="4097" spans="1:8">
      <c r="A4097" s="244"/>
      <c r="B4097" s="244"/>
      <c r="C4097" s="244"/>
      <c r="D4097" s="115"/>
      <c r="E4097" s="1492"/>
      <c r="F4097" s="1492"/>
      <c r="G4097" s="244"/>
      <c r="H4097" s="137" t="s">
        <v>2367</v>
      </c>
    </row>
    <row r="4098" spans="1:8">
      <c r="A4098" s="244"/>
      <c r="B4098" s="244"/>
      <c r="C4098" s="244"/>
      <c r="D4098" s="115"/>
      <c r="E4098" s="1492"/>
      <c r="F4098" s="1492"/>
      <c r="G4098" s="244"/>
      <c r="H4098" s="138" t="s">
        <v>2368</v>
      </c>
    </row>
    <row r="4099" spans="1:8">
      <c r="A4099" s="244"/>
      <c r="B4099" s="244"/>
      <c r="C4099" s="244"/>
      <c r="D4099" s="115"/>
      <c r="E4099" s="1492"/>
      <c r="F4099" s="1492"/>
      <c r="G4099" s="244"/>
      <c r="H4099" s="138" t="s">
        <v>2369</v>
      </c>
    </row>
    <row r="4100" spans="1:8">
      <c r="A4100" s="244"/>
      <c r="B4100" s="244"/>
      <c r="C4100" s="244"/>
      <c r="D4100" s="115"/>
      <c r="E4100" s="1492"/>
      <c r="F4100" s="1492"/>
      <c r="G4100" s="244"/>
      <c r="H4100" s="138" t="s">
        <v>2362</v>
      </c>
    </row>
    <row r="4101" spans="1:8">
      <c r="H4101" s="138" t="s">
        <v>2363</v>
      </c>
    </row>
    <row r="4102" spans="1:8">
      <c r="H4102" s="138" t="s">
        <v>2351</v>
      </c>
    </row>
    <row r="4103" spans="1:8">
      <c r="H4103" s="138" t="s">
        <v>2366</v>
      </c>
    </row>
    <row r="4104" spans="1:8">
      <c r="H4104" s="138" t="s">
        <v>1215</v>
      </c>
    </row>
    <row r="4105" spans="1:8" ht="15.75" thickBot="1">
      <c r="H4105" s="147" t="s">
        <v>2151</v>
      </c>
    </row>
    <row r="4106" spans="1:8" ht="15.75" thickBot="1">
      <c r="H4106" s="140" t="s">
        <v>2364</v>
      </c>
    </row>
    <row r="4107" spans="1:8" ht="15.75" thickBot="1">
      <c r="H4107" s="194" t="s">
        <v>2370</v>
      </c>
    </row>
    <row r="4108" spans="1:8">
      <c r="A4108" s="270">
        <v>45201</v>
      </c>
      <c r="B4108" s="267"/>
      <c r="C4108" s="267" t="s">
        <v>79</v>
      </c>
      <c r="D4108" s="3" t="s">
        <v>151</v>
      </c>
      <c r="E4108" s="1497">
        <v>2000</v>
      </c>
      <c r="F4108" s="1497"/>
      <c r="G4108" s="267" t="s">
        <v>56</v>
      </c>
      <c r="H4108" s="196"/>
    </row>
    <row r="4109" spans="1:8">
      <c r="A4109" s="77">
        <v>45201</v>
      </c>
      <c r="B4109" s="62"/>
      <c r="C4109" s="62" t="s">
        <v>86</v>
      </c>
      <c r="D4109" s="5" t="s">
        <v>195</v>
      </c>
      <c r="E4109" s="62">
        <v>13700</v>
      </c>
      <c r="F4109" s="62"/>
      <c r="G4109" s="62" t="s">
        <v>27</v>
      </c>
      <c r="H4109" s="5"/>
    </row>
    <row r="4110" spans="1:8">
      <c r="A4110" s="270">
        <v>45201</v>
      </c>
      <c r="B4110" s="267"/>
      <c r="C4110" s="267" t="s">
        <v>55</v>
      </c>
      <c r="D4110" s="3" t="s">
        <v>2371</v>
      </c>
      <c r="E4110" s="1497"/>
      <c r="F4110" s="1497">
        <v>406000</v>
      </c>
      <c r="G4110" s="267" t="s">
        <v>27</v>
      </c>
      <c r="H4110" s="3"/>
    </row>
    <row r="4111" spans="1:8">
      <c r="A4111" s="270">
        <v>45201</v>
      </c>
      <c r="B4111" s="267"/>
      <c r="C4111" s="267" t="s">
        <v>92</v>
      </c>
      <c r="D4111" s="3" t="s">
        <v>455</v>
      </c>
      <c r="E4111" s="1497"/>
      <c r="F4111" s="1497">
        <v>100000</v>
      </c>
      <c r="G4111" s="267" t="s">
        <v>27</v>
      </c>
      <c r="H4111" s="3"/>
    </row>
    <row r="4112" spans="1:8">
      <c r="A4112" s="270">
        <v>45201</v>
      </c>
      <c r="B4112" s="267"/>
      <c r="C4112" s="267" t="s">
        <v>1148</v>
      </c>
      <c r="D4112" s="3" t="s">
        <v>2372</v>
      </c>
      <c r="E4112" s="1497">
        <v>244400</v>
      </c>
      <c r="F4112" s="1497"/>
      <c r="G4112" s="267" t="s">
        <v>27</v>
      </c>
      <c r="H4112" s="3"/>
    </row>
    <row r="4113" spans="1:8">
      <c r="A4113" s="270">
        <v>45201</v>
      </c>
      <c r="B4113" s="267"/>
      <c r="C4113" s="267" t="s">
        <v>537</v>
      </c>
      <c r="D4113" s="3" t="s">
        <v>208</v>
      </c>
      <c r="E4113" s="1497">
        <v>10000</v>
      </c>
      <c r="F4113" s="1497"/>
      <c r="G4113" s="267" t="s">
        <v>56</v>
      </c>
      <c r="H4113" s="3"/>
    </row>
    <row r="4114" spans="1:8">
      <c r="A4114" s="270">
        <v>45201</v>
      </c>
      <c r="B4114" s="267"/>
      <c r="C4114" s="267" t="s">
        <v>77</v>
      </c>
      <c r="D4114" s="3" t="s">
        <v>63</v>
      </c>
      <c r="E4114" s="1497"/>
      <c r="F4114" s="1497">
        <v>366000</v>
      </c>
      <c r="G4114" s="267" t="s">
        <v>56</v>
      </c>
      <c r="H4114" s="3"/>
    </row>
    <row r="4115" spans="1:8" ht="45">
      <c r="A4115" s="116">
        <v>45201</v>
      </c>
      <c r="B4115" s="51"/>
      <c r="C4115" s="51" t="s">
        <v>77</v>
      </c>
      <c r="D4115" s="52" t="s">
        <v>63</v>
      </c>
      <c r="E4115" s="51"/>
      <c r="F4115" s="51">
        <v>384000</v>
      </c>
      <c r="G4115" s="51" t="s">
        <v>72</v>
      </c>
      <c r="H4115" s="48" t="s">
        <v>2373</v>
      </c>
    </row>
    <row r="4116" spans="1:8">
      <c r="A4116" s="270">
        <v>45202</v>
      </c>
      <c r="B4116" s="267"/>
      <c r="C4116" s="267" t="s">
        <v>2190</v>
      </c>
      <c r="D4116" s="3" t="s">
        <v>11</v>
      </c>
      <c r="E4116" s="1497">
        <v>86288</v>
      </c>
      <c r="F4116" s="1497"/>
      <c r="G4116" s="267" t="s">
        <v>27</v>
      </c>
      <c r="H4116" s="3"/>
    </row>
    <row r="4117" spans="1:8">
      <c r="A4117" s="270">
        <v>45202</v>
      </c>
      <c r="B4117" s="267"/>
      <c r="C4117" s="267" t="s">
        <v>79</v>
      </c>
      <c r="D4117" s="3" t="s">
        <v>2283</v>
      </c>
      <c r="E4117" s="1497">
        <v>36500</v>
      </c>
      <c r="F4117" s="1497"/>
      <c r="G4117" s="267" t="s">
        <v>27</v>
      </c>
      <c r="H4117" s="3"/>
    </row>
    <row r="4118" spans="1:8">
      <c r="A4118" s="270">
        <v>45202</v>
      </c>
      <c r="B4118" s="267"/>
      <c r="C4118" s="267" t="s">
        <v>730</v>
      </c>
      <c r="D4118" s="3" t="s">
        <v>2374</v>
      </c>
      <c r="E4118" s="1497">
        <v>30000</v>
      </c>
      <c r="F4118" s="1497"/>
      <c r="G4118" s="267" t="s">
        <v>56</v>
      </c>
      <c r="H4118" s="3"/>
    </row>
    <row r="4119" spans="1:8">
      <c r="A4119" s="270">
        <v>45202</v>
      </c>
      <c r="B4119" s="267"/>
      <c r="C4119" s="267" t="s">
        <v>205</v>
      </c>
      <c r="D4119" s="3" t="s">
        <v>207</v>
      </c>
      <c r="E4119" s="1497">
        <v>103500</v>
      </c>
      <c r="F4119" s="1497"/>
      <c r="G4119" s="267" t="s">
        <v>27</v>
      </c>
      <c r="H4119" s="3"/>
    </row>
    <row r="4120" spans="1:8">
      <c r="A4120" s="270">
        <v>45202</v>
      </c>
      <c r="B4120" s="267"/>
      <c r="C4120" s="267" t="s">
        <v>205</v>
      </c>
      <c r="D4120" s="3" t="s">
        <v>35</v>
      </c>
      <c r="E4120" s="1497">
        <v>45000</v>
      </c>
      <c r="F4120" s="1497"/>
      <c r="G4120" s="267" t="s">
        <v>27</v>
      </c>
      <c r="H4120" s="3"/>
    </row>
    <row r="4121" spans="1:8">
      <c r="A4121" s="270">
        <v>45202</v>
      </c>
      <c r="B4121" s="267"/>
      <c r="C4121" s="267" t="s">
        <v>79</v>
      </c>
      <c r="D4121" s="3" t="s">
        <v>2375</v>
      </c>
      <c r="E4121" s="1497">
        <v>19582</v>
      </c>
      <c r="F4121" s="1497"/>
      <c r="G4121" s="267" t="s">
        <v>27</v>
      </c>
      <c r="H4121" s="3"/>
    </row>
    <row r="4122" spans="1:8" ht="45">
      <c r="A4122" s="116">
        <v>45202</v>
      </c>
      <c r="B4122" s="51"/>
      <c r="C4122" s="51" t="s">
        <v>205</v>
      </c>
      <c r="D4122" s="52" t="s">
        <v>49</v>
      </c>
      <c r="E4122" s="51">
        <v>196724</v>
      </c>
      <c r="F4122" s="51"/>
      <c r="G4122" s="51" t="s">
        <v>72</v>
      </c>
      <c r="H4122" s="48" t="s">
        <v>2376</v>
      </c>
    </row>
    <row r="4123" spans="1:8">
      <c r="A4123" s="270">
        <v>45203</v>
      </c>
      <c r="B4123" s="267"/>
      <c r="C4123" s="267" t="s">
        <v>1148</v>
      </c>
      <c r="D4123" s="3" t="s">
        <v>238</v>
      </c>
      <c r="E4123" s="1497">
        <v>55605.48</v>
      </c>
      <c r="F4123" s="1497"/>
      <c r="G4123" s="267" t="s">
        <v>56</v>
      </c>
      <c r="H4123" s="3"/>
    </row>
    <row r="4124" spans="1:8">
      <c r="A4124" s="270">
        <v>45203</v>
      </c>
      <c r="B4124" s="267"/>
      <c r="C4124" s="267" t="s">
        <v>205</v>
      </c>
      <c r="D4124" s="3" t="s">
        <v>63</v>
      </c>
      <c r="E4124" s="1497">
        <v>11750.7</v>
      </c>
      <c r="F4124" s="1497"/>
      <c r="G4124" s="267" t="s">
        <v>56</v>
      </c>
      <c r="H4124" s="3"/>
    </row>
    <row r="4125" spans="1:8">
      <c r="A4125" s="270">
        <v>45203</v>
      </c>
      <c r="B4125" s="267"/>
      <c r="C4125" s="267" t="s">
        <v>2190</v>
      </c>
      <c r="D4125" s="3" t="s">
        <v>11</v>
      </c>
      <c r="E4125" s="1497">
        <v>102847</v>
      </c>
      <c r="F4125" s="1497"/>
      <c r="G4125" s="267" t="s">
        <v>27</v>
      </c>
      <c r="H4125" s="3"/>
    </row>
    <row r="4126" spans="1:8">
      <c r="A4126" s="270">
        <v>45204</v>
      </c>
      <c r="B4126" s="267"/>
      <c r="C4126" s="267" t="s">
        <v>77</v>
      </c>
      <c r="D4126" s="3" t="s">
        <v>2377</v>
      </c>
      <c r="E4126" s="1497"/>
      <c r="F4126" s="1497">
        <v>2192000</v>
      </c>
      <c r="G4126" s="267" t="s">
        <v>56</v>
      </c>
      <c r="H4126" s="3"/>
    </row>
    <row r="4127" spans="1:8">
      <c r="A4127" s="270">
        <v>45204</v>
      </c>
      <c r="B4127" s="267"/>
      <c r="C4127" s="267" t="s">
        <v>77</v>
      </c>
      <c r="D4127" s="3" t="s">
        <v>2378</v>
      </c>
      <c r="E4127" s="1497"/>
      <c r="F4127" s="1497">
        <v>2187000</v>
      </c>
      <c r="G4127" s="267" t="s">
        <v>56</v>
      </c>
      <c r="H4127" s="3"/>
    </row>
    <row r="4128" spans="1:8">
      <c r="A4128" s="270">
        <v>45204</v>
      </c>
      <c r="B4128" s="267"/>
      <c r="C4128" s="267" t="s">
        <v>94</v>
      </c>
      <c r="D4128" s="3" t="s">
        <v>1048</v>
      </c>
      <c r="E4128" s="1497">
        <v>11300</v>
      </c>
      <c r="F4128" s="1497"/>
      <c r="G4128" s="267" t="s">
        <v>27</v>
      </c>
      <c r="H4128" s="3"/>
    </row>
    <row r="4129" spans="1:8">
      <c r="A4129" s="270">
        <v>45204</v>
      </c>
      <c r="B4129" s="267"/>
      <c r="C4129" s="267" t="s">
        <v>68</v>
      </c>
      <c r="D4129" s="3" t="s">
        <v>2379</v>
      </c>
      <c r="E4129" s="1497">
        <v>4000</v>
      </c>
      <c r="F4129" s="1497"/>
      <c r="G4129" s="267" t="s">
        <v>56</v>
      </c>
      <c r="H4129" s="3"/>
    </row>
    <row r="4130" spans="1:8">
      <c r="A4130" s="270">
        <v>45204</v>
      </c>
      <c r="B4130" s="267"/>
      <c r="C4130" s="267" t="s">
        <v>77</v>
      </c>
      <c r="D4130" s="3" t="s">
        <v>113</v>
      </c>
      <c r="E4130" s="1497">
        <v>1514300</v>
      </c>
      <c r="F4130" s="1497"/>
      <c r="G4130" s="267" t="s">
        <v>56</v>
      </c>
      <c r="H4130" s="3"/>
    </row>
    <row r="4131" spans="1:8">
      <c r="A4131" s="270">
        <v>45204</v>
      </c>
      <c r="B4131" s="267"/>
      <c r="C4131" s="267" t="s">
        <v>205</v>
      </c>
      <c r="D4131" s="3" t="s">
        <v>71</v>
      </c>
      <c r="E4131" s="1497">
        <v>20000</v>
      </c>
      <c r="F4131" s="1497"/>
      <c r="G4131" s="267" t="s">
        <v>56</v>
      </c>
      <c r="H4131" s="3"/>
    </row>
    <row r="4132" spans="1:8">
      <c r="A4132" s="13">
        <v>45204</v>
      </c>
      <c r="B4132" s="12"/>
      <c r="C4132" s="12" t="s">
        <v>86</v>
      </c>
      <c r="D4132" s="89" t="s">
        <v>593</v>
      </c>
      <c r="E4132" s="12">
        <v>10000</v>
      </c>
      <c r="F4132" s="12"/>
      <c r="G4132" s="12" t="s">
        <v>56</v>
      </c>
      <c r="H4132" s="3"/>
    </row>
    <row r="4133" spans="1:8">
      <c r="A4133" s="270">
        <v>45205</v>
      </c>
      <c r="B4133" s="267"/>
      <c r="C4133" s="267" t="s">
        <v>205</v>
      </c>
      <c r="D4133" s="3" t="s">
        <v>71</v>
      </c>
      <c r="E4133" s="1497">
        <v>113000</v>
      </c>
      <c r="F4133" s="1497"/>
      <c r="G4133" s="267" t="s">
        <v>56</v>
      </c>
      <c r="H4133" s="3"/>
    </row>
    <row r="4134" spans="1:8">
      <c r="A4134" s="270">
        <v>45205</v>
      </c>
      <c r="B4134" s="267"/>
      <c r="C4134" s="267" t="s">
        <v>205</v>
      </c>
      <c r="D4134" s="3" t="s">
        <v>113</v>
      </c>
      <c r="E4134" s="1497">
        <v>347200</v>
      </c>
      <c r="F4134" s="1497"/>
      <c r="G4134" s="267" t="s">
        <v>56</v>
      </c>
      <c r="H4134" s="3"/>
    </row>
    <row r="4135" spans="1:8">
      <c r="A4135" s="270">
        <v>45205</v>
      </c>
      <c r="B4135" s="267"/>
      <c r="C4135" s="267" t="s">
        <v>537</v>
      </c>
      <c r="D4135" s="3" t="s">
        <v>208</v>
      </c>
      <c r="E4135" s="1497">
        <v>35000</v>
      </c>
      <c r="F4135" s="1497"/>
      <c r="G4135" s="267" t="s">
        <v>56</v>
      </c>
      <c r="H4135" s="3"/>
    </row>
    <row r="4136" spans="1:8">
      <c r="A4136" s="270">
        <v>45205</v>
      </c>
      <c r="B4136" s="267"/>
      <c r="C4136" s="267" t="s">
        <v>537</v>
      </c>
      <c r="D4136" s="3" t="s">
        <v>219</v>
      </c>
      <c r="E4136" s="1497">
        <v>60000</v>
      </c>
      <c r="F4136" s="1497"/>
      <c r="G4136" s="267" t="s">
        <v>56</v>
      </c>
      <c r="H4136" s="3"/>
    </row>
    <row r="4137" spans="1:8">
      <c r="A4137" s="270">
        <v>45205</v>
      </c>
      <c r="B4137" s="267"/>
      <c r="C4137" s="267" t="s">
        <v>537</v>
      </c>
      <c r="D4137" s="3" t="s">
        <v>2380</v>
      </c>
      <c r="E4137" s="1497">
        <v>36000</v>
      </c>
      <c r="F4137" s="1497"/>
      <c r="G4137" s="267" t="s">
        <v>56</v>
      </c>
      <c r="H4137" s="3"/>
    </row>
    <row r="4138" spans="1:8">
      <c r="A4138" s="270">
        <v>45205</v>
      </c>
      <c r="B4138" s="267"/>
      <c r="C4138" s="267" t="s">
        <v>537</v>
      </c>
      <c r="D4138" s="3" t="s">
        <v>144</v>
      </c>
      <c r="E4138" s="1497">
        <v>14000</v>
      </c>
      <c r="F4138" s="1497"/>
      <c r="G4138" s="267" t="s">
        <v>27</v>
      </c>
      <c r="H4138" s="3"/>
    </row>
    <row r="4139" spans="1:8">
      <c r="A4139" s="270">
        <v>45205</v>
      </c>
      <c r="B4139" s="267"/>
      <c r="C4139" s="267" t="s">
        <v>537</v>
      </c>
      <c r="D4139" s="3" t="s">
        <v>144</v>
      </c>
      <c r="E4139" s="1497">
        <v>76000</v>
      </c>
      <c r="F4139" s="1497"/>
      <c r="G4139" s="267" t="s">
        <v>56</v>
      </c>
      <c r="H4139" s="3"/>
    </row>
    <row r="4140" spans="1:8">
      <c r="A4140" s="270">
        <v>45205</v>
      </c>
      <c r="B4140" s="267"/>
      <c r="C4140" s="267" t="s">
        <v>176</v>
      </c>
      <c r="D4140" s="3" t="s">
        <v>175</v>
      </c>
      <c r="E4140" s="1497">
        <v>10000</v>
      </c>
      <c r="F4140" s="1497"/>
      <c r="G4140" s="267" t="s">
        <v>56</v>
      </c>
      <c r="H4140" s="3"/>
    </row>
    <row r="4141" spans="1:8" ht="60">
      <c r="A4141" s="116">
        <v>45205</v>
      </c>
      <c r="B4141" s="51"/>
      <c r="C4141" s="51" t="s">
        <v>205</v>
      </c>
      <c r="D4141" s="52" t="s">
        <v>12</v>
      </c>
      <c r="E4141" s="51">
        <v>1415229</v>
      </c>
      <c r="F4141" s="51"/>
      <c r="G4141" s="51" t="s">
        <v>72</v>
      </c>
      <c r="H4141" s="48" t="s">
        <v>2387</v>
      </c>
    </row>
    <row r="4142" spans="1:8">
      <c r="A4142" s="270">
        <v>45205</v>
      </c>
      <c r="B4142" s="267"/>
      <c r="C4142" s="51" t="s">
        <v>205</v>
      </c>
      <c r="D4142" s="15" t="s">
        <v>12</v>
      </c>
      <c r="E4142" s="1497">
        <v>23971</v>
      </c>
      <c r="F4142" s="1497"/>
      <c r="G4142" s="267" t="s">
        <v>2386</v>
      </c>
      <c r="H4142" s="3" t="s">
        <v>2388</v>
      </c>
    </row>
    <row r="4143" spans="1:8">
      <c r="A4143" s="270">
        <v>45205</v>
      </c>
      <c r="B4143" s="267"/>
      <c r="C4143" s="51" t="s">
        <v>205</v>
      </c>
      <c r="D4143" s="15" t="s">
        <v>12</v>
      </c>
      <c r="E4143" s="1497">
        <v>15000</v>
      </c>
      <c r="F4143" s="1497"/>
      <c r="G4143" s="267" t="s">
        <v>56</v>
      </c>
      <c r="H4143" s="3"/>
    </row>
    <row r="4144" spans="1:8">
      <c r="A4144" s="270">
        <v>45205</v>
      </c>
      <c r="B4144" s="267"/>
      <c r="C4144" s="51" t="s">
        <v>92</v>
      </c>
      <c r="D4144" s="15" t="s">
        <v>2389</v>
      </c>
      <c r="E4144" s="1497"/>
      <c r="F4144" s="1497">
        <v>12900</v>
      </c>
      <c r="G4144" s="267" t="s">
        <v>56</v>
      </c>
      <c r="H4144" s="3"/>
    </row>
    <row r="4145" spans="1:8" ht="15.75" thickBot="1">
      <c r="A4145" s="270">
        <v>45205</v>
      </c>
      <c r="B4145" s="267"/>
      <c r="C4145" s="51" t="s">
        <v>79</v>
      </c>
      <c r="D4145" s="15" t="s">
        <v>79</v>
      </c>
      <c r="E4145" s="1497">
        <v>50000</v>
      </c>
      <c r="F4145" s="1497"/>
      <c r="G4145" s="267" t="s">
        <v>56</v>
      </c>
      <c r="H4145" s="85"/>
    </row>
    <row r="4146" spans="1:8" ht="15.75" thickBot="1">
      <c r="H4146" s="198">
        <v>45205</v>
      </c>
    </row>
    <row r="4147" spans="1:8">
      <c r="H4147" s="199" t="s">
        <v>2365</v>
      </c>
    </row>
    <row r="4148" spans="1:8">
      <c r="H4148" s="137" t="s">
        <v>2384</v>
      </c>
    </row>
    <row r="4149" spans="1:8">
      <c r="H4149" s="138" t="s">
        <v>2390</v>
      </c>
    </row>
    <row r="4150" spans="1:8">
      <c r="H4150" s="138" t="s">
        <v>2391</v>
      </c>
    </row>
    <row r="4151" spans="1:8">
      <c r="H4151" s="138" t="s">
        <v>2381</v>
      </c>
    </row>
    <row r="4152" spans="1:8">
      <c r="H4152" s="138" t="s">
        <v>2382</v>
      </c>
    </row>
    <row r="4153" spans="1:8">
      <c r="H4153" s="138" t="s">
        <v>2351</v>
      </c>
    </row>
    <row r="4154" spans="1:8">
      <c r="H4154" s="138" t="s">
        <v>2385</v>
      </c>
    </row>
    <row r="4155" spans="1:8">
      <c r="H4155" s="138" t="s">
        <v>1215</v>
      </c>
    </row>
    <row r="4156" spans="1:8" ht="15.75" thickBot="1">
      <c r="H4156" s="147" t="s">
        <v>2151</v>
      </c>
    </row>
    <row r="4157" spans="1:8" ht="15.75" thickBot="1">
      <c r="H4157" s="140" t="s">
        <v>2383</v>
      </c>
    </row>
    <row r="4158" spans="1:8" ht="15.75" thickBot="1">
      <c r="H4158" s="194" t="s">
        <v>2392</v>
      </c>
    </row>
    <row r="4159" spans="1:8">
      <c r="A4159" s="270">
        <v>45208</v>
      </c>
      <c r="B4159" s="267"/>
      <c r="C4159" s="267" t="s">
        <v>79</v>
      </c>
      <c r="D4159" s="3" t="s">
        <v>2393</v>
      </c>
      <c r="E4159" s="1497">
        <v>7500</v>
      </c>
      <c r="F4159" s="1497"/>
      <c r="G4159" s="267" t="s">
        <v>56</v>
      </c>
      <c r="H4159" s="5"/>
    </row>
    <row r="4160" spans="1:8">
      <c r="A4160" s="270">
        <v>45208</v>
      </c>
      <c r="B4160" s="267"/>
      <c r="C4160" s="267" t="s">
        <v>2190</v>
      </c>
      <c r="D4160" s="3" t="s">
        <v>11</v>
      </c>
      <c r="E4160" s="1497">
        <v>128087</v>
      </c>
      <c r="F4160" s="1497"/>
      <c r="G4160" s="267" t="s">
        <v>27</v>
      </c>
      <c r="H4160" s="3"/>
    </row>
    <row r="4161" spans="1:8">
      <c r="A4161" s="270">
        <v>45208</v>
      </c>
      <c r="B4161" s="267"/>
      <c r="C4161" s="267" t="s">
        <v>92</v>
      </c>
      <c r="D4161" s="3" t="s">
        <v>675</v>
      </c>
      <c r="E4161" s="1497"/>
      <c r="F4161" s="1497">
        <v>218000</v>
      </c>
      <c r="G4161" s="267" t="s">
        <v>27</v>
      </c>
      <c r="H4161" s="3"/>
    </row>
    <row r="4162" spans="1:8">
      <c r="A4162" s="270">
        <v>45208</v>
      </c>
      <c r="B4162" s="267"/>
      <c r="C4162" s="267" t="s">
        <v>55</v>
      </c>
      <c r="D4162" s="3" t="s">
        <v>38</v>
      </c>
      <c r="E4162" s="1497">
        <v>2100</v>
      </c>
      <c r="F4162" s="1497"/>
      <c r="G4162" s="267" t="s">
        <v>56</v>
      </c>
      <c r="H4162" s="167" t="s">
        <v>2394</v>
      </c>
    </row>
    <row r="4163" spans="1:8">
      <c r="A4163" s="270">
        <v>45209</v>
      </c>
      <c r="B4163" s="267"/>
      <c r="C4163" s="267" t="s">
        <v>55</v>
      </c>
      <c r="D4163" s="3" t="s">
        <v>238</v>
      </c>
      <c r="E4163" s="1497">
        <v>6180</v>
      </c>
      <c r="F4163" s="1497"/>
      <c r="G4163" s="267" t="s">
        <v>27</v>
      </c>
      <c r="H4163" s="167" t="s">
        <v>2394</v>
      </c>
    </row>
    <row r="4164" spans="1:8">
      <c r="A4164" s="270">
        <v>45209</v>
      </c>
      <c r="B4164" s="267"/>
      <c r="C4164" s="267" t="s">
        <v>92</v>
      </c>
      <c r="D4164" s="3" t="s">
        <v>2263</v>
      </c>
      <c r="E4164" s="1497"/>
      <c r="F4164" s="1497">
        <v>12940</v>
      </c>
      <c r="G4164" s="267" t="s">
        <v>56</v>
      </c>
      <c r="H4164" s="3"/>
    </row>
    <row r="4165" spans="1:8">
      <c r="A4165" s="270">
        <v>45210</v>
      </c>
      <c r="B4165" s="267"/>
      <c r="C4165" s="267" t="s">
        <v>55</v>
      </c>
      <c r="D4165" s="3" t="s">
        <v>2395</v>
      </c>
      <c r="E4165" s="1497">
        <v>11059</v>
      </c>
      <c r="F4165" s="1497"/>
      <c r="G4165" s="267" t="s">
        <v>27</v>
      </c>
      <c r="H4165" s="3"/>
    </row>
    <row r="4166" spans="1:8">
      <c r="A4166" s="270">
        <v>45210</v>
      </c>
      <c r="B4166" s="267"/>
      <c r="C4166" s="267" t="s">
        <v>86</v>
      </c>
      <c r="D4166" s="3" t="s">
        <v>107</v>
      </c>
      <c r="E4166" s="1497">
        <v>7000</v>
      </c>
      <c r="F4166" s="1497"/>
      <c r="G4166" s="267" t="s">
        <v>27</v>
      </c>
      <c r="H4166" s="3"/>
    </row>
    <row r="4167" spans="1:8">
      <c r="A4167" s="270">
        <v>45210</v>
      </c>
      <c r="B4167" s="267"/>
      <c r="C4167" s="267" t="s">
        <v>79</v>
      </c>
      <c r="D4167" s="3" t="s">
        <v>151</v>
      </c>
      <c r="E4167" s="1497">
        <v>5500</v>
      </c>
      <c r="F4167" s="1497"/>
      <c r="G4167" s="267" t="s">
        <v>56</v>
      </c>
      <c r="H4167" s="3"/>
    </row>
    <row r="4168" spans="1:8">
      <c r="A4168" s="270">
        <v>45211</v>
      </c>
      <c r="B4168" s="267"/>
      <c r="C4168" s="267" t="s">
        <v>55</v>
      </c>
      <c r="D4168" s="3" t="s">
        <v>640</v>
      </c>
      <c r="E4168" s="1497">
        <v>43741</v>
      </c>
      <c r="F4168" s="1497"/>
      <c r="G4168" s="267" t="s">
        <v>27</v>
      </c>
      <c r="H4168" s="3"/>
    </row>
    <row r="4169" spans="1:8">
      <c r="A4169" s="270">
        <v>45211</v>
      </c>
      <c r="B4169" s="267"/>
      <c r="C4169" s="267" t="s">
        <v>79</v>
      </c>
      <c r="D4169" s="3" t="s">
        <v>640</v>
      </c>
      <c r="E4169" s="1497">
        <v>16429</v>
      </c>
      <c r="F4169" s="1497"/>
      <c r="G4169" s="267" t="s">
        <v>27</v>
      </c>
      <c r="H4169" s="71">
        <v>39921</v>
      </c>
    </row>
    <row r="4170" spans="1:8">
      <c r="A4170" s="270">
        <v>45211</v>
      </c>
      <c r="B4170" s="267"/>
      <c r="C4170" s="267" t="s">
        <v>79</v>
      </c>
      <c r="D4170" s="3" t="s">
        <v>2355</v>
      </c>
      <c r="E4170" s="1497">
        <v>4100</v>
      </c>
      <c r="F4170" s="1497"/>
      <c r="G4170" s="267" t="s">
        <v>27</v>
      </c>
      <c r="H4170" s="71" t="s">
        <v>2396</v>
      </c>
    </row>
    <row r="4171" spans="1:8">
      <c r="A4171" s="270">
        <v>45211</v>
      </c>
      <c r="B4171" s="267"/>
      <c r="C4171" s="267" t="s">
        <v>92</v>
      </c>
      <c r="D4171" s="3" t="s">
        <v>17</v>
      </c>
      <c r="E4171" s="1497">
        <v>5748.68</v>
      </c>
      <c r="F4171" s="1497"/>
      <c r="G4171" s="267" t="s">
        <v>27</v>
      </c>
      <c r="H4171" s="3"/>
    </row>
    <row r="4172" spans="1:8">
      <c r="A4172" s="270">
        <v>45211</v>
      </c>
      <c r="B4172" s="267"/>
      <c r="C4172" s="267" t="s">
        <v>92</v>
      </c>
      <c r="D4172" s="3" t="s">
        <v>2397</v>
      </c>
      <c r="E4172" s="1497"/>
      <c r="F4172" s="1497">
        <v>609600</v>
      </c>
      <c r="G4172" s="267" t="s">
        <v>72</v>
      </c>
      <c r="H4172" s="45" t="s">
        <v>2398</v>
      </c>
    </row>
    <row r="4173" spans="1:8">
      <c r="A4173" s="270">
        <v>45211</v>
      </c>
      <c r="B4173" s="267"/>
      <c r="C4173" s="267" t="s">
        <v>92</v>
      </c>
      <c r="D4173" s="3" t="s">
        <v>2399</v>
      </c>
      <c r="E4173" s="1497"/>
      <c r="F4173" s="1497">
        <v>9440</v>
      </c>
      <c r="G4173" s="267" t="s">
        <v>27</v>
      </c>
      <c r="H4173" s="3"/>
    </row>
    <row r="4174" spans="1:8">
      <c r="A4174" s="270">
        <v>45211</v>
      </c>
      <c r="B4174" s="267"/>
      <c r="C4174" s="267" t="s">
        <v>90</v>
      </c>
      <c r="D4174" s="3" t="s">
        <v>2379</v>
      </c>
      <c r="E4174" s="1497">
        <v>3500</v>
      </c>
      <c r="F4174" s="1497"/>
      <c r="G4174" s="267" t="s">
        <v>56</v>
      </c>
      <c r="H4174" s="3"/>
    </row>
    <row r="4175" spans="1:8">
      <c r="A4175" s="270">
        <v>45211</v>
      </c>
      <c r="B4175" s="267"/>
      <c r="C4175" s="267" t="s">
        <v>77</v>
      </c>
      <c r="D4175" s="3" t="s">
        <v>2400</v>
      </c>
      <c r="E4175" s="1497"/>
      <c r="F4175" s="1497">
        <v>886400</v>
      </c>
      <c r="G4175" s="267" t="s">
        <v>56</v>
      </c>
      <c r="H4175" s="3" t="s">
        <v>2401</v>
      </c>
    </row>
    <row r="4176" spans="1:8">
      <c r="A4176" s="270">
        <v>45211</v>
      </c>
      <c r="B4176" s="267"/>
      <c r="C4176" s="267" t="s">
        <v>2404</v>
      </c>
      <c r="D4176" s="3" t="s">
        <v>2402</v>
      </c>
      <c r="E4176" s="1497">
        <v>695640</v>
      </c>
      <c r="F4176" s="1497"/>
      <c r="G4176" s="267" t="s">
        <v>27</v>
      </c>
      <c r="H4176" s="3" t="s">
        <v>2403</v>
      </c>
    </row>
    <row r="4177" spans="1:8">
      <c r="A4177" s="270">
        <v>45211</v>
      </c>
      <c r="B4177" s="267"/>
      <c r="C4177" s="267" t="s">
        <v>537</v>
      </c>
      <c r="D4177" s="3" t="s">
        <v>220</v>
      </c>
      <c r="E4177" s="1497">
        <v>45000</v>
      </c>
      <c r="F4177" s="1497"/>
      <c r="G4177" s="267" t="s">
        <v>56</v>
      </c>
      <c r="H4177" s="3"/>
    </row>
    <row r="4178" spans="1:8">
      <c r="A4178" s="270">
        <v>45211</v>
      </c>
      <c r="B4178" s="267"/>
      <c r="C4178" s="267" t="s">
        <v>537</v>
      </c>
      <c r="D4178" s="3" t="s">
        <v>234</v>
      </c>
      <c r="E4178" s="1497">
        <v>36000</v>
      </c>
      <c r="F4178" s="1497"/>
      <c r="G4178" s="267" t="s">
        <v>56</v>
      </c>
      <c r="H4178" s="3"/>
    </row>
    <row r="4179" spans="1:8">
      <c r="A4179" s="270">
        <v>45211</v>
      </c>
      <c r="B4179" s="267"/>
      <c r="C4179" s="267" t="s">
        <v>537</v>
      </c>
      <c r="D4179" s="3" t="s">
        <v>750</v>
      </c>
      <c r="E4179" s="1497">
        <v>60000</v>
      </c>
      <c r="F4179" s="1497"/>
      <c r="G4179" s="267" t="s">
        <v>56</v>
      </c>
      <c r="H4179" s="3"/>
    </row>
    <row r="4180" spans="1:8">
      <c r="A4180" s="270">
        <v>45211</v>
      </c>
      <c r="B4180" s="267"/>
      <c r="C4180" s="267" t="s">
        <v>537</v>
      </c>
      <c r="D4180" s="3" t="s">
        <v>144</v>
      </c>
      <c r="E4180" s="1497">
        <v>90000</v>
      </c>
      <c r="F4180" s="1497"/>
      <c r="G4180" s="267" t="s">
        <v>56</v>
      </c>
      <c r="H4180" s="3"/>
    </row>
    <row r="4181" spans="1:8">
      <c r="A4181" s="270">
        <v>45211</v>
      </c>
      <c r="B4181" s="267"/>
      <c r="C4181" s="267" t="s">
        <v>79</v>
      </c>
      <c r="D4181" s="3" t="s">
        <v>79</v>
      </c>
      <c r="E4181" s="1497">
        <v>60000</v>
      </c>
      <c r="F4181" s="1497"/>
      <c r="G4181" s="267" t="s">
        <v>56</v>
      </c>
      <c r="H4181" s="3"/>
    </row>
    <row r="4182" spans="1:8" ht="15.75" thickBot="1">
      <c r="A4182" s="270">
        <v>45211</v>
      </c>
      <c r="B4182" s="267"/>
      <c r="C4182" s="267" t="s">
        <v>79</v>
      </c>
      <c r="D4182" s="3" t="s">
        <v>79</v>
      </c>
      <c r="E4182" s="1497">
        <v>100000</v>
      </c>
      <c r="F4182" s="1497"/>
      <c r="G4182" s="267" t="s">
        <v>56</v>
      </c>
      <c r="H4182" s="3"/>
    </row>
    <row r="4183" spans="1:8" ht="15.75" thickBot="1">
      <c r="H4183" s="198">
        <v>45211</v>
      </c>
    </row>
    <row r="4184" spans="1:8">
      <c r="H4184" s="199" t="s">
        <v>2411</v>
      </c>
    </row>
    <row r="4185" spans="1:8">
      <c r="H4185" s="137" t="s">
        <v>2412</v>
      </c>
    </row>
    <row r="4186" spans="1:8">
      <c r="H4186" s="138" t="s">
        <v>2410</v>
      </c>
    </row>
    <row r="4187" spans="1:8">
      <c r="H4187" s="138" t="s">
        <v>2409</v>
      </c>
    </row>
    <row r="4188" spans="1:8">
      <c r="H4188" s="138" t="s">
        <v>2406</v>
      </c>
    </row>
    <row r="4189" spans="1:8">
      <c r="H4189" s="138" t="s">
        <v>2407</v>
      </c>
    </row>
    <row r="4190" spans="1:8">
      <c r="H4190" s="138" t="s">
        <v>2351</v>
      </c>
    </row>
    <row r="4191" spans="1:8">
      <c r="H4191" s="138" t="s">
        <v>2405</v>
      </c>
    </row>
    <row r="4192" spans="1:8">
      <c r="H4192" s="138" t="s">
        <v>1215</v>
      </c>
    </row>
    <row r="4193" spans="1:8" ht="15.75" thickBot="1">
      <c r="H4193" s="147" t="s">
        <v>2151</v>
      </c>
    </row>
    <row r="4194" spans="1:8" ht="15.75" thickBot="1">
      <c r="H4194" s="140" t="s">
        <v>2408</v>
      </c>
    </row>
    <row r="4195" spans="1:8">
      <c r="H4195" s="193" t="s">
        <v>2413</v>
      </c>
    </row>
    <row r="4196" spans="1:8">
      <c r="A4196" s="270">
        <v>45215</v>
      </c>
      <c r="B4196" s="267"/>
      <c r="C4196" s="267" t="s">
        <v>156</v>
      </c>
      <c r="D4196" s="3" t="s">
        <v>156</v>
      </c>
      <c r="E4196" s="1497">
        <v>143836.88</v>
      </c>
      <c r="F4196" s="1497"/>
      <c r="G4196" s="267" t="s">
        <v>27</v>
      </c>
      <c r="H4196" s="192"/>
    </row>
    <row r="4197" spans="1:8">
      <c r="A4197" s="270">
        <v>45216</v>
      </c>
      <c r="B4197" s="267"/>
      <c r="C4197" s="267" t="s">
        <v>1597</v>
      </c>
      <c r="D4197" s="3" t="s">
        <v>2010</v>
      </c>
      <c r="E4197" s="1497"/>
      <c r="F4197" s="1497">
        <v>75000</v>
      </c>
      <c r="G4197" s="267" t="s">
        <v>27</v>
      </c>
      <c r="H4197" s="192"/>
    </row>
    <row r="4198" spans="1:8">
      <c r="A4198" s="270">
        <v>45218</v>
      </c>
      <c r="B4198" s="267"/>
      <c r="C4198" s="267" t="s">
        <v>79</v>
      </c>
      <c r="D4198" s="3" t="s">
        <v>918</v>
      </c>
      <c r="E4198" s="1497">
        <v>51959.4</v>
      </c>
      <c r="F4198" s="1497"/>
      <c r="G4198" s="267" t="s">
        <v>27</v>
      </c>
      <c r="H4198" s="3"/>
    </row>
    <row r="4199" spans="1:8">
      <c r="A4199" s="270">
        <v>45218</v>
      </c>
      <c r="B4199" s="267"/>
      <c r="C4199" s="267" t="s">
        <v>79</v>
      </c>
      <c r="D4199" s="3" t="s">
        <v>2414</v>
      </c>
      <c r="E4199" s="1497">
        <v>41780</v>
      </c>
      <c r="F4199" s="1497"/>
      <c r="G4199" s="267" t="s">
        <v>27</v>
      </c>
      <c r="H4199" s="3"/>
    </row>
    <row r="4200" spans="1:8">
      <c r="A4200" s="270">
        <v>45218</v>
      </c>
      <c r="B4200" s="267"/>
      <c r="C4200" s="267" t="s">
        <v>55</v>
      </c>
      <c r="D4200" s="3" t="s">
        <v>38</v>
      </c>
      <c r="E4200" s="1497">
        <v>2300</v>
      </c>
      <c r="F4200" s="1497"/>
      <c r="G4200" s="267" t="s">
        <v>56</v>
      </c>
      <c r="H4200" s="3"/>
    </row>
    <row r="4201" spans="1:8">
      <c r="A4201" s="270">
        <v>45218</v>
      </c>
      <c r="B4201" s="267"/>
      <c r="C4201" s="267" t="s">
        <v>55</v>
      </c>
      <c r="D4201" s="3" t="s">
        <v>38</v>
      </c>
      <c r="E4201" s="1497">
        <v>5500</v>
      </c>
      <c r="F4201" s="1497"/>
      <c r="G4201" s="267" t="s">
        <v>56</v>
      </c>
      <c r="H4201" s="3"/>
    </row>
    <row r="4202" spans="1:8">
      <c r="A4202" s="270">
        <v>45218</v>
      </c>
      <c r="B4202" s="267"/>
      <c r="C4202" s="267" t="s">
        <v>55</v>
      </c>
      <c r="D4202" s="3" t="s">
        <v>2415</v>
      </c>
      <c r="E4202" s="1497">
        <v>1620</v>
      </c>
      <c r="F4202" s="1497"/>
      <c r="G4202" s="267" t="s">
        <v>56</v>
      </c>
      <c r="H4202" s="3"/>
    </row>
    <row r="4203" spans="1:8">
      <c r="A4203" s="270">
        <v>45218</v>
      </c>
      <c r="B4203" s="267"/>
      <c r="C4203" s="267" t="s">
        <v>1597</v>
      </c>
      <c r="D4203" s="3" t="s">
        <v>2416</v>
      </c>
      <c r="E4203" s="1497"/>
      <c r="F4203" s="1497">
        <v>6500</v>
      </c>
      <c r="G4203" s="267" t="s">
        <v>56</v>
      </c>
      <c r="H4203" s="3"/>
    </row>
    <row r="4204" spans="1:8">
      <c r="A4204" s="270">
        <v>45218</v>
      </c>
      <c r="B4204" s="267"/>
      <c r="C4204" s="267" t="s">
        <v>90</v>
      </c>
      <c r="D4204" s="3" t="s">
        <v>1982</v>
      </c>
      <c r="E4204" s="1497">
        <v>4000</v>
      </c>
      <c r="F4204" s="1497"/>
      <c r="G4204" s="267" t="s">
        <v>56</v>
      </c>
      <c r="H4204" s="3"/>
    </row>
    <row r="4205" spans="1:8">
      <c r="A4205" s="270">
        <v>45218</v>
      </c>
      <c r="B4205" s="267"/>
      <c r="C4205" s="267" t="s">
        <v>55</v>
      </c>
      <c r="D4205" s="3" t="s">
        <v>2415</v>
      </c>
      <c r="E4205" s="1497">
        <v>1400</v>
      </c>
      <c r="F4205" s="1497"/>
      <c r="G4205" s="267" t="s">
        <v>56</v>
      </c>
      <c r="H4205" s="3"/>
    </row>
    <row r="4206" spans="1:8">
      <c r="A4206" s="270">
        <v>45218</v>
      </c>
      <c r="B4206" s="267"/>
      <c r="C4206" s="267" t="s">
        <v>77</v>
      </c>
      <c r="D4206" s="3" t="s">
        <v>2417</v>
      </c>
      <c r="E4206" s="1497"/>
      <c r="F4206" s="1497">
        <v>900</v>
      </c>
      <c r="G4206" s="267" t="s">
        <v>781</v>
      </c>
      <c r="H4206" s="3"/>
    </row>
    <row r="4207" spans="1:8">
      <c r="A4207" s="270">
        <v>45218</v>
      </c>
      <c r="B4207" s="267"/>
      <c r="C4207" s="267" t="s">
        <v>1805</v>
      </c>
      <c r="D4207" s="3" t="s">
        <v>2418</v>
      </c>
      <c r="E4207" s="1497">
        <v>7000</v>
      </c>
      <c r="F4207" s="1497"/>
      <c r="G4207" s="267" t="s">
        <v>27</v>
      </c>
      <c r="H4207" s="3"/>
    </row>
    <row r="4208" spans="1:8">
      <c r="A4208" s="270">
        <v>45219</v>
      </c>
      <c r="B4208" s="267"/>
      <c r="C4208" s="267"/>
      <c r="D4208" s="3" t="s">
        <v>2419</v>
      </c>
      <c r="E4208" s="1497">
        <v>24315</v>
      </c>
      <c r="F4208" s="1497"/>
      <c r="G4208" s="267" t="s">
        <v>27</v>
      </c>
      <c r="H4208" s="3"/>
    </row>
    <row r="4209" spans="1:8">
      <c r="A4209" s="270">
        <v>45219</v>
      </c>
      <c r="B4209" s="267"/>
      <c r="C4209" s="267" t="s">
        <v>537</v>
      </c>
      <c r="D4209" s="3" t="s">
        <v>193</v>
      </c>
      <c r="E4209" s="1497">
        <v>36000</v>
      </c>
      <c r="F4209" s="1497"/>
      <c r="G4209" s="267" t="s">
        <v>56</v>
      </c>
      <c r="H4209" s="3"/>
    </row>
    <row r="4210" spans="1:8">
      <c r="A4210" s="270">
        <v>45219</v>
      </c>
      <c r="B4210" s="267"/>
      <c r="C4210" s="267" t="s">
        <v>537</v>
      </c>
      <c r="D4210" s="3" t="s">
        <v>208</v>
      </c>
      <c r="E4210" s="1497">
        <v>45000</v>
      </c>
      <c r="F4210" s="1497"/>
      <c r="G4210" s="267" t="s">
        <v>56</v>
      </c>
      <c r="H4210" s="3"/>
    </row>
    <row r="4211" spans="1:8">
      <c r="A4211" s="270">
        <v>45219</v>
      </c>
      <c r="B4211" s="267"/>
      <c r="C4211" s="267" t="s">
        <v>537</v>
      </c>
      <c r="D4211" s="3" t="s">
        <v>219</v>
      </c>
      <c r="E4211" s="1497">
        <v>60000</v>
      </c>
      <c r="F4211" s="1497"/>
      <c r="G4211" s="267" t="s">
        <v>56</v>
      </c>
      <c r="H4211" s="3"/>
    </row>
    <row r="4212" spans="1:8">
      <c r="A4212" s="270">
        <v>45219</v>
      </c>
      <c r="B4212" s="267"/>
      <c r="C4212" s="267" t="s">
        <v>537</v>
      </c>
      <c r="D4212" s="3" t="s">
        <v>2428</v>
      </c>
      <c r="E4212" s="1497">
        <v>5000</v>
      </c>
      <c r="F4212" s="1497"/>
      <c r="G4212" s="267" t="s">
        <v>27</v>
      </c>
      <c r="H4212" s="3"/>
    </row>
    <row r="4213" spans="1:8">
      <c r="A4213" s="270">
        <v>45219</v>
      </c>
      <c r="B4213" s="267"/>
      <c r="C4213" s="267" t="s">
        <v>537</v>
      </c>
      <c r="D4213" s="3" t="s">
        <v>2428</v>
      </c>
      <c r="E4213" s="1497">
        <v>85000</v>
      </c>
      <c r="F4213" s="1497"/>
      <c r="G4213" s="267" t="s">
        <v>56</v>
      </c>
      <c r="H4213" s="3"/>
    </row>
    <row r="4214" spans="1:8">
      <c r="A4214" s="270">
        <v>45219</v>
      </c>
      <c r="B4214" s="267"/>
      <c r="C4214" s="267" t="s">
        <v>94</v>
      </c>
      <c r="D4214" s="3" t="s">
        <v>245</v>
      </c>
      <c r="E4214" s="1497">
        <v>21400</v>
      </c>
      <c r="F4214" s="1497"/>
      <c r="G4214" s="267" t="s">
        <v>56</v>
      </c>
      <c r="H4214" s="3"/>
    </row>
    <row r="4215" spans="1:8" ht="15.75" thickBot="1">
      <c r="A4215" s="270">
        <v>45219</v>
      </c>
      <c r="B4215" s="267"/>
      <c r="C4215" s="267" t="s">
        <v>55</v>
      </c>
      <c r="D4215" s="3" t="s">
        <v>976</v>
      </c>
      <c r="E4215" s="1497">
        <v>9470</v>
      </c>
      <c r="F4215" s="1497"/>
      <c r="G4215" s="267" t="s">
        <v>56</v>
      </c>
      <c r="H4215" s="3"/>
    </row>
    <row r="4216" spans="1:8" ht="15.75" thickBot="1">
      <c r="H4216" s="198">
        <v>45219</v>
      </c>
    </row>
    <row r="4217" spans="1:8">
      <c r="H4217" s="199" t="s">
        <v>2423</v>
      </c>
    </row>
    <row r="4218" spans="1:8">
      <c r="H4218" s="137" t="s">
        <v>2422</v>
      </c>
    </row>
    <row r="4219" spans="1:8">
      <c r="H4219" s="138" t="s">
        <v>2430</v>
      </c>
    </row>
    <row r="4220" spans="1:8">
      <c r="H4220" s="138" t="s">
        <v>2424</v>
      </c>
    </row>
    <row r="4221" spans="1:8">
      <c r="H4221" s="138" t="s">
        <v>2421</v>
      </c>
    </row>
    <row r="4222" spans="1:8">
      <c r="H4222" s="138" t="s">
        <v>2420</v>
      </c>
    </row>
    <row r="4223" spans="1:8">
      <c r="H4223" s="138" t="s">
        <v>2425</v>
      </c>
    </row>
    <row r="4224" spans="1:8">
      <c r="H4224" s="138" t="s">
        <v>2426</v>
      </c>
    </row>
    <row r="4225" spans="1:8">
      <c r="H4225" s="138" t="s">
        <v>1215</v>
      </c>
    </row>
    <row r="4226" spans="1:8" ht="15.75" thickBot="1">
      <c r="H4226" s="147" t="s">
        <v>2151</v>
      </c>
    </row>
    <row r="4227" spans="1:8" ht="15.75" thickBot="1">
      <c r="H4227" s="140" t="s">
        <v>2427</v>
      </c>
    </row>
    <row r="4228" spans="1:8" ht="15.75" thickBot="1">
      <c r="H4228" s="194" t="s">
        <v>2429</v>
      </c>
    </row>
    <row r="4229" spans="1:8">
      <c r="A4229" s="270">
        <v>45222</v>
      </c>
      <c r="B4229" s="267"/>
      <c r="C4229" s="267" t="s">
        <v>79</v>
      </c>
      <c r="D4229" s="3" t="s">
        <v>151</v>
      </c>
      <c r="E4229" s="1497">
        <v>15571.49</v>
      </c>
      <c r="F4229" s="1497"/>
      <c r="G4229" s="267" t="s">
        <v>27</v>
      </c>
      <c r="H4229" s="5"/>
    </row>
    <row r="4230" spans="1:8">
      <c r="A4230" s="270">
        <v>45222</v>
      </c>
      <c r="B4230" s="267"/>
      <c r="C4230" s="267" t="s">
        <v>86</v>
      </c>
      <c r="D4230" s="3" t="s">
        <v>107</v>
      </c>
      <c r="E4230" s="1497">
        <v>5000</v>
      </c>
      <c r="F4230" s="1497"/>
      <c r="G4230" s="267" t="s">
        <v>56</v>
      </c>
      <c r="H4230" s="3"/>
    </row>
    <row r="4231" spans="1:8">
      <c r="A4231" s="270">
        <v>45222</v>
      </c>
      <c r="B4231" s="267"/>
      <c r="C4231" s="267" t="s">
        <v>55</v>
      </c>
      <c r="D4231" s="3" t="s">
        <v>70</v>
      </c>
      <c r="E4231" s="1497">
        <v>2960</v>
      </c>
      <c r="F4231" s="1497"/>
      <c r="G4231" s="267" t="s">
        <v>27</v>
      </c>
      <c r="H4231" s="3"/>
    </row>
    <row r="4232" spans="1:8">
      <c r="A4232" s="270">
        <v>45223</v>
      </c>
      <c r="B4232" s="267"/>
      <c r="C4232" s="267" t="s">
        <v>205</v>
      </c>
      <c r="D4232" s="3" t="s">
        <v>2432</v>
      </c>
      <c r="E4232" s="1497">
        <v>128086</v>
      </c>
      <c r="F4232" s="1497"/>
      <c r="G4232" s="267" t="s">
        <v>27</v>
      </c>
      <c r="H4232" s="3"/>
    </row>
    <row r="4233" spans="1:8">
      <c r="A4233" s="270">
        <v>45223</v>
      </c>
      <c r="B4233" s="267"/>
      <c r="C4233" s="267" t="s">
        <v>92</v>
      </c>
      <c r="D4233" s="3" t="s">
        <v>2433</v>
      </c>
      <c r="E4233" s="1497"/>
      <c r="F4233" s="1497">
        <v>10300</v>
      </c>
      <c r="G4233" s="267" t="s">
        <v>56</v>
      </c>
      <c r="H4233" s="3"/>
    </row>
    <row r="4234" spans="1:8">
      <c r="A4234" s="270">
        <v>45223</v>
      </c>
      <c r="B4234" s="267"/>
      <c r="C4234" s="267" t="s">
        <v>205</v>
      </c>
      <c r="D4234" s="3" t="s">
        <v>238</v>
      </c>
      <c r="E4234" s="1497">
        <v>5460</v>
      </c>
      <c r="F4234" s="1497"/>
      <c r="G4234" s="267" t="s">
        <v>56</v>
      </c>
      <c r="H4234" s="3"/>
    </row>
    <row r="4235" spans="1:8">
      <c r="A4235" s="270">
        <v>45223</v>
      </c>
      <c r="B4235" s="267"/>
      <c r="C4235" s="267" t="s">
        <v>86</v>
      </c>
      <c r="D4235" s="3" t="s">
        <v>2436</v>
      </c>
      <c r="E4235" s="1497"/>
      <c r="F4235" s="1497">
        <v>161000</v>
      </c>
      <c r="G4235" s="267" t="s">
        <v>2434</v>
      </c>
      <c r="H4235" s="3" t="s">
        <v>2435</v>
      </c>
    </row>
    <row r="4236" spans="1:8">
      <c r="A4236" s="270">
        <v>45224</v>
      </c>
      <c r="B4236" s="267"/>
      <c r="C4236" s="267" t="s">
        <v>2437</v>
      </c>
      <c r="D4236" s="3" t="s">
        <v>560</v>
      </c>
      <c r="E4236" s="1497">
        <v>10000</v>
      </c>
      <c r="F4236" s="1497"/>
      <c r="G4236" s="267" t="s">
        <v>27</v>
      </c>
      <c r="H4236" s="3"/>
    </row>
    <row r="4237" spans="1:8">
      <c r="A4237" s="270">
        <v>45224</v>
      </c>
      <c r="B4237" s="267"/>
      <c r="C4237" s="267" t="s">
        <v>79</v>
      </c>
      <c r="D4237" s="3" t="s">
        <v>844</v>
      </c>
      <c r="E4237" s="1497">
        <v>11281.65</v>
      </c>
      <c r="F4237" s="1497"/>
      <c r="G4237" s="267" t="s">
        <v>27</v>
      </c>
      <c r="H4237" s="3"/>
    </row>
    <row r="4238" spans="1:8">
      <c r="A4238" s="270">
        <v>45224</v>
      </c>
      <c r="B4238" s="267"/>
      <c r="C4238" s="267" t="s">
        <v>79</v>
      </c>
      <c r="D4238" s="3" t="s">
        <v>2438</v>
      </c>
      <c r="E4238" s="1497">
        <v>554.54</v>
      </c>
      <c r="F4238" s="1497"/>
      <c r="G4238" s="267" t="s">
        <v>27</v>
      </c>
      <c r="H4238" s="3"/>
    </row>
    <row r="4239" spans="1:8">
      <c r="A4239" s="270">
        <v>45224</v>
      </c>
      <c r="B4239" s="267"/>
      <c r="C4239" s="267" t="s">
        <v>55</v>
      </c>
      <c r="D4239" s="15" t="s">
        <v>154</v>
      </c>
      <c r="E4239" s="1497">
        <v>1400</v>
      </c>
      <c r="F4239" s="1497"/>
      <c r="G4239" s="267" t="s">
        <v>27</v>
      </c>
      <c r="H4239" s="3"/>
    </row>
    <row r="4240" spans="1:8">
      <c r="A4240" s="270">
        <v>45224</v>
      </c>
      <c r="B4240" s="267"/>
      <c r="C4240" s="267" t="s">
        <v>205</v>
      </c>
      <c r="D4240" s="15" t="s">
        <v>190</v>
      </c>
      <c r="E4240" s="1497">
        <v>161000</v>
      </c>
      <c r="F4240" s="1497"/>
      <c r="G4240" s="267" t="s">
        <v>2434</v>
      </c>
      <c r="H4240" s="3" t="s">
        <v>2435</v>
      </c>
    </row>
    <row r="4241" spans="1:8">
      <c r="A4241" s="270">
        <v>45224</v>
      </c>
      <c r="B4241" s="267"/>
      <c r="C4241" s="267" t="s">
        <v>205</v>
      </c>
      <c r="D4241" s="15" t="s">
        <v>190</v>
      </c>
      <c r="E4241" s="1497">
        <v>12776</v>
      </c>
      <c r="F4241" s="1497"/>
      <c r="G4241" s="267" t="s">
        <v>2434</v>
      </c>
      <c r="H4241" s="3" t="s">
        <v>63</v>
      </c>
    </row>
    <row r="4242" spans="1:8">
      <c r="A4242" s="270">
        <v>45224</v>
      </c>
      <c r="B4242" s="267"/>
      <c r="C4242" s="267" t="s">
        <v>94</v>
      </c>
      <c r="D4242" s="3" t="s">
        <v>2439</v>
      </c>
      <c r="E4242" s="1497">
        <v>24512.62</v>
      </c>
      <c r="F4242" s="1497"/>
      <c r="G4242" s="267" t="s">
        <v>27</v>
      </c>
      <c r="H4242" s="3"/>
    </row>
    <row r="4243" spans="1:8">
      <c r="A4243" s="270">
        <v>45224</v>
      </c>
      <c r="B4243" s="267"/>
      <c r="C4243" s="267" t="s">
        <v>94</v>
      </c>
      <c r="D4243" s="15" t="s">
        <v>1187</v>
      </c>
      <c r="E4243" s="1497">
        <v>12100</v>
      </c>
      <c r="F4243" s="1497"/>
      <c r="G4243" s="267" t="s">
        <v>27</v>
      </c>
      <c r="H4243" s="3"/>
    </row>
    <row r="4244" spans="1:8">
      <c r="A4244" s="270">
        <v>45224</v>
      </c>
      <c r="B4244" s="267"/>
      <c r="C4244" s="267" t="s">
        <v>79</v>
      </c>
      <c r="D4244" s="3" t="s">
        <v>166</v>
      </c>
      <c r="E4244" s="1497">
        <v>100000</v>
      </c>
      <c r="F4244" s="1497"/>
      <c r="G4244" s="267" t="s">
        <v>27</v>
      </c>
      <c r="H4244" s="3"/>
    </row>
    <row r="4245" spans="1:8">
      <c r="A4245" s="270">
        <v>45224</v>
      </c>
      <c r="B4245" s="267"/>
      <c r="C4245" s="267" t="s">
        <v>205</v>
      </c>
      <c r="D4245" s="3" t="s">
        <v>859</v>
      </c>
      <c r="E4245" s="1497">
        <v>60000</v>
      </c>
      <c r="F4245" s="1497"/>
      <c r="G4245" s="267" t="s">
        <v>27</v>
      </c>
      <c r="H4245" s="3"/>
    </row>
    <row r="4246" spans="1:8">
      <c r="A4246" s="270">
        <v>45224</v>
      </c>
      <c r="B4246" s="267"/>
      <c r="C4246" s="267" t="s">
        <v>205</v>
      </c>
      <c r="D4246" s="3" t="s">
        <v>35</v>
      </c>
      <c r="E4246" s="1497">
        <v>40000</v>
      </c>
      <c r="F4246" s="1497"/>
      <c r="G4246" s="267" t="s">
        <v>27</v>
      </c>
      <c r="H4246" s="3"/>
    </row>
    <row r="4247" spans="1:8">
      <c r="A4247" s="270">
        <v>45224</v>
      </c>
      <c r="B4247" s="267"/>
      <c r="C4247" s="267" t="s">
        <v>205</v>
      </c>
      <c r="D4247" s="15" t="s">
        <v>2440</v>
      </c>
      <c r="E4247" s="1497">
        <v>66400</v>
      </c>
      <c r="F4247" s="1497"/>
      <c r="G4247" s="267" t="s">
        <v>27</v>
      </c>
      <c r="H4247" s="3"/>
    </row>
    <row r="4248" spans="1:8">
      <c r="A4248" s="270">
        <v>45224</v>
      </c>
      <c r="B4248" s="267"/>
      <c r="C4248" s="267" t="s">
        <v>205</v>
      </c>
      <c r="D4248" s="3" t="s">
        <v>63</v>
      </c>
      <c r="E4248" s="1497">
        <v>1500</v>
      </c>
      <c r="F4248" s="1497"/>
      <c r="G4248" s="267" t="s">
        <v>56</v>
      </c>
      <c r="H4248" s="3"/>
    </row>
    <row r="4249" spans="1:8">
      <c r="A4249" s="270">
        <v>45224</v>
      </c>
      <c r="B4249" s="267"/>
      <c r="C4249" s="267" t="s">
        <v>373</v>
      </c>
      <c r="D4249" s="3" t="s">
        <v>2360</v>
      </c>
      <c r="E4249" s="1497"/>
      <c r="F4249" s="1497">
        <v>240000</v>
      </c>
      <c r="G4249" s="267" t="s">
        <v>56</v>
      </c>
      <c r="H4249" s="3"/>
    </row>
    <row r="4250" spans="1:8">
      <c r="A4250" s="270">
        <v>45224</v>
      </c>
      <c r="B4250" s="267"/>
      <c r="C4250" s="267" t="s">
        <v>205</v>
      </c>
      <c r="D4250" s="3" t="s">
        <v>2441</v>
      </c>
      <c r="E4250" s="1497">
        <v>30000</v>
      </c>
      <c r="F4250" s="1497"/>
      <c r="G4250" s="267" t="s">
        <v>56</v>
      </c>
      <c r="H4250" s="3"/>
    </row>
    <row r="4251" spans="1:8">
      <c r="A4251" s="270">
        <v>45224</v>
      </c>
      <c r="B4251" s="267"/>
      <c r="C4251" s="267" t="s">
        <v>160</v>
      </c>
      <c r="D4251" s="3" t="s">
        <v>2442</v>
      </c>
      <c r="E4251" s="1497"/>
      <c r="F4251" s="1497">
        <v>26500</v>
      </c>
      <c r="G4251" s="267" t="s">
        <v>56</v>
      </c>
      <c r="H4251" s="3"/>
    </row>
    <row r="4252" spans="1:8">
      <c r="A4252" s="270">
        <v>45225</v>
      </c>
      <c r="B4252" s="267"/>
      <c r="C4252" s="267" t="s">
        <v>68</v>
      </c>
      <c r="D4252" s="3" t="s">
        <v>1951</v>
      </c>
      <c r="E4252" s="1497">
        <v>5500</v>
      </c>
      <c r="F4252" s="1497"/>
      <c r="G4252" s="267" t="s">
        <v>56</v>
      </c>
      <c r="H4252" s="3"/>
    </row>
    <row r="4253" spans="1:8">
      <c r="A4253" s="270">
        <v>45225</v>
      </c>
      <c r="B4253" s="267"/>
      <c r="C4253" s="267" t="s">
        <v>79</v>
      </c>
      <c r="D4253" s="3" t="s">
        <v>640</v>
      </c>
      <c r="E4253" s="1497">
        <v>40000</v>
      </c>
      <c r="F4253" s="1497"/>
      <c r="G4253" s="267" t="s">
        <v>27</v>
      </c>
      <c r="H4253" s="3"/>
    </row>
    <row r="4254" spans="1:8">
      <c r="A4254" s="270">
        <v>45225</v>
      </c>
      <c r="B4254" s="267"/>
      <c r="C4254" s="267" t="s">
        <v>88</v>
      </c>
      <c r="D4254" s="3" t="s">
        <v>2443</v>
      </c>
      <c r="E4254" s="1497">
        <v>10000</v>
      </c>
      <c r="F4254" s="1497"/>
      <c r="G4254" s="267" t="s">
        <v>56</v>
      </c>
      <c r="H4254" s="3"/>
    </row>
    <row r="4255" spans="1:8">
      <c r="A4255" s="270">
        <v>45225</v>
      </c>
      <c r="B4255" s="267"/>
      <c r="C4255" s="267" t="s">
        <v>2444</v>
      </c>
      <c r="D4255" s="3" t="s">
        <v>2358</v>
      </c>
      <c r="E4255" s="1497">
        <v>24315</v>
      </c>
      <c r="F4255" s="1497"/>
      <c r="G4255" s="267" t="s">
        <v>27</v>
      </c>
      <c r="H4255" s="3"/>
    </row>
    <row r="4256" spans="1:8">
      <c r="A4256" s="270">
        <v>45226</v>
      </c>
      <c r="B4256" s="267"/>
      <c r="C4256" s="267" t="s">
        <v>94</v>
      </c>
      <c r="D4256" s="3" t="s">
        <v>2445</v>
      </c>
      <c r="E4256" s="1497"/>
      <c r="F4256" s="1497">
        <v>19500</v>
      </c>
      <c r="G4256" s="267" t="s">
        <v>27</v>
      </c>
      <c r="H4256" s="3"/>
    </row>
    <row r="4257" spans="1:8">
      <c r="A4257" s="267" t="s">
        <v>2446</v>
      </c>
      <c r="B4257" s="267"/>
      <c r="C4257" s="267" t="s">
        <v>55</v>
      </c>
      <c r="D4257" s="3" t="s">
        <v>70</v>
      </c>
      <c r="E4257" s="1497">
        <v>1960</v>
      </c>
      <c r="F4257" s="1497"/>
      <c r="G4257" s="267" t="s">
        <v>56</v>
      </c>
      <c r="H4257" s="3"/>
    </row>
    <row r="4258" spans="1:8">
      <c r="A4258" s="270">
        <v>41574</v>
      </c>
      <c r="B4258" s="267"/>
      <c r="C4258" s="267" t="s">
        <v>77</v>
      </c>
      <c r="D4258" s="3" t="s">
        <v>2055</v>
      </c>
      <c r="E4258" s="1497"/>
      <c r="F4258" s="1497">
        <v>321800</v>
      </c>
      <c r="G4258" s="267" t="s">
        <v>56</v>
      </c>
      <c r="H4258" s="3"/>
    </row>
    <row r="4259" spans="1:8">
      <c r="A4259" s="270">
        <v>45226</v>
      </c>
      <c r="B4259" s="267"/>
      <c r="C4259" s="267" t="s">
        <v>537</v>
      </c>
      <c r="D4259" s="3" t="s">
        <v>208</v>
      </c>
      <c r="E4259" s="1497">
        <v>35000</v>
      </c>
      <c r="F4259" s="1497"/>
      <c r="G4259" s="267" t="s">
        <v>56</v>
      </c>
      <c r="H4259" s="3"/>
    </row>
    <row r="4260" spans="1:8">
      <c r="A4260" s="267" t="s">
        <v>2446</v>
      </c>
      <c r="B4260" s="267"/>
      <c r="C4260" s="267" t="s">
        <v>537</v>
      </c>
      <c r="D4260" s="3" t="s">
        <v>193</v>
      </c>
      <c r="E4260" s="1497">
        <v>36000</v>
      </c>
      <c r="F4260" s="1497"/>
      <c r="G4260" s="267" t="s">
        <v>56</v>
      </c>
      <c r="H4260" s="3"/>
    </row>
    <row r="4261" spans="1:8">
      <c r="A4261" s="270">
        <v>41574</v>
      </c>
      <c r="B4261" s="267"/>
      <c r="C4261" s="267" t="s">
        <v>537</v>
      </c>
      <c r="D4261" s="3" t="s">
        <v>219</v>
      </c>
      <c r="E4261" s="1497">
        <v>60000</v>
      </c>
      <c r="F4261" s="1497"/>
      <c r="G4261" s="267" t="s">
        <v>56</v>
      </c>
      <c r="H4261" s="3"/>
    </row>
    <row r="4262" spans="1:8">
      <c r="A4262" s="270">
        <v>45226</v>
      </c>
      <c r="B4262" s="267"/>
      <c r="C4262" s="267" t="s">
        <v>537</v>
      </c>
      <c r="D4262" s="3" t="s">
        <v>2428</v>
      </c>
      <c r="E4262" s="1497">
        <v>90000</v>
      </c>
      <c r="F4262" s="1497"/>
      <c r="G4262" s="267" t="s">
        <v>56</v>
      </c>
      <c r="H4262" s="3"/>
    </row>
    <row r="4263" spans="1:8" ht="15.75" thickBot="1">
      <c r="A4263" s="270">
        <v>45226</v>
      </c>
      <c r="B4263" s="267"/>
      <c r="C4263" s="267" t="s">
        <v>730</v>
      </c>
      <c r="D4263" s="15" t="s">
        <v>1599</v>
      </c>
      <c r="E4263" s="1497">
        <v>30000</v>
      </c>
      <c r="F4263" s="1497"/>
      <c r="G4263" s="267" t="s">
        <v>56</v>
      </c>
      <c r="H4263" s="85"/>
    </row>
    <row r="4264" spans="1:8" ht="15.75" thickBot="1">
      <c r="H4264" s="201">
        <v>45226</v>
      </c>
    </row>
    <row r="4265" spans="1:8">
      <c r="H4265" s="199" t="s">
        <v>2423</v>
      </c>
    </row>
    <row r="4266" spans="1:8">
      <c r="H4266" s="137" t="s">
        <v>2447</v>
      </c>
    </row>
    <row r="4267" spans="1:8">
      <c r="H4267" s="138" t="s">
        <v>2451</v>
      </c>
    </row>
    <row r="4268" spans="1:8">
      <c r="H4268" s="138" t="s">
        <v>2452</v>
      </c>
    </row>
    <row r="4269" spans="1:8">
      <c r="H4269" s="138" t="s">
        <v>2448</v>
      </c>
    </row>
    <row r="4270" spans="1:8">
      <c r="H4270" s="138" t="s">
        <v>2449</v>
      </c>
    </row>
    <row r="4271" spans="1:8">
      <c r="H4271" s="138" t="s">
        <v>2425</v>
      </c>
    </row>
    <row r="4272" spans="1:8">
      <c r="H4272" s="138" t="s">
        <v>1283</v>
      </c>
    </row>
    <row r="4273" spans="1:8">
      <c r="H4273" s="138" t="s">
        <v>1215</v>
      </c>
    </row>
    <row r="4274" spans="1:8" ht="15.75" thickBot="1">
      <c r="H4274" s="147" t="s">
        <v>2151</v>
      </c>
    </row>
    <row r="4275" spans="1:8" ht="15.75" thickBot="1">
      <c r="H4275" s="140" t="s">
        <v>2450</v>
      </c>
    </row>
    <row r="4276" spans="1:8" ht="15.75" thickBot="1">
      <c r="H4276" s="202" t="s">
        <v>2454</v>
      </c>
    </row>
    <row r="4277" spans="1:8">
      <c r="A4277" s="270">
        <v>45229</v>
      </c>
      <c r="B4277" s="267"/>
      <c r="C4277" s="267" t="s">
        <v>205</v>
      </c>
      <c r="D4277" s="3" t="s">
        <v>2453</v>
      </c>
      <c r="E4277" s="1497">
        <v>128086</v>
      </c>
      <c r="F4277" s="1497"/>
      <c r="G4277" s="267" t="s">
        <v>27</v>
      </c>
      <c r="H4277" s="5"/>
    </row>
    <row r="4278" spans="1:8">
      <c r="A4278" s="270">
        <v>45229</v>
      </c>
      <c r="B4278" s="267"/>
      <c r="C4278" s="267" t="s">
        <v>150</v>
      </c>
      <c r="D4278" s="3" t="s">
        <v>650</v>
      </c>
      <c r="E4278" s="1497">
        <v>7212.05</v>
      </c>
      <c r="F4278" s="1497"/>
      <c r="G4278" s="267" t="s">
        <v>27</v>
      </c>
      <c r="H4278" s="3"/>
    </row>
    <row r="4279" spans="1:8">
      <c r="A4279" s="270">
        <v>45229</v>
      </c>
      <c r="B4279" s="267"/>
      <c r="C4279" s="267" t="s">
        <v>79</v>
      </c>
      <c r="D4279" s="3" t="s">
        <v>2455</v>
      </c>
      <c r="E4279" s="1497">
        <v>153903.35999999999</v>
      </c>
      <c r="F4279" s="1497"/>
      <c r="G4279" s="267" t="s">
        <v>27</v>
      </c>
      <c r="H4279" s="3"/>
    </row>
    <row r="4280" spans="1:8">
      <c r="A4280" s="270">
        <v>45229</v>
      </c>
      <c r="B4280" s="267"/>
      <c r="C4280" s="267" t="s">
        <v>205</v>
      </c>
      <c r="D4280" s="3" t="s">
        <v>71</v>
      </c>
      <c r="E4280" s="1497">
        <v>20000</v>
      </c>
      <c r="F4280" s="1497"/>
      <c r="G4280" s="267" t="s">
        <v>27</v>
      </c>
      <c r="H4280" s="3"/>
    </row>
    <row r="4281" spans="1:8">
      <c r="A4281" s="270">
        <v>45229</v>
      </c>
      <c r="B4281" s="267"/>
      <c r="C4281" s="267" t="s">
        <v>205</v>
      </c>
      <c r="D4281" s="3" t="s">
        <v>71</v>
      </c>
      <c r="E4281" s="1497">
        <v>437200</v>
      </c>
      <c r="F4281" s="1497"/>
      <c r="G4281" s="267" t="s">
        <v>27</v>
      </c>
      <c r="H4281" s="3"/>
    </row>
    <row r="4282" spans="1:8">
      <c r="A4282" s="270">
        <v>45229</v>
      </c>
      <c r="B4282" s="267"/>
      <c r="C4282" s="267" t="s">
        <v>730</v>
      </c>
      <c r="D4282" s="3" t="s">
        <v>2456</v>
      </c>
      <c r="E4282" s="1497">
        <v>70000</v>
      </c>
      <c r="F4282" s="1497"/>
      <c r="G4282" s="267" t="s">
        <v>56</v>
      </c>
      <c r="H4282" s="3"/>
    </row>
    <row r="4283" spans="1:8">
      <c r="A4283" s="270">
        <v>45229</v>
      </c>
      <c r="B4283" s="267"/>
      <c r="C4283" s="267" t="s">
        <v>86</v>
      </c>
      <c r="D4283" s="3" t="s">
        <v>534</v>
      </c>
      <c r="E4283" s="1497">
        <v>13000</v>
      </c>
      <c r="F4283" s="1497"/>
      <c r="G4283" s="267" t="s">
        <v>27</v>
      </c>
      <c r="H4283" s="3"/>
    </row>
    <row r="4284" spans="1:8">
      <c r="A4284" s="270">
        <v>45229</v>
      </c>
      <c r="B4284" s="267"/>
      <c r="C4284" s="267" t="s">
        <v>86</v>
      </c>
      <c r="D4284" s="3" t="s">
        <v>534</v>
      </c>
      <c r="E4284" s="1497">
        <v>7000</v>
      </c>
      <c r="F4284" s="1497"/>
      <c r="G4284" s="267" t="s">
        <v>27</v>
      </c>
      <c r="H4284" s="3"/>
    </row>
    <row r="4285" spans="1:8" ht="15.75" thickBot="1">
      <c r="A4285" s="270">
        <v>45230</v>
      </c>
      <c r="B4285" s="267"/>
      <c r="C4285" s="267" t="s">
        <v>55</v>
      </c>
      <c r="D4285" s="3" t="s">
        <v>61</v>
      </c>
      <c r="E4285" s="1497">
        <v>2050</v>
      </c>
      <c r="F4285" s="1497"/>
      <c r="G4285" s="267" t="s">
        <v>56</v>
      </c>
      <c r="H4285" s="85"/>
    </row>
    <row r="4286" spans="1:8" ht="15.75" thickBot="1">
      <c r="A4286" s="244"/>
      <c r="B4286" s="244"/>
      <c r="C4286" s="244"/>
      <c r="D4286" s="115"/>
      <c r="E4286" s="1492"/>
      <c r="F4286" s="1492"/>
      <c r="G4286" s="244"/>
      <c r="H4286" s="201">
        <v>45230</v>
      </c>
    </row>
    <row r="4287" spans="1:8">
      <c r="A4287" s="244"/>
      <c r="B4287" s="244"/>
      <c r="C4287" s="244"/>
      <c r="D4287" s="115"/>
      <c r="E4287" s="1492"/>
      <c r="F4287" s="1492"/>
      <c r="G4287" s="244"/>
      <c r="H4287" s="199" t="s">
        <v>2423</v>
      </c>
    </row>
    <row r="4288" spans="1:8">
      <c r="A4288" s="244"/>
      <c r="B4288" s="244"/>
      <c r="C4288" s="244"/>
      <c r="D4288" s="115"/>
      <c r="E4288" s="1492"/>
      <c r="F4288" s="1492"/>
      <c r="G4288" s="244"/>
      <c r="H4288" s="137" t="s">
        <v>2447</v>
      </c>
    </row>
    <row r="4289" spans="1:1023 1025:2047 2049:3071 3073:4095 4097:5119 5121:6143 6145:7167 7169:8191 8193:9215 9217:10239 10241:11263 11265:12287 12289:13311 13313:14335 14337:15359 15361:16383">
      <c r="H4289" s="138" t="s">
        <v>2451</v>
      </c>
    </row>
    <row r="4290" spans="1:1023 1025:2047 2049:3071 3073:4095 4097:5119 5121:6143 6145:7167 7169:8191 8193:9215 9217:10239 10241:11263 11265:12287 12289:13311 13313:14335 14337:15359 15361:16383">
      <c r="H4290" s="138" t="s">
        <v>2452</v>
      </c>
    </row>
    <row r="4291" spans="1:1023 1025:2047 2049:3071 3073:4095 4097:5119 5121:6143 6145:7167 7169:8191 8193:9215 9217:10239 10241:11263 11265:12287 12289:13311 13313:14335 14337:15359 15361:16383">
      <c r="H4291" s="138" t="s">
        <v>2448</v>
      </c>
    </row>
    <row r="4292" spans="1:1023 1025:2047 2049:3071 3073:4095 4097:5119 5121:6143 6145:7167 7169:8191 8193:9215 9217:10239 10241:11263 11265:12287 12289:13311 13313:14335 14337:15359 15361:16383">
      <c r="H4292" s="138" t="s">
        <v>2449</v>
      </c>
    </row>
    <row r="4293" spans="1:1023 1025:2047 2049:3071 3073:4095 4097:5119 5121:6143 6145:7167 7169:8191 8193:9215 9217:10239 10241:11263 11265:12287 12289:13311 13313:14335 14337:15359 15361:16383">
      <c r="H4293" s="138" t="s">
        <v>2425</v>
      </c>
    </row>
    <row r="4294" spans="1:1023 1025:2047 2049:3071 3073:4095 4097:5119 5121:6143 6145:7167 7169:8191 8193:9215 9217:10239 10241:11263 11265:12287 12289:13311 13313:14335 14337:15359 15361:16383">
      <c r="H4294" s="138" t="s">
        <v>1283</v>
      </c>
    </row>
    <row r="4295" spans="1:1023 1025:2047 2049:3071 3073:4095 4097:5119 5121:6143 6145:7167 7169:8191 8193:9215 9217:10239 10241:11263 11265:12287 12289:13311 13313:14335 14337:15359 15361:16383">
      <c r="H4295" s="138" t="s">
        <v>1215</v>
      </c>
    </row>
    <row r="4296" spans="1:1023 1025:2047 2049:3071 3073:4095 4097:5119 5121:6143 6145:7167 7169:8191 8193:9215 9217:10239 10241:11263 11265:12287 12289:13311 13313:14335 14337:15359 15361:16383" ht="15.75" thickBot="1">
      <c r="H4296" s="147" t="s">
        <v>2151</v>
      </c>
    </row>
    <row r="4297" spans="1:1023 1025:2047 2049:3071 3073:4095 4097:5119 5121:6143 6145:7167 7169:8191 8193:9215 9217:10239 10241:11263 11265:12287 12289:13311 13313:14335 14337:15359 15361:16383" ht="15.75" thickBot="1">
      <c r="H4297" s="140" t="s">
        <v>2450</v>
      </c>
    </row>
    <row r="4298" spans="1:1023 1025:2047 2049:3071 3073:4095 4097:5119 5121:6143 6145:7167 7169:8191 8193:9215 9217:10239 10241:11263 11265:12287 12289:13311 13313:14335 14337:15359 15361:16383" ht="15.75" thickBot="1">
      <c r="H4298" s="202" t="s">
        <v>2454</v>
      </c>
    </row>
    <row r="4299" spans="1:1023 1025:2047 2049:3071 3073:4095 4097:5119 5121:6143 6145:7167 7169:8191 8193:9215 9217:10239 10241:11263 11265:12287 12289:13311 13313:14335 14337:15359 15361:16383">
      <c r="A4299" s="270">
        <v>45231</v>
      </c>
      <c r="B4299" s="267"/>
      <c r="C4299" s="267" t="s">
        <v>55</v>
      </c>
      <c r="D4299" s="3" t="s">
        <v>2458</v>
      </c>
      <c r="E4299" s="1497">
        <v>1200</v>
      </c>
      <c r="F4299" s="1497"/>
      <c r="G4299" s="267" t="s">
        <v>56</v>
      </c>
      <c r="H4299" s="5"/>
    </row>
    <row r="4300" spans="1:1023 1025:2047 2049:3071 3073:4095 4097:5119 5121:6143 6145:7167 7169:8191 8193:9215 9217:10239 10241:11263 11265:12287 12289:13311 13313:14335 14337:15359 15361:16383">
      <c r="A4300" s="270">
        <v>45231</v>
      </c>
      <c r="B4300" s="267"/>
      <c r="C4300" s="267" t="s">
        <v>2460</v>
      </c>
      <c r="D4300" s="3" t="s">
        <v>2459</v>
      </c>
      <c r="E4300" s="1497"/>
      <c r="F4300" s="1497">
        <v>133497</v>
      </c>
      <c r="G4300" s="267" t="s">
        <v>27</v>
      </c>
      <c r="H4300" s="3"/>
    </row>
    <row r="4301" spans="1:1023 1025:2047 2049:3071 3073:4095 4097:5119 5121:6143 6145:7167 7169:8191 8193:9215 9217:10239 10241:11263 11265:12287 12289:13311 13313:14335 14337:15359 15361:16383">
      <c r="A4301" s="270">
        <v>45231</v>
      </c>
      <c r="B4301" s="267"/>
      <c r="C4301" s="267" t="s">
        <v>55</v>
      </c>
      <c r="D4301" s="3" t="s">
        <v>70</v>
      </c>
      <c r="E4301" s="1497">
        <v>1900</v>
      </c>
      <c r="F4301" s="1497"/>
      <c r="G4301" s="267" t="s">
        <v>56</v>
      </c>
      <c r="H4301" s="3"/>
    </row>
    <row r="4302" spans="1:1023 1025:2047 2049:3071 3073:4095 4097:5119 5121:6143 6145:7167 7169:8191 8193:9215 9217:10239 10241:11263 11265:12287 12289:13311 13313:14335 14337:15359 15361:16383">
      <c r="A4302" s="270">
        <v>45231</v>
      </c>
      <c r="B4302" s="267"/>
      <c r="C4302" s="267" t="s">
        <v>55</v>
      </c>
      <c r="D4302" s="3" t="s">
        <v>2461</v>
      </c>
      <c r="E4302" s="1497">
        <v>11060</v>
      </c>
      <c r="F4302" s="1497"/>
      <c r="G4302" s="267" t="s">
        <v>56</v>
      </c>
      <c r="H4302" s="3"/>
    </row>
    <row r="4303" spans="1:1023 1025:2047 2049:3071 3073:4095 4097:5119 5121:6143 6145:7167 7169:8191 8193:9215 9217:10239 10241:11263 11265:12287 12289:13311 13313:14335 14337:15359 15361:16383">
      <c r="A4303" s="270">
        <v>45231</v>
      </c>
      <c r="B4303" s="267"/>
      <c r="C4303" s="267" t="s">
        <v>68</v>
      </c>
      <c r="D4303" s="3" t="s">
        <v>2463</v>
      </c>
      <c r="E4303" s="1497">
        <v>4000</v>
      </c>
      <c r="F4303" s="1497"/>
      <c r="G4303" s="267" t="s">
        <v>56</v>
      </c>
      <c r="H4303" s="3"/>
    </row>
    <row r="4304" spans="1:1023 1025:2047 2049:3071 3073:4095 4097:5119 5121:6143 6145:7167 7169:8191 8193:9215 9217:10239 10241:11263 11265:12287 12289:13311 13313:14335 14337:15359 15361:16383">
      <c r="A4304" s="270">
        <v>45231</v>
      </c>
      <c r="C4304" s="267" t="s">
        <v>79</v>
      </c>
      <c r="D4304" s="185" t="s">
        <v>667</v>
      </c>
      <c r="E4304" s="1497">
        <v>14460</v>
      </c>
      <c r="G4304" s="267" t="s">
        <v>27</v>
      </c>
      <c r="I4304" s="247"/>
      <c r="J4304" s="204"/>
      <c r="K4304" s="204"/>
      <c r="L4304" s="185" t="s">
        <v>667</v>
      </c>
      <c r="M4304" s="205">
        <v>14460</v>
      </c>
      <c r="N4304" s="204"/>
      <c r="O4304" s="204"/>
      <c r="Q4304" s="204"/>
      <c r="R4304" s="204"/>
      <c r="S4304" s="204"/>
      <c r="T4304" s="185" t="s">
        <v>667</v>
      </c>
      <c r="U4304" s="205">
        <v>14460</v>
      </c>
      <c r="V4304" s="204"/>
      <c r="W4304" s="204"/>
      <c r="Y4304" s="204"/>
      <c r="Z4304" s="204"/>
      <c r="AA4304" s="204"/>
      <c r="AB4304" s="185" t="s">
        <v>667</v>
      </c>
      <c r="AC4304" s="205">
        <v>14460</v>
      </c>
      <c r="AD4304" s="204"/>
      <c r="AE4304" s="204"/>
      <c r="AG4304" s="204"/>
      <c r="AH4304" s="204"/>
      <c r="AI4304" s="204"/>
      <c r="AJ4304" s="185" t="s">
        <v>667</v>
      </c>
      <c r="AK4304" s="205">
        <v>14460</v>
      </c>
      <c r="AL4304" s="204"/>
      <c r="AM4304" s="204"/>
      <c r="AO4304" s="204"/>
      <c r="AP4304" s="204"/>
      <c r="AQ4304" s="204"/>
      <c r="AR4304" s="185" t="s">
        <v>667</v>
      </c>
      <c r="AS4304" s="205">
        <v>14460</v>
      </c>
      <c r="AT4304" s="204"/>
      <c r="AU4304" s="204"/>
      <c r="AW4304" s="204"/>
      <c r="AX4304" s="204"/>
      <c r="AY4304" s="204"/>
      <c r="AZ4304" s="185" t="s">
        <v>667</v>
      </c>
      <c r="BA4304" s="205">
        <v>14460</v>
      </c>
      <c r="BB4304" s="204"/>
      <c r="BC4304" s="204"/>
      <c r="BE4304" s="204"/>
      <c r="BF4304" s="204"/>
      <c r="BG4304" s="204"/>
      <c r="BH4304" s="185" t="s">
        <v>667</v>
      </c>
      <c r="BI4304" s="205">
        <v>14460</v>
      </c>
      <c r="BJ4304" s="204"/>
      <c r="BK4304" s="204"/>
      <c r="BM4304" s="204"/>
      <c r="BN4304" s="204"/>
      <c r="BO4304" s="204"/>
      <c r="BP4304" s="185" t="s">
        <v>667</v>
      </c>
      <c r="BQ4304" s="205">
        <v>14460</v>
      </c>
      <c r="BR4304" s="204"/>
      <c r="BS4304" s="204"/>
      <c r="BU4304" s="204"/>
      <c r="BV4304" s="204"/>
      <c r="BW4304" s="204"/>
      <c r="BX4304" s="185" t="s">
        <v>667</v>
      </c>
      <c r="BY4304" s="205">
        <v>14460</v>
      </c>
      <c r="BZ4304" s="204"/>
      <c r="CA4304" s="204"/>
      <c r="CC4304" s="204"/>
      <c r="CD4304" s="204"/>
      <c r="CE4304" s="204"/>
      <c r="CF4304" s="185" t="s">
        <v>667</v>
      </c>
      <c r="CG4304" s="205">
        <v>14460</v>
      </c>
      <c r="CH4304" s="204"/>
      <c r="CI4304" s="204"/>
      <c r="CK4304" s="204"/>
      <c r="CL4304" s="204"/>
      <c r="CM4304" s="204"/>
      <c r="CN4304" s="185" t="s">
        <v>667</v>
      </c>
      <c r="CO4304" s="205">
        <v>14460</v>
      </c>
      <c r="CP4304" s="204"/>
      <c r="CQ4304" s="204"/>
      <c r="CS4304" s="204"/>
      <c r="CT4304" s="204"/>
      <c r="CU4304" s="204"/>
      <c r="CV4304" s="185" t="s">
        <v>667</v>
      </c>
      <c r="CW4304" s="205">
        <v>14460</v>
      </c>
      <c r="CX4304" s="204"/>
      <c r="CY4304" s="204"/>
      <c r="DA4304" s="204"/>
      <c r="DB4304" s="204"/>
      <c r="DC4304" s="204"/>
      <c r="DD4304" s="185" t="s">
        <v>667</v>
      </c>
      <c r="DE4304" s="205">
        <v>14460</v>
      </c>
      <c r="DF4304" s="204"/>
      <c r="DG4304" s="204"/>
      <c r="DI4304" s="204"/>
      <c r="DJ4304" s="204"/>
      <c r="DK4304" s="204"/>
      <c r="DL4304" s="185" t="s">
        <v>667</v>
      </c>
      <c r="DM4304" s="205">
        <v>14460</v>
      </c>
      <c r="DN4304" s="204"/>
      <c r="DO4304" s="204"/>
      <c r="DQ4304" s="204"/>
      <c r="DR4304" s="204"/>
      <c r="DS4304" s="204"/>
      <c r="DT4304" s="185" t="s">
        <v>667</v>
      </c>
      <c r="DU4304" s="205">
        <v>14460</v>
      </c>
      <c r="DV4304" s="204"/>
      <c r="DW4304" s="204"/>
      <c r="DY4304" s="204"/>
      <c r="DZ4304" s="204"/>
      <c r="EA4304" s="204"/>
      <c r="EB4304" s="185" t="s">
        <v>667</v>
      </c>
      <c r="EC4304" s="205">
        <v>14460</v>
      </c>
      <c r="ED4304" s="204"/>
      <c r="EE4304" s="204"/>
      <c r="EG4304" s="204"/>
      <c r="EH4304" s="204"/>
      <c r="EI4304" s="204"/>
      <c r="EJ4304" s="185" t="s">
        <v>667</v>
      </c>
      <c r="EK4304" s="205">
        <v>14460</v>
      </c>
      <c r="EL4304" s="204"/>
      <c r="EM4304" s="204"/>
      <c r="EO4304" s="204"/>
      <c r="EP4304" s="204"/>
      <c r="EQ4304" s="204"/>
      <c r="ER4304" s="185" t="s">
        <v>667</v>
      </c>
      <c r="ES4304" s="205">
        <v>14460</v>
      </c>
      <c r="ET4304" s="204"/>
      <c r="EU4304" s="204"/>
      <c r="EW4304" s="204"/>
      <c r="EX4304" s="204"/>
      <c r="EY4304" s="204"/>
      <c r="EZ4304" s="185" t="s">
        <v>667</v>
      </c>
      <c r="FA4304" s="205">
        <v>14460</v>
      </c>
      <c r="FB4304" s="204"/>
      <c r="FC4304" s="204"/>
      <c r="FE4304" s="204"/>
      <c r="FF4304" s="204"/>
      <c r="FG4304" s="204"/>
      <c r="FH4304" s="185" t="s">
        <v>667</v>
      </c>
      <c r="FI4304" s="205">
        <v>14460</v>
      </c>
      <c r="FJ4304" s="204"/>
      <c r="FK4304" s="204"/>
      <c r="FM4304" s="204"/>
      <c r="FN4304" s="204"/>
      <c r="FO4304" s="204"/>
      <c r="FP4304" s="185" t="s">
        <v>667</v>
      </c>
      <c r="FQ4304" s="205">
        <v>14460</v>
      </c>
      <c r="FR4304" s="204"/>
      <c r="FS4304" s="204"/>
      <c r="FU4304" s="204"/>
      <c r="FV4304" s="204"/>
      <c r="FW4304" s="204"/>
      <c r="FX4304" s="185" t="s">
        <v>667</v>
      </c>
      <c r="FY4304" s="205">
        <v>14460</v>
      </c>
      <c r="FZ4304" s="204"/>
      <c r="GA4304" s="204"/>
      <c r="GC4304" s="204"/>
      <c r="GD4304" s="204"/>
      <c r="GE4304" s="204"/>
      <c r="GF4304" s="185" t="s">
        <v>667</v>
      </c>
      <c r="GG4304" s="205">
        <v>14460</v>
      </c>
      <c r="GH4304" s="204"/>
      <c r="GI4304" s="204"/>
      <c r="GK4304" s="204"/>
      <c r="GL4304" s="204"/>
      <c r="GM4304" s="204"/>
      <c r="GN4304" s="185" t="s">
        <v>667</v>
      </c>
      <c r="GO4304" s="205">
        <v>14460</v>
      </c>
      <c r="GP4304" s="204"/>
      <c r="GQ4304" s="204"/>
      <c r="GS4304" s="204"/>
      <c r="GT4304" s="204"/>
      <c r="GU4304" s="204"/>
      <c r="GV4304" s="185" t="s">
        <v>667</v>
      </c>
      <c r="GW4304" s="205">
        <v>14460</v>
      </c>
      <c r="GX4304" s="204"/>
      <c r="GY4304" s="204"/>
      <c r="HA4304" s="204"/>
      <c r="HB4304" s="204"/>
      <c r="HC4304" s="204"/>
      <c r="HD4304" s="185" t="s">
        <v>667</v>
      </c>
      <c r="HE4304" s="205">
        <v>14460</v>
      </c>
      <c r="HF4304" s="204"/>
      <c r="HG4304" s="204"/>
      <c r="HI4304" s="204"/>
      <c r="HJ4304" s="204"/>
      <c r="HK4304" s="204"/>
      <c r="HL4304" s="185" t="s">
        <v>667</v>
      </c>
      <c r="HM4304" s="205">
        <v>14460</v>
      </c>
      <c r="HN4304" s="204"/>
      <c r="HO4304" s="204"/>
      <c r="HQ4304" s="204"/>
      <c r="HR4304" s="204"/>
      <c r="HS4304" s="204"/>
      <c r="HT4304" s="185" t="s">
        <v>667</v>
      </c>
      <c r="HU4304" s="205">
        <v>14460</v>
      </c>
      <c r="HV4304" s="204"/>
      <c r="HW4304" s="204"/>
      <c r="HY4304" s="204"/>
      <c r="HZ4304" s="204"/>
      <c r="IA4304" s="204"/>
      <c r="IB4304" s="185" t="s">
        <v>667</v>
      </c>
      <c r="IC4304" s="205">
        <v>14460</v>
      </c>
      <c r="ID4304" s="204"/>
      <c r="IE4304" s="204"/>
      <c r="IG4304" s="204"/>
      <c r="IH4304" s="204"/>
      <c r="II4304" s="204"/>
      <c r="IJ4304" s="185" t="s">
        <v>667</v>
      </c>
      <c r="IK4304" s="205">
        <v>14460</v>
      </c>
      <c r="IL4304" s="204"/>
      <c r="IM4304" s="204"/>
      <c r="IO4304" s="204"/>
      <c r="IP4304" s="204"/>
      <c r="IQ4304" s="204"/>
      <c r="IR4304" s="185" t="s">
        <v>667</v>
      </c>
      <c r="IS4304" s="205">
        <v>14460</v>
      </c>
      <c r="IT4304" s="204"/>
      <c r="IU4304" s="204"/>
      <c r="IW4304" s="204"/>
      <c r="IX4304" s="204"/>
      <c r="IY4304" s="204"/>
      <c r="IZ4304" s="185" t="s">
        <v>667</v>
      </c>
      <c r="JA4304" s="205">
        <v>14460</v>
      </c>
      <c r="JB4304" s="204"/>
      <c r="JC4304" s="204"/>
      <c r="JE4304" s="204"/>
      <c r="JF4304" s="204"/>
      <c r="JG4304" s="204"/>
      <c r="JH4304" s="185" t="s">
        <v>667</v>
      </c>
      <c r="JI4304" s="205">
        <v>14460</v>
      </c>
      <c r="JJ4304" s="204"/>
      <c r="JK4304" s="204"/>
      <c r="JM4304" s="204"/>
      <c r="JN4304" s="204"/>
      <c r="JO4304" s="204"/>
      <c r="JP4304" s="185" t="s">
        <v>667</v>
      </c>
      <c r="JQ4304" s="205">
        <v>14460</v>
      </c>
      <c r="JR4304" s="204"/>
      <c r="JS4304" s="204"/>
      <c r="JU4304" s="204"/>
      <c r="JV4304" s="204"/>
      <c r="JW4304" s="204"/>
      <c r="JX4304" s="185" t="s">
        <v>667</v>
      </c>
      <c r="JY4304" s="205">
        <v>14460</v>
      </c>
      <c r="JZ4304" s="204"/>
      <c r="KA4304" s="204"/>
      <c r="KC4304" s="204"/>
      <c r="KD4304" s="204"/>
      <c r="KE4304" s="204"/>
      <c r="KF4304" s="185" t="s">
        <v>667</v>
      </c>
      <c r="KG4304" s="205">
        <v>14460</v>
      </c>
      <c r="KH4304" s="204"/>
      <c r="KI4304" s="204"/>
      <c r="KK4304" s="204"/>
      <c r="KL4304" s="204"/>
      <c r="KM4304" s="204"/>
      <c r="KN4304" s="185" t="s">
        <v>667</v>
      </c>
      <c r="KO4304" s="205">
        <v>14460</v>
      </c>
      <c r="KP4304" s="204"/>
      <c r="KQ4304" s="204"/>
      <c r="KS4304" s="204"/>
      <c r="KT4304" s="204"/>
      <c r="KU4304" s="204"/>
      <c r="KV4304" s="185" t="s">
        <v>667</v>
      </c>
      <c r="KW4304" s="205">
        <v>14460</v>
      </c>
      <c r="KX4304" s="204"/>
      <c r="KY4304" s="204"/>
      <c r="LA4304" s="204"/>
      <c r="LB4304" s="204"/>
      <c r="LC4304" s="204"/>
      <c r="LD4304" s="185" t="s">
        <v>667</v>
      </c>
      <c r="LE4304" s="205">
        <v>14460</v>
      </c>
      <c r="LF4304" s="204"/>
      <c r="LG4304" s="204"/>
      <c r="LI4304" s="204"/>
      <c r="LJ4304" s="204"/>
      <c r="LK4304" s="204"/>
      <c r="LL4304" s="185" t="s">
        <v>667</v>
      </c>
      <c r="LM4304" s="205">
        <v>14460</v>
      </c>
      <c r="LN4304" s="204"/>
      <c r="LO4304" s="204"/>
      <c r="LQ4304" s="204"/>
      <c r="LR4304" s="204"/>
      <c r="LS4304" s="204"/>
      <c r="LT4304" s="185" t="s">
        <v>667</v>
      </c>
      <c r="LU4304" s="205">
        <v>14460</v>
      </c>
      <c r="LV4304" s="204"/>
      <c r="LW4304" s="204"/>
      <c r="LY4304" s="204"/>
      <c r="LZ4304" s="204"/>
      <c r="MA4304" s="204"/>
      <c r="MB4304" s="185" t="s">
        <v>667</v>
      </c>
      <c r="MC4304" s="205">
        <v>14460</v>
      </c>
      <c r="MD4304" s="204"/>
      <c r="ME4304" s="204"/>
      <c r="MG4304" s="204"/>
      <c r="MH4304" s="204"/>
      <c r="MI4304" s="204"/>
      <c r="MJ4304" s="185" t="s">
        <v>667</v>
      </c>
      <c r="MK4304" s="205">
        <v>14460</v>
      </c>
      <c r="ML4304" s="204"/>
      <c r="MM4304" s="204"/>
      <c r="MO4304" s="204"/>
      <c r="MP4304" s="204"/>
      <c r="MQ4304" s="204"/>
      <c r="MR4304" s="185" t="s">
        <v>667</v>
      </c>
      <c r="MS4304" s="205">
        <v>14460</v>
      </c>
      <c r="MT4304" s="204"/>
      <c r="MU4304" s="204"/>
      <c r="MW4304" s="204"/>
      <c r="MX4304" s="204"/>
      <c r="MY4304" s="204"/>
      <c r="MZ4304" s="185" t="s">
        <v>667</v>
      </c>
      <c r="NA4304" s="205">
        <v>14460</v>
      </c>
      <c r="NB4304" s="204"/>
      <c r="NC4304" s="204"/>
      <c r="NE4304" s="204"/>
      <c r="NF4304" s="204"/>
      <c r="NG4304" s="204"/>
      <c r="NH4304" s="185" t="s">
        <v>667</v>
      </c>
      <c r="NI4304" s="205">
        <v>14460</v>
      </c>
      <c r="NJ4304" s="204"/>
      <c r="NK4304" s="204"/>
      <c r="NM4304" s="204"/>
      <c r="NN4304" s="204"/>
      <c r="NO4304" s="204"/>
      <c r="NP4304" s="185" t="s">
        <v>667</v>
      </c>
      <c r="NQ4304" s="205">
        <v>14460</v>
      </c>
      <c r="NR4304" s="204"/>
      <c r="NS4304" s="204"/>
      <c r="NU4304" s="204"/>
      <c r="NV4304" s="204"/>
      <c r="NW4304" s="204"/>
      <c r="NX4304" s="185" t="s">
        <v>667</v>
      </c>
      <c r="NY4304" s="205">
        <v>14460</v>
      </c>
      <c r="NZ4304" s="204"/>
      <c r="OA4304" s="204"/>
      <c r="OC4304" s="204"/>
      <c r="OD4304" s="204"/>
      <c r="OE4304" s="204"/>
      <c r="OF4304" s="185" t="s">
        <v>667</v>
      </c>
      <c r="OG4304" s="205">
        <v>14460</v>
      </c>
      <c r="OH4304" s="204"/>
      <c r="OI4304" s="204"/>
      <c r="OK4304" s="204"/>
      <c r="OL4304" s="204"/>
      <c r="OM4304" s="204"/>
      <c r="ON4304" s="185" t="s">
        <v>667</v>
      </c>
      <c r="OO4304" s="205">
        <v>14460</v>
      </c>
      <c r="OP4304" s="204"/>
      <c r="OQ4304" s="204"/>
      <c r="OS4304" s="204"/>
      <c r="OT4304" s="204"/>
      <c r="OU4304" s="204"/>
      <c r="OV4304" s="185" t="s">
        <v>667</v>
      </c>
      <c r="OW4304" s="205">
        <v>14460</v>
      </c>
      <c r="OX4304" s="204"/>
      <c r="OY4304" s="204"/>
      <c r="PA4304" s="204"/>
      <c r="PB4304" s="204"/>
      <c r="PC4304" s="204"/>
      <c r="PD4304" s="185" t="s">
        <v>667</v>
      </c>
      <c r="PE4304" s="205">
        <v>14460</v>
      </c>
      <c r="PF4304" s="204"/>
      <c r="PG4304" s="204"/>
      <c r="PI4304" s="204"/>
      <c r="PJ4304" s="204"/>
      <c r="PK4304" s="204"/>
      <c r="PL4304" s="185" t="s">
        <v>667</v>
      </c>
      <c r="PM4304" s="205">
        <v>14460</v>
      </c>
      <c r="PN4304" s="204"/>
      <c r="PO4304" s="204"/>
      <c r="PQ4304" s="204"/>
      <c r="PR4304" s="204"/>
      <c r="PS4304" s="204"/>
      <c r="PT4304" s="185" t="s">
        <v>667</v>
      </c>
      <c r="PU4304" s="205">
        <v>14460</v>
      </c>
      <c r="PV4304" s="204"/>
      <c r="PW4304" s="204"/>
      <c r="PY4304" s="204"/>
      <c r="PZ4304" s="204"/>
      <c r="QA4304" s="204"/>
      <c r="QB4304" s="185" t="s">
        <v>667</v>
      </c>
      <c r="QC4304" s="205">
        <v>14460</v>
      </c>
      <c r="QD4304" s="204"/>
      <c r="QE4304" s="204"/>
      <c r="QG4304" s="204"/>
      <c r="QH4304" s="204"/>
      <c r="QI4304" s="204"/>
      <c r="QJ4304" s="185" t="s">
        <v>667</v>
      </c>
      <c r="QK4304" s="205">
        <v>14460</v>
      </c>
      <c r="QL4304" s="204"/>
      <c r="QM4304" s="204"/>
      <c r="QO4304" s="204"/>
      <c r="QP4304" s="204"/>
      <c r="QQ4304" s="204"/>
      <c r="QR4304" s="185" t="s">
        <v>667</v>
      </c>
      <c r="QS4304" s="205">
        <v>14460</v>
      </c>
      <c r="QT4304" s="204"/>
      <c r="QU4304" s="204"/>
      <c r="QW4304" s="204"/>
      <c r="QX4304" s="204"/>
      <c r="QY4304" s="204"/>
      <c r="QZ4304" s="185" t="s">
        <v>667</v>
      </c>
      <c r="RA4304" s="205">
        <v>14460</v>
      </c>
      <c r="RB4304" s="204"/>
      <c r="RC4304" s="204"/>
      <c r="RE4304" s="204"/>
      <c r="RF4304" s="204"/>
      <c r="RG4304" s="204"/>
      <c r="RH4304" s="185" t="s">
        <v>667</v>
      </c>
      <c r="RI4304" s="205">
        <v>14460</v>
      </c>
      <c r="RJ4304" s="204"/>
      <c r="RK4304" s="204"/>
      <c r="RM4304" s="204"/>
      <c r="RN4304" s="204"/>
      <c r="RO4304" s="204"/>
      <c r="RP4304" s="185" t="s">
        <v>667</v>
      </c>
      <c r="RQ4304" s="205">
        <v>14460</v>
      </c>
      <c r="RR4304" s="204"/>
      <c r="RS4304" s="204"/>
      <c r="RU4304" s="204"/>
      <c r="RV4304" s="204"/>
      <c r="RW4304" s="204"/>
      <c r="RX4304" s="185" t="s">
        <v>667</v>
      </c>
      <c r="RY4304" s="205">
        <v>14460</v>
      </c>
      <c r="RZ4304" s="204"/>
      <c r="SA4304" s="204"/>
      <c r="SC4304" s="204"/>
      <c r="SD4304" s="204"/>
      <c r="SE4304" s="204"/>
      <c r="SF4304" s="185" t="s">
        <v>667</v>
      </c>
      <c r="SG4304" s="205">
        <v>14460</v>
      </c>
      <c r="SH4304" s="204"/>
      <c r="SI4304" s="204"/>
      <c r="SK4304" s="204"/>
      <c r="SL4304" s="204"/>
      <c r="SM4304" s="204"/>
      <c r="SN4304" s="185" t="s">
        <v>667</v>
      </c>
      <c r="SO4304" s="205">
        <v>14460</v>
      </c>
      <c r="SP4304" s="204"/>
      <c r="SQ4304" s="204"/>
      <c r="SS4304" s="204"/>
      <c r="ST4304" s="204"/>
      <c r="SU4304" s="204"/>
      <c r="SV4304" s="185" t="s">
        <v>667</v>
      </c>
      <c r="SW4304" s="205">
        <v>14460</v>
      </c>
      <c r="SX4304" s="204"/>
      <c r="SY4304" s="204"/>
      <c r="TA4304" s="204"/>
      <c r="TB4304" s="204"/>
      <c r="TC4304" s="204"/>
      <c r="TD4304" s="185" t="s">
        <v>667</v>
      </c>
      <c r="TE4304" s="205">
        <v>14460</v>
      </c>
      <c r="TF4304" s="204"/>
      <c r="TG4304" s="204"/>
      <c r="TI4304" s="204"/>
      <c r="TJ4304" s="204"/>
      <c r="TK4304" s="204"/>
      <c r="TL4304" s="185" t="s">
        <v>667</v>
      </c>
      <c r="TM4304" s="205">
        <v>14460</v>
      </c>
      <c r="TN4304" s="204"/>
      <c r="TO4304" s="204"/>
      <c r="TQ4304" s="204"/>
      <c r="TR4304" s="204"/>
      <c r="TS4304" s="204"/>
      <c r="TT4304" s="185" t="s">
        <v>667</v>
      </c>
      <c r="TU4304" s="205">
        <v>14460</v>
      </c>
      <c r="TV4304" s="204"/>
      <c r="TW4304" s="204"/>
      <c r="TY4304" s="204"/>
      <c r="TZ4304" s="204"/>
      <c r="UA4304" s="204"/>
      <c r="UB4304" s="185" t="s">
        <v>667</v>
      </c>
      <c r="UC4304" s="205">
        <v>14460</v>
      </c>
      <c r="UD4304" s="204"/>
      <c r="UE4304" s="204"/>
      <c r="UG4304" s="204"/>
      <c r="UH4304" s="204"/>
      <c r="UI4304" s="204"/>
      <c r="UJ4304" s="185" t="s">
        <v>667</v>
      </c>
      <c r="UK4304" s="205">
        <v>14460</v>
      </c>
      <c r="UL4304" s="204"/>
      <c r="UM4304" s="204"/>
      <c r="UO4304" s="204"/>
      <c r="UP4304" s="204"/>
      <c r="UQ4304" s="204"/>
      <c r="UR4304" s="185" t="s">
        <v>667</v>
      </c>
      <c r="US4304" s="205">
        <v>14460</v>
      </c>
      <c r="UT4304" s="204"/>
      <c r="UU4304" s="204"/>
      <c r="UW4304" s="204"/>
      <c r="UX4304" s="204"/>
      <c r="UY4304" s="204"/>
      <c r="UZ4304" s="185" t="s">
        <v>667</v>
      </c>
      <c r="VA4304" s="205">
        <v>14460</v>
      </c>
      <c r="VB4304" s="204"/>
      <c r="VC4304" s="204"/>
      <c r="VE4304" s="204"/>
      <c r="VF4304" s="204"/>
      <c r="VG4304" s="204"/>
      <c r="VH4304" s="185" t="s">
        <v>667</v>
      </c>
      <c r="VI4304" s="205">
        <v>14460</v>
      </c>
      <c r="VJ4304" s="204"/>
      <c r="VK4304" s="204"/>
      <c r="VM4304" s="204"/>
      <c r="VN4304" s="204"/>
      <c r="VO4304" s="204"/>
      <c r="VP4304" s="185" t="s">
        <v>667</v>
      </c>
      <c r="VQ4304" s="205">
        <v>14460</v>
      </c>
      <c r="VR4304" s="204"/>
      <c r="VS4304" s="204"/>
      <c r="VU4304" s="204"/>
      <c r="VV4304" s="204"/>
      <c r="VW4304" s="204"/>
      <c r="VX4304" s="185" t="s">
        <v>667</v>
      </c>
      <c r="VY4304" s="205">
        <v>14460</v>
      </c>
      <c r="VZ4304" s="204"/>
      <c r="WA4304" s="204"/>
      <c r="WC4304" s="204"/>
      <c r="WD4304" s="204"/>
      <c r="WE4304" s="204"/>
      <c r="WF4304" s="185" t="s">
        <v>667</v>
      </c>
      <c r="WG4304" s="205">
        <v>14460</v>
      </c>
      <c r="WH4304" s="204"/>
      <c r="WI4304" s="204"/>
      <c r="WK4304" s="204"/>
      <c r="WL4304" s="204"/>
      <c r="WM4304" s="204"/>
      <c r="WN4304" s="185" t="s">
        <v>667</v>
      </c>
      <c r="WO4304" s="205">
        <v>14460</v>
      </c>
      <c r="WP4304" s="204"/>
      <c r="WQ4304" s="204"/>
      <c r="WS4304" s="204"/>
      <c r="WT4304" s="204"/>
      <c r="WU4304" s="204"/>
      <c r="WV4304" s="185" t="s">
        <v>667</v>
      </c>
      <c r="WW4304" s="205">
        <v>14460</v>
      </c>
      <c r="WX4304" s="204"/>
      <c r="WY4304" s="204"/>
      <c r="XA4304" s="204"/>
      <c r="XB4304" s="204"/>
      <c r="XC4304" s="204"/>
      <c r="XD4304" s="185" t="s">
        <v>667</v>
      </c>
      <c r="XE4304" s="205">
        <v>14460</v>
      </c>
      <c r="XF4304" s="204"/>
      <c r="XG4304" s="204"/>
      <c r="XI4304" s="204"/>
      <c r="XJ4304" s="204"/>
      <c r="XK4304" s="204"/>
      <c r="XL4304" s="185" t="s">
        <v>667</v>
      </c>
      <c r="XM4304" s="205">
        <v>14460</v>
      </c>
      <c r="XN4304" s="204"/>
      <c r="XO4304" s="204"/>
      <c r="XQ4304" s="204"/>
      <c r="XR4304" s="204"/>
      <c r="XS4304" s="204"/>
      <c r="XT4304" s="185" t="s">
        <v>667</v>
      </c>
      <c r="XU4304" s="205">
        <v>14460</v>
      </c>
      <c r="XV4304" s="204"/>
      <c r="XW4304" s="204"/>
      <c r="XY4304" s="204"/>
      <c r="XZ4304" s="204"/>
      <c r="YA4304" s="204"/>
      <c r="YB4304" s="185" t="s">
        <v>667</v>
      </c>
      <c r="YC4304" s="205">
        <v>14460</v>
      </c>
      <c r="YD4304" s="204"/>
      <c r="YE4304" s="204"/>
      <c r="YG4304" s="204"/>
      <c r="YH4304" s="204"/>
      <c r="YI4304" s="204"/>
      <c r="YJ4304" s="185" t="s">
        <v>667</v>
      </c>
      <c r="YK4304" s="205">
        <v>14460</v>
      </c>
      <c r="YL4304" s="204"/>
      <c r="YM4304" s="204"/>
      <c r="YO4304" s="204"/>
      <c r="YP4304" s="204"/>
      <c r="YQ4304" s="204"/>
      <c r="YR4304" s="185" t="s">
        <v>667</v>
      </c>
      <c r="YS4304" s="205">
        <v>14460</v>
      </c>
      <c r="YT4304" s="204"/>
      <c r="YU4304" s="204"/>
      <c r="YW4304" s="204"/>
      <c r="YX4304" s="204"/>
      <c r="YY4304" s="204"/>
      <c r="YZ4304" s="185" t="s">
        <v>667</v>
      </c>
      <c r="ZA4304" s="205">
        <v>14460</v>
      </c>
      <c r="ZB4304" s="204"/>
      <c r="ZC4304" s="204"/>
      <c r="ZE4304" s="204"/>
      <c r="ZF4304" s="204"/>
      <c r="ZG4304" s="204"/>
      <c r="ZH4304" s="185" t="s">
        <v>667</v>
      </c>
      <c r="ZI4304" s="205">
        <v>14460</v>
      </c>
      <c r="ZJ4304" s="204"/>
      <c r="ZK4304" s="204"/>
      <c r="ZM4304" s="204"/>
      <c r="ZN4304" s="204"/>
      <c r="ZO4304" s="204"/>
      <c r="ZP4304" s="185" t="s">
        <v>667</v>
      </c>
      <c r="ZQ4304" s="205">
        <v>14460</v>
      </c>
      <c r="ZR4304" s="204"/>
      <c r="ZS4304" s="204"/>
      <c r="ZU4304" s="204"/>
      <c r="ZV4304" s="204"/>
      <c r="ZW4304" s="204"/>
      <c r="ZX4304" s="185" t="s">
        <v>667</v>
      </c>
      <c r="ZY4304" s="205">
        <v>14460</v>
      </c>
      <c r="ZZ4304" s="204"/>
      <c r="AAA4304" s="204"/>
      <c r="AAC4304" s="204"/>
      <c r="AAD4304" s="204"/>
      <c r="AAE4304" s="204"/>
      <c r="AAF4304" s="185" t="s">
        <v>667</v>
      </c>
      <c r="AAG4304" s="205">
        <v>14460</v>
      </c>
      <c r="AAH4304" s="204"/>
      <c r="AAI4304" s="204"/>
      <c r="AAK4304" s="204"/>
      <c r="AAL4304" s="204"/>
      <c r="AAM4304" s="204"/>
      <c r="AAN4304" s="185" t="s">
        <v>667</v>
      </c>
      <c r="AAO4304" s="205">
        <v>14460</v>
      </c>
      <c r="AAP4304" s="204"/>
      <c r="AAQ4304" s="204"/>
      <c r="AAS4304" s="204"/>
      <c r="AAT4304" s="204"/>
      <c r="AAU4304" s="204"/>
      <c r="AAV4304" s="185" t="s">
        <v>667</v>
      </c>
      <c r="AAW4304" s="205">
        <v>14460</v>
      </c>
      <c r="AAX4304" s="204"/>
      <c r="AAY4304" s="204"/>
      <c r="ABA4304" s="204"/>
      <c r="ABB4304" s="204"/>
      <c r="ABC4304" s="204"/>
      <c r="ABD4304" s="185" t="s">
        <v>667</v>
      </c>
      <c r="ABE4304" s="205">
        <v>14460</v>
      </c>
      <c r="ABF4304" s="204"/>
      <c r="ABG4304" s="204"/>
      <c r="ABI4304" s="204"/>
      <c r="ABJ4304" s="204"/>
      <c r="ABK4304" s="204"/>
      <c r="ABL4304" s="185" t="s">
        <v>667</v>
      </c>
      <c r="ABM4304" s="205">
        <v>14460</v>
      </c>
      <c r="ABN4304" s="204"/>
      <c r="ABO4304" s="204"/>
      <c r="ABQ4304" s="204"/>
      <c r="ABR4304" s="204"/>
      <c r="ABS4304" s="204"/>
      <c r="ABT4304" s="185" t="s">
        <v>667</v>
      </c>
      <c r="ABU4304" s="205">
        <v>14460</v>
      </c>
      <c r="ABV4304" s="204"/>
      <c r="ABW4304" s="204"/>
      <c r="ABY4304" s="204"/>
      <c r="ABZ4304" s="204"/>
      <c r="ACA4304" s="204"/>
      <c r="ACB4304" s="185" t="s">
        <v>667</v>
      </c>
      <c r="ACC4304" s="205">
        <v>14460</v>
      </c>
      <c r="ACD4304" s="204"/>
      <c r="ACE4304" s="204"/>
      <c r="ACG4304" s="204"/>
      <c r="ACH4304" s="204"/>
      <c r="ACI4304" s="204"/>
      <c r="ACJ4304" s="185" t="s">
        <v>667</v>
      </c>
      <c r="ACK4304" s="205">
        <v>14460</v>
      </c>
      <c r="ACL4304" s="204"/>
      <c r="ACM4304" s="204"/>
      <c r="ACO4304" s="204"/>
      <c r="ACP4304" s="204"/>
      <c r="ACQ4304" s="204"/>
      <c r="ACR4304" s="185" t="s">
        <v>667</v>
      </c>
      <c r="ACS4304" s="205">
        <v>14460</v>
      </c>
      <c r="ACT4304" s="204"/>
      <c r="ACU4304" s="204"/>
      <c r="ACW4304" s="204"/>
      <c r="ACX4304" s="204"/>
      <c r="ACY4304" s="204"/>
      <c r="ACZ4304" s="185" t="s">
        <v>667</v>
      </c>
      <c r="ADA4304" s="205">
        <v>14460</v>
      </c>
      <c r="ADB4304" s="204"/>
      <c r="ADC4304" s="204"/>
      <c r="ADE4304" s="204"/>
      <c r="ADF4304" s="204"/>
      <c r="ADG4304" s="204"/>
      <c r="ADH4304" s="185" t="s">
        <v>667</v>
      </c>
      <c r="ADI4304" s="205">
        <v>14460</v>
      </c>
      <c r="ADJ4304" s="204"/>
      <c r="ADK4304" s="204"/>
      <c r="ADM4304" s="204"/>
      <c r="ADN4304" s="204"/>
      <c r="ADO4304" s="204"/>
      <c r="ADP4304" s="185" t="s">
        <v>667</v>
      </c>
      <c r="ADQ4304" s="205">
        <v>14460</v>
      </c>
      <c r="ADR4304" s="204"/>
      <c r="ADS4304" s="204"/>
      <c r="ADU4304" s="204"/>
      <c r="ADV4304" s="204"/>
      <c r="ADW4304" s="204"/>
      <c r="ADX4304" s="185" t="s">
        <v>667</v>
      </c>
      <c r="ADY4304" s="205">
        <v>14460</v>
      </c>
      <c r="ADZ4304" s="204"/>
      <c r="AEA4304" s="204"/>
      <c r="AEC4304" s="204"/>
      <c r="AED4304" s="204"/>
      <c r="AEE4304" s="204"/>
      <c r="AEF4304" s="185" t="s">
        <v>667</v>
      </c>
      <c r="AEG4304" s="205">
        <v>14460</v>
      </c>
      <c r="AEH4304" s="204"/>
      <c r="AEI4304" s="204"/>
      <c r="AEK4304" s="204"/>
      <c r="AEL4304" s="204"/>
      <c r="AEM4304" s="204"/>
      <c r="AEN4304" s="185" t="s">
        <v>667</v>
      </c>
      <c r="AEO4304" s="205">
        <v>14460</v>
      </c>
      <c r="AEP4304" s="204"/>
      <c r="AEQ4304" s="204"/>
      <c r="AES4304" s="204"/>
      <c r="AET4304" s="204"/>
      <c r="AEU4304" s="204"/>
      <c r="AEV4304" s="185" t="s">
        <v>667</v>
      </c>
      <c r="AEW4304" s="205">
        <v>14460</v>
      </c>
      <c r="AEX4304" s="204"/>
      <c r="AEY4304" s="204"/>
      <c r="AFA4304" s="204"/>
      <c r="AFB4304" s="204"/>
      <c r="AFC4304" s="204"/>
      <c r="AFD4304" s="185" t="s">
        <v>667</v>
      </c>
      <c r="AFE4304" s="205">
        <v>14460</v>
      </c>
      <c r="AFF4304" s="204"/>
      <c r="AFG4304" s="204"/>
      <c r="AFI4304" s="204"/>
      <c r="AFJ4304" s="204"/>
      <c r="AFK4304" s="204"/>
      <c r="AFL4304" s="185" t="s">
        <v>667</v>
      </c>
      <c r="AFM4304" s="205">
        <v>14460</v>
      </c>
      <c r="AFN4304" s="204"/>
      <c r="AFO4304" s="204"/>
      <c r="AFQ4304" s="204"/>
      <c r="AFR4304" s="204"/>
      <c r="AFS4304" s="204"/>
      <c r="AFT4304" s="185" t="s">
        <v>667</v>
      </c>
      <c r="AFU4304" s="205">
        <v>14460</v>
      </c>
      <c r="AFV4304" s="204"/>
      <c r="AFW4304" s="204"/>
      <c r="AFY4304" s="204"/>
      <c r="AFZ4304" s="204"/>
      <c r="AGA4304" s="204"/>
      <c r="AGB4304" s="185" t="s">
        <v>667</v>
      </c>
      <c r="AGC4304" s="205">
        <v>14460</v>
      </c>
      <c r="AGD4304" s="204"/>
      <c r="AGE4304" s="204"/>
      <c r="AGG4304" s="204"/>
      <c r="AGH4304" s="204"/>
      <c r="AGI4304" s="204"/>
      <c r="AGJ4304" s="185" t="s">
        <v>667</v>
      </c>
      <c r="AGK4304" s="205">
        <v>14460</v>
      </c>
      <c r="AGL4304" s="204"/>
      <c r="AGM4304" s="204"/>
      <c r="AGO4304" s="204"/>
      <c r="AGP4304" s="204"/>
      <c r="AGQ4304" s="204"/>
      <c r="AGR4304" s="185" t="s">
        <v>667</v>
      </c>
      <c r="AGS4304" s="205">
        <v>14460</v>
      </c>
      <c r="AGT4304" s="204"/>
      <c r="AGU4304" s="204"/>
      <c r="AGW4304" s="204"/>
      <c r="AGX4304" s="204"/>
      <c r="AGY4304" s="204"/>
      <c r="AGZ4304" s="185" t="s">
        <v>667</v>
      </c>
      <c r="AHA4304" s="205">
        <v>14460</v>
      </c>
      <c r="AHB4304" s="204"/>
      <c r="AHC4304" s="204"/>
      <c r="AHE4304" s="204"/>
      <c r="AHF4304" s="204"/>
      <c r="AHG4304" s="204"/>
      <c r="AHH4304" s="185" t="s">
        <v>667</v>
      </c>
      <c r="AHI4304" s="205">
        <v>14460</v>
      </c>
      <c r="AHJ4304" s="204"/>
      <c r="AHK4304" s="204"/>
      <c r="AHM4304" s="204"/>
      <c r="AHN4304" s="204"/>
      <c r="AHO4304" s="204"/>
      <c r="AHP4304" s="185" t="s">
        <v>667</v>
      </c>
      <c r="AHQ4304" s="205">
        <v>14460</v>
      </c>
      <c r="AHR4304" s="204"/>
      <c r="AHS4304" s="204"/>
      <c r="AHU4304" s="204"/>
      <c r="AHV4304" s="204"/>
      <c r="AHW4304" s="204"/>
      <c r="AHX4304" s="185" t="s">
        <v>667</v>
      </c>
      <c r="AHY4304" s="205">
        <v>14460</v>
      </c>
      <c r="AHZ4304" s="204"/>
      <c r="AIA4304" s="204"/>
      <c r="AIC4304" s="204"/>
      <c r="AID4304" s="204"/>
      <c r="AIE4304" s="204"/>
      <c r="AIF4304" s="185" t="s">
        <v>667</v>
      </c>
      <c r="AIG4304" s="205">
        <v>14460</v>
      </c>
      <c r="AIH4304" s="204"/>
      <c r="AII4304" s="204"/>
      <c r="AIK4304" s="204"/>
      <c r="AIL4304" s="204"/>
      <c r="AIM4304" s="204"/>
      <c r="AIN4304" s="185" t="s">
        <v>667</v>
      </c>
      <c r="AIO4304" s="205">
        <v>14460</v>
      </c>
      <c r="AIP4304" s="204"/>
      <c r="AIQ4304" s="204"/>
      <c r="AIS4304" s="204"/>
      <c r="AIT4304" s="204"/>
      <c r="AIU4304" s="204"/>
      <c r="AIV4304" s="185" t="s">
        <v>667</v>
      </c>
      <c r="AIW4304" s="205">
        <v>14460</v>
      </c>
      <c r="AIX4304" s="204"/>
      <c r="AIY4304" s="204"/>
      <c r="AJA4304" s="204"/>
      <c r="AJB4304" s="204"/>
      <c r="AJC4304" s="204"/>
      <c r="AJD4304" s="185" t="s">
        <v>667</v>
      </c>
      <c r="AJE4304" s="205">
        <v>14460</v>
      </c>
      <c r="AJF4304" s="204"/>
      <c r="AJG4304" s="204"/>
      <c r="AJI4304" s="204"/>
      <c r="AJJ4304" s="204"/>
      <c r="AJK4304" s="204"/>
      <c r="AJL4304" s="185" t="s">
        <v>667</v>
      </c>
      <c r="AJM4304" s="205">
        <v>14460</v>
      </c>
      <c r="AJN4304" s="204"/>
      <c r="AJO4304" s="204"/>
      <c r="AJQ4304" s="204"/>
      <c r="AJR4304" s="204"/>
      <c r="AJS4304" s="204"/>
      <c r="AJT4304" s="185" t="s">
        <v>667</v>
      </c>
      <c r="AJU4304" s="205">
        <v>14460</v>
      </c>
      <c r="AJV4304" s="204"/>
      <c r="AJW4304" s="204"/>
      <c r="AJY4304" s="204"/>
      <c r="AJZ4304" s="204"/>
      <c r="AKA4304" s="204"/>
      <c r="AKB4304" s="185" t="s">
        <v>667</v>
      </c>
      <c r="AKC4304" s="205">
        <v>14460</v>
      </c>
      <c r="AKD4304" s="204"/>
      <c r="AKE4304" s="204"/>
      <c r="AKG4304" s="204"/>
      <c r="AKH4304" s="204"/>
      <c r="AKI4304" s="204"/>
      <c r="AKJ4304" s="185" t="s">
        <v>667</v>
      </c>
      <c r="AKK4304" s="205">
        <v>14460</v>
      </c>
      <c r="AKL4304" s="204"/>
      <c r="AKM4304" s="204"/>
      <c r="AKO4304" s="204"/>
      <c r="AKP4304" s="204"/>
      <c r="AKQ4304" s="204"/>
      <c r="AKR4304" s="185" t="s">
        <v>667</v>
      </c>
      <c r="AKS4304" s="205">
        <v>14460</v>
      </c>
      <c r="AKT4304" s="204"/>
      <c r="AKU4304" s="204"/>
      <c r="AKW4304" s="204"/>
      <c r="AKX4304" s="204"/>
      <c r="AKY4304" s="204"/>
      <c r="AKZ4304" s="185" t="s">
        <v>667</v>
      </c>
      <c r="ALA4304" s="205">
        <v>14460</v>
      </c>
      <c r="ALB4304" s="204"/>
      <c r="ALC4304" s="204"/>
      <c r="ALE4304" s="204"/>
      <c r="ALF4304" s="204"/>
      <c r="ALG4304" s="204"/>
      <c r="ALH4304" s="185" t="s">
        <v>667</v>
      </c>
      <c r="ALI4304" s="205">
        <v>14460</v>
      </c>
      <c r="ALJ4304" s="204"/>
      <c r="ALK4304" s="204"/>
      <c r="ALM4304" s="204"/>
      <c r="ALN4304" s="204"/>
      <c r="ALO4304" s="204"/>
      <c r="ALP4304" s="185" t="s">
        <v>667</v>
      </c>
      <c r="ALQ4304" s="205">
        <v>14460</v>
      </c>
      <c r="ALR4304" s="204"/>
      <c r="ALS4304" s="204"/>
      <c r="ALU4304" s="204"/>
      <c r="ALV4304" s="204"/>
      <c r="ALW4304" s="204"/>
      <c r="ALX4304" s="185" t="s">
        <v>667</v>
      </c>
      <c r="ALY4304" s="205">
        <v>14460</v>
      </c>
      <c r="ALZ4304" s="204"/>
      <c r="AMA4304" s="204"/>
      <c r="AMC4304" s="204"/>
      <c r="AMD4304" s="204"/>
      <c r="AME4304" s="204"/>
      <c r="AMF4304" s="185" t="s">
        <v>667</v>
      </c>
      <c r="AMG4304" s="205">
        <v>14460</v>
      </c>
      <c r="AMH4304" s="204"/>
      <c r="AMI4304" s="204"/>
      <c r="AMK4304" s="204"/>
      <c r="AML4304" s="204"/>
      <c r="AMM4304" s="204"/>
      <c r="AMN4304" s="185" t="s">
        <v>667</v>
      </c>
      <c r="AMO4304" s="205">
        <v>14460</v>
      </c>
      <c r="AMP4304" s="204"/>
      <c r="AMQ4304" s="204"/>
      <c r="AMS4304" s="204"/>
      <c r="AMT4304" s="204"/>
      <c r="AMU4304" s="204"/>
      <c r="AMV4304" s="185" t="s">
        <v>667</v>
      </c>
      <c r="AMW4304" s="205">
        <v>14460</v>
      </c>
      <c r="AMX4304" s="204"/>
      <c r="AMY4304" s="204"/>
      <c r="ANA4304" s="204"/>
      <c r="ANB4304" s="204"/>
      <c r="ANC4304" s="204"/>
      <c r="AND4304" s="185" t="s">
        <v>667</v>
      </c>
      <c r="ANE4304" s="205">
        <v>14460</v>
      </c>
      <c r="ANF4304" s="204"/>
      <c r="ANG4304" s="204"/>
      <c r="ANI4304" s="204"/>
      <c r="ANJ4304" s="204"/>
      <c r="ANK4304" s="204"/>
      <c r="ANL4304" s="185" t="s">
        <v>667</v>
      </c>
      <c r="ANM4304" s="205">
        <v>14460</v>
      </c>
      <c r="ANN4304" s="204"/>
      <c r="ANO4304" s="204"/>
      <c r="ANQ4304" s="204"/>
      <c r="ANR4304" s="204"/>
      <c r="ANS4304" s="204"/>
      <c r="ANT4304" s="185" t="s">
        <v>667</v>
      </c>
      <c r="ANU4304" s="205">
        <v>14460</v>
      </c>
      <c r="ANV4304" s="204"/>
      <c r="ANW4304" s="204"/>
      <c r="ANY4304" s="204"/>
      <c r="ANZ4304" s="204"/>
      <c r="AOA4304" s="204"/>
      <c r="AOB4304" s="185" t="s">
        <v>667</v>
      </c>
      <c r="AOC4304" s="205">
        <v>14460</v>
      </c>
      <c r="AOD4304" s="204"/>
      <c r="AOE4304" s="204"/>
      <c r="AOG4304" s="204"/>
      <c r="AOH4304" s="204"/>
      <c r="AOI4304" s="204"/>
      <c r="AOJ4304" s="185" t="s">
        <v>667</v>
      </c>
      <c r="AOK4304" s="205">
        <v>14460</v>
      </c>
      <c r="AOL4304" s="204"/>
      <c r="AOM4304" s="204"/>
      <c r="AOO4304" s="204"/>
      <c r="AOP4304" s="204"/>
      <c r="AOQ4304" s="204"/>
      <c r="AOR4304" s="185" t="s">
        <v>667</v>
      </c>
      <c r="AOS4304" s="205">
        <v>14460</v>
      </c>
      <c r="AOT4304" s="204"/>
      <c r="AOU4304" s="204"/>
      <c r="AOW4304" s="204"/>
      <c r="AOX4304" s="204"/>
      <c r="AOY4304" s="204"/>
      <c r="AOZ4304" s="185" t="s">
        <v>667</v>
      </c>
      <c r="APA4304" s="205">
        <v>14460</v>
      </c>
      <c r="APB4304" s="204"/>
      <c r="APC4304" s="204"/>
      <c r="APE4304" s="204"/>
      <c r="APF4304" s="204"/>
      <c r="APG4304" s="204"/>
      <c r="APH4304" s="185" t="s">
        <v>667</v>
      </c>
      <c r="API4304" s="205">
        <v>14460</v>
      </c>
      <c r="APJ4304" s="204"/>
      <c r="APK4304" s="204"/>
      <c r="APM4304" s="204"/>
      <c r="APN4304" s="204"/>
      <c r="APO4304" s="204"/>
      <c r="APP4304" s="185" t="s">
        <v>667</v>
      </c>
      <c r="APQ4304" s="205">
        <v>14460</v>
      </c>
      <c r="APR4304" s="204"/>
      <c r="APS4304" s="204"/>
      <c r="APU4304" s="204"/>
      <c r="APV4304" s="204"/>
      <c r="APW4304" s="204"/>
      <c r="APX4304" s="185" t="s">
        <v>667</v>
      </c>
      <c r="APY4304" s="205">
        <v>14460</v>
      </c>
      <c r="APZ4304" s="204"/>
      <c r="AQA4304" s="204"/>
      <c r="AQC4304" s="204"/>
      <c r="AQD4304" s="204"/>
      <c r="AQE4304" s="204"/>
      <c r="AQF4304" s="185" t="s">
        <v>667</v>
      </c>
      <c r="AQG4304" s="205">
        <v>14460</v>
      </c>
      <c r="AQH4304" s="204"/>
      <c r="AQI4304" s="204"/>
      <c r="AQK4304" s="204"/>
      <c r="AQL4304" s="204"/>
      <c r="AQM4304" s="204"/>
      <c r="AQN4304" s="185" t="s">
        <v>667</v>
      </c>
      <c r="AQO4304" s="205">
        <v>14460</v>
      </c>
      <c r="AQP4304" s="204"/>
      <c r="AQQ4304" s="204"/>
      <c r="AQS4304" s="204"/>
      <c r="AQT4304" s="204"/>
      <c r="AQU4304" s="204"/>
      <c r="AQV4304" s="185" t="s">
        <v>667</v>
      </c>
      <c r="AQW4304" s="205">
        <v>14460</v>
      </c>
      <c r="AQX4304" s="204"/>
      <c r="AQY4304" s="204"/>
      <c r="ARA4304" s="204"/>
      <c r="ARB4304" s="204"/>
      <c r="ARC4304" s="204"/>
      <c r="ARD4304" s="185" t="s">
        <v>667</v>
      </c>
      <c r="ARE4304" s="205">
        <v>14460</v>
      </c>
      <c r="ARF4304" s="204"/>
      <c r="ARG4304" s="204"/>
      <c r="ARI4304" s="204"/>
      <c r="ARJ4304" s="204"/>
      <c r="ARK4304" s="204"/>
      <c r="ARL4304" s="185" t="s">
        <v>667</v>
      </c>
      <c r="ARM4304" s="205">
        <v>14460</v>
      </c>
      <c r="ARN4304" s="204"/>
      <c r="ARO4304" s="204"/>
      <c r="ARQ4304" s="204"/>
      <c r="ARR4304" s="204"/>
      <c r="ARS4304" s="204"/>
      <c r="ART4304" s="185" t="s">
        <v>667</v>
      </c>
      <c r="ARU4304" s="205">
        <v>14460</v>
      </c>
      <c r="ARV4304" s="204"/>
      <c r="ARW4304" s="204"/>
      <c r="ARY4304" s="204"/>
      <c r="ARZ4304" s="204"/>
      <c r="ASA4304" s="204"/>
      <c r="ASB4304" s="185" t="s">
        <v>667</v>
      </c>
      <c r="ASC4304" s="205">
        <v>14460</v>
      </c>
      <c r="ASD4304" s="204"/>
      <c r="ASE4304" s="204"/>
      <c r="ASG4304" s="204"/>
      <c r="ASH4304" s="204"/>
      <c r="ASI4304" s="204"/>
      <c r="ASJ4304" s="185" t="s">
        <v>667</v>
      </c>
      <c r="ASK4304" s="205">
        <v>14460</v>
      </c>
      <c r="ASL4304" s="204"/>
      <c r="ASM4304" s="204"/>
      <c r="ASO4304" s="204"/>
      <c r="ASP4304" s="204"/>
      <c r="ASQ4304" s="204"/>
      <c r="ASR4304" s="185" t="s">
        <v>667</v>
      </c>
      <c r="ASS4304" s="205">
        <v>14460</v>
      </c>
      <c r="AST4304" s="204"/>
      <c r="ASU4304" s="204"/>
      <c r="ASW4304" s="204"/>
      <c r="ASX4304" s="204"/>
      <c r="ASY4304" s="204"/>
      <c r="ASZ4304" s="185" t="s">
        <v>667</v>
      </c>
      <c r="ATA4304" s="205">
        <v>14460</v>
      </c>
      <c r="ATB4304" s="204"/>
      <c r="ATC4304" s="204"/>
      <c r="ATE4304" s="204"/>
      <c r="ATF4304" s="204"/>
      <c r="ATG4304" s="204"/>
      <c r="ATH4304" s="185" t="s">
        <v>667</v>
      </c>
      <c r="ATI4304" s="205">
        <v>14460</v>
      </c>
      <c r="ATJ4304" s="204"/>
      <c r="ATK4304" s="204"/>
      <c r="ATM4304" s="204"/>
      <c r="ATN4304" s="204"/>
      <c r="ATO4304" s="204"/>
      <c r="ATP4304" s="185" t="s">
        <v>667</v>
      </c>
      <c r="ATQ4304" s="205">
        <v>14460</v>
      </c>
      <c r="ATR4304" s="204"/>
      <c r="ATS4304" s="204"/>
      <c r="ATU4304" s="204"/>
      <c r="ATV4304" s="204"/>
      <c r="ATW4304" s="204"/>
      <c r="ATX4304" s="185" t="s">
        <v>667</v>
      </c>
      <c r="ATY4304" s="205">
        <v>14460</v>
      </c>
      <c r="ATZ4304" s="204"/>
      <c r="AUA4304" s="204"/>
      <c r="AUC4304" s="204"/>
      <c r="AUD4304" s="204"/>
      <c r="AUE4304" s="204"/>
      <c r="AUF4304" s="185" t="s">
        <v>667</v>
      </c>
      <c r="AUG4304" s="205">
        <v>14460</v>
      </c>
      <c r="AUH4304" s="204"/>
      <c r="AUI4304" s="204"/>
      <c r="AUK4304" s="204"/>
      <c r="AUL4304" s="204"/>
      <c r="AUM4304" s="204"/>
      <c r="AUN4304" s="185" t="s">
        <v>667</v>
      </c>
      <c r="AUO4304" s="205">
        <v>14460</v>
      </c>
      <c r="AUP4304" s="204"/>
      <c r="AUQ4304" s="204"/>
      <c r="AUS4304" s="204"/>
      <c r="AUT4304" s="204"/>
      <c r="AUU4304" s="204"/>
      <c r="AUV4304" s="185" t="s">
        <v>667</v>
      </c>
      <c r="AUW4304" s="205">
        <v>14460</v>
      </c>
      <c r="AUX4304" s="204"/>
      <c r="AUY4304" s="204"/>
      <c r="AVA4304" s="204"/>
      <c r="AVB4304" s="204"/>
      <c r="AVC4304" s="204"/>
      <c r="AVD4304" s="185" t="s">
        <v>667</v>
      </c>
      <c r="AVE4304" s="205">
        <v>14460</v>
      </c>
      <c r="AVF4304" s="204"/>
      <c r="AVG4304" s="204"/>
      <c r="AVI4304" s="204"/>
      <c r="AVJ4304" s="204"/>
      <c r="AVK4304" s="204"/>
      <c r="AVL4304" s="185" t="s">
        <v>667</v>
      </c>
      <c r="AVM4304" s="205">
        <v>14460</v>
      </c>
      <c r="AVN4304" s="204"/>
      <c r="AVO4304" s="204"/>
      <c r="AVQ4304" s="204"/>
      <c r="AVR4304" s="204"/>
      <c r="AVS4304" s="204"/>
      <c r="AVT4304" s="185" t="s">
        <v>667</v>
      </c>
      <c r="AVU4304" s="205">
        <v>14460</v>
      </c>
      <c r="AVV4304" s="204"/>
      <c r="AVW4304" s="204"/>
      <c r="AVY4304" s="204"/>
      <c r="AVZ4304" s="204"/>
      <c r="AWA4304" s="204"/>
      <c r="AWB4304" s="185" t="s">
        <v>667</v>
      </c>
      <c r="AWC4304" s="205">
        <v>14460</v>
      </c>
      <c r="AWD4304" s="204"/>
      <c r="AWE4304" s="204"/>
      <c r="AWG4304" s="204"/>
      <c r="AWH4304" s="204"/>
      <c r="AWI4304" s="204"/>
      <c r="AWJ4304" s="185" t="s">
        <v>667</v>
      </c>
      <c r="AWK4304" s="205">
        <v>14460</v>
      </c>
      <c r="AWL4304" s="204"/>
      <c r="AWM4304" s="204"/>
      <c r="AWO4304" s="204"/>
      <c r="AWP4304" s="204"/>
      <c r="AWQ4304" s="204"/>
      <c r="AWR4304" s="185" t="s">
        <v>667</v>
      </c>
      <c r="AWS4304" s="205">
        <v>14460</v>
      </c>
      <c r="AWT4304" s="204"/>
      <c r="AWU4304" s="204"/>
      <c r="AWW4304" s="204"/>
      <c r="AWX4304" s="204"/>
      <c r="AWY4304" s="204"/>
      <c r="AWZ4304" s="185" t="s">
        <v>667</v>
      </c>
      <c r="AXA4304" s="205">
        <v>14460</v>
      </c>
      <c r="AXB4304" s="204"/>
      <c r="AXC4304" s="204"/>
      <c r="AXE4304" s="204"/>
      <c r="AXF4304" s="204"/>
      <c r="AXG4304" s="204"/>
      <c r="AXH4304" s="185" t="s">
        <v>667</v>
      </c>
      <c r="AXI4304" s="205">
        <v>14460</v>
      </c>
      <c r="AXJ4304" s="204"/>
      <c r="AXK4304" s="204"/>
      <c r="AXM4304" s="204"/>
      <c r="AXN4304" s="204"/>
      <c r="AXO4304" s="204"/>
      <c r="AXP4304" s="185" t="s">
        <v>667</v>
      </c>
      <c r="AXQ4304" s="205">
        <v>14460</v>
      </c>
      <c r="AXR4304" s="204"/>
      <c r="AXS4304" s="204"/>
      <c r="AXU4304" s="204"/>
      <c r="AXV4304" s="204"/>
      <c r="AXW4304" s="204"/>
      <c r="AXX4304" s="185" t="s">
        <v>667</v>
      </c>
      <c r="AXY4304" s="205">
        <v>14460</v>
      </c>
      <c r="AXZ4304" s="204"/>
      <c r="AYA4304" s="204"/>
      <c r="AYC4304" s="204"/>
      <c r="AYD4304" s="204"/>
      <c r="AYE4304" s="204"/>
      <c r="AYF4304" s="185" t="s">
        <v>667</v>
      </c>
      <c r="AYG4304" s="205">
        <v>14460</v>
      </c>
      <c r="AYH4304" s="204"/>
      <c r="AYI4304" s="204"/>
      <c r="AYK4304" s="204"/>
      <c r="AYL4304" s="204"/>
      <c r="AYM4304" s="204"/>
      <c r="AYN4304" s="185" t="s">
        <v>667</v>
      </c>
      <c r="AYO4304" s="205">
        <v>14460</v>
      </c>
      <c r="AYP4304" s="204"/>
      <c r="AYQ4304" s="204"/>
      <c r="AYS4304" s="204"/>
      <c r="AYT4304" s="204"/>
      <c r="AYU4304" s="204"/>
      <c r="AYV4304" s="185" t="s">
        <v>667</v>
      </c>
      <c r="AYW4304" s="205">
        <v>14460</v>
      </c>
      <c r="AYX4304" s="204"/>
      <c r="AYY4304" s="204"/>
      <c r="AZA4304" s="204"/>
      <c r="AZB4304" s="204"/>
      <c r="AZC4304" s="204"/>
      <c r="AZD4304" s="185" t="s">
        <v>667</v>
      </c>
      <c r="AZE4304" s="205">
        <v>14460</v>
      </c>
      <c r="AZF4304" s="204"/>
      <c r="AZG4304" s="204"/>
      <c r="AZI4304" s="204"/>
      <c r="AZJ4304" s="204"/>
      <c r="AZK4304" s="204"/>
      <c r="AZL4304" s="185" t="s">
        <v>667</v>
      </c>
      <c r="AZM4304" s="205">
        <v>14460</v>
      </c>
      <c r="AZN4304" s="204"/>
      <c r="AZO4304" s="204"/>
      <c r="AZQ4304" s="204"/>
      <c r="AZR4304" s="204"/>
      <c r="AZS4304" s="204"/>
      <c r="AZT4304" s="185" t="s">
        <v>667</v>
      </c>
      <c r="AZU4304" s="205">
        <v>14460</v>
      </c>
      <c r="AZV4304" s="204"/>
      <c r="AZW4304" s="204"/>
      <c r="AZY4304" s="204"/>
      <c r="AZZ4304" s="204"/>
      <c r="BAA4304" s="204"/>
      <c r="BAB4304" s="185" t="s">
        <v>667</v>
      </c>
      <c r="BAC4304" s="205">
        <v>14460</v>
      </c>
      <c r="BAD4304" s="204"/>
      <c r="BAE4304" s="204"/>
      <c r="BAG4304" s="204"/>
      <c r="BAH4304" s="204"/>
      <c r="BAI4304" s="204"/>
      <c r="BAJ4304" s="185" t="s">
        <v>667</v>
      </c>
      <c r="BAK4304" s="205">
        <v>14460</v>
      </c>
      <c r="BAL4304" s="204"/>
      <c r="BAM4304" s="204"/>
      <c r="BAO4304" s="204"/>
      <c r="BAP4304" s="204"/>
      <c r="BAQ4304" s="204"/>
      <c r="BAR4304" s="185" t="s">
        <v>667</v>
      </c>
      <c r="BAS4304" s="205">
        <v>14460</v>
      </c>
      <c r="BAT4304" s="204"/>
      <c r="BAU4304" s="204"/>
      <c r="BAW4304" s="204"/>
      <c r="BAX4304" s="204"/>
      <c r="BAY4304" s="204"/>
      <c r="BAZ4304" s="185" t="s">
        <v>667</v>
      </c>
      <c r="BBA4304" s="205">
        <v>14460</v>
      </c>
      <c r="BBB4304" s="204"/>
      <c r="BBC4304" s="204"/>
      <c r="BBE4304" s="204"/>
      <c r="BBF4304" s="204"/>
      <c r="BBG4304" s="204"/>
      <c r="BBH4304" s="185" t="s">
        <v>667</v>
      </c>
      <c r="BBI4304" s="205">
        <v>14460</v>
      </c>
      <c r="BBJ4304" s="204"/>
      <c r="BBK4304" s="204"/>
      <c r="BBM4304" s="204"/>
      <c r="BBN4304" s="204"/>
      <c r="BBO4304" s="204"/>
      <c r="BBP4304" s="185" t="s">
        <v>667</v>
      </c>
      <c r="BBQ4304" s="205">
        <v>14460</v>
      </c>
      <c r="BBR4304" s="204"/>
      <c r="BBS4304" s="204"/>
      <c r="BBU4304" s="204"/>
      <c r="BBV4304" s="204"/>
      <c r="BBW4304" s="204"/>
      <c r="BBX4304" s="185" t="s">
        <v>667</v>
      </c>
      <c r="BBY4304" s="205">
        <v>14460</v>
      </c>
      <c r="BBZ4304" s="204"/>
      <c r="BCA4304" s="204"/>
      <c r="BCC4304" s="204"/>
      <c r="BCD4304" s="204"/>
      <c r="BCE4304" s="204"/>
      <c r="BCF4304" s="185" t="s">
        <v>667</v>
      </c>
      <c r="BCG4304" s="205">
        <v>14460</v>
      </c>
      <c r="BCH4304" s="204"/>
      <c r="BCI4304" s="204"/>
      <c r="BCK4304" s="204"/>
      <c r="BCL4304" s="204"/>
      <c r="BCM4304" s="204"/>
      <c r="BCN4304" s="185" t="s">
        <v>667</v>
      </c>
      <c r="BCO4304" s="205">
        <v>14460</v>
      </c>
      <c r="BCP4304" s="204"/>
      <c r="BCQ4304" s="204"/>
      <c r="BCS4304" s="204"/>
      <c r="BCT4304" s="204"/>
      <c r="BCU4304" s="204"/>
      <c r="BCV4304" s="185" t="s">
        <v>667</v>
      </c>
      <c r="BCW4304" s="205">
        <v>14460</v>
      </c>
      <c r="BCX4304" s="204"/>
      <c r="BCY4304" s="204"/>
      <c r="BDA4304" s="204"/>
      <c r="BDB4304" s="204"/>
      <c r="BDC4304" s="204"/>
      <c r="BDD4304" s="185" t="s">
        <v>667</v>
      </c>
      <c r="BDE4304" s="205">
        <v>14460</v>
      </c>
      <c r="BDF4304" s="204"/>
      <c r="BDG4304" s="204"/>
      <c r="BDI4304" s="204"/>
      <c r="BDJ4304" s="204"/>
      <c r="BDK4304" s="204"/>
      <c r="BDL4304" s="185" t="s">
        <v>667</v>
      </c>
      <c r="BDM4304" s="205">
        <v>14460</v>
      </c>
      <c r="BDN4304" s="204"/>
      <c r="BDO4304" s="204"/>
      <c r="BDQ4304" s="204"/>
      <c r="BDR4304" s="204"/>
      <c r="BDS4304" s="204"/>
      <c r="BDT4304" s="185" t="s">
        <v>667</v>
      </c>
      <c r="BDU4304" s="205">
        <v>14460</v>
      </c>
      <c r="BDV4304" s="204"/>
      <c r="BDW4304" s="204"/>
      <c r="BDY4304" s="204"/>
      <c r="BDZ4304" s="204"/>
      <c r="BEA4304" s="204"/>
      <c r="BEB4304" s="185" t="s">
        <v>667</v>
      </c>
      <c r="BEC4304" s="205">
        <v>14460</v>
      </c>
      <c r="BED4304" s="204"/>
      <c r="BEE4304" s="204"/>
      <c r="BEG4304" s="204"/>
      <c r="BEH4304" s="204"/>
      <c r="BEI4304" s="204"/>
      <c r="BEJ4304" s="185" t="s">
        <v>667</v>
      </c>
      <c r="BEK4304" s="205">
        <v>14460</v>
      </c>
      <c r="BEL4304" s="204"/>
      <c r="BEM4304" s="204"/>
      <c r="BEO4304" s="204"/>
      <c r="BEP4304" s="204"/>
      <c r="BEQ4304" s="204"/>
      <c r="BER4304" s="185" t="s">
        <v>667</v>
      </c>
      <c r="BES4304" s="205">
        <v>14460</v>
      </c>
      <c r="BET4304" s="204"/>
      <c r="BEU4304" s="204"/>
      <c r="BEW4304" s="204"/>
      <c r="BEX4304" s="204"/>
      <c r="BEY4304" s="204"/>
      <c r="BEZ4304" s="185" t="s">
        <v>667</v>
      </c>
      <c r="BFA4304" s="205">
        <v>14460</v>
      </c>
      <c r="BFB4304" s="204"/>
      <c r="BFC4304" s="204"/>
      <c r="BFE4304" s="204"/>
      <c r="BFF4304" s="204"/>
      <c r="BFG4304" s="204"/>
      <c r="BFH4304" s="185" t="s">
        <v>667</v>
      </c>
      <c r="BFI4304" s="205">
        <v>14460</v>
      </c>
      <c r="BFJ4304" s="204"/>
      <c r="BFK4304" s="204"/>
      <c r="BFM4304" s="204"/>
      <c r="BFN4304" s="204"/>
      <c r="BFO4304" s="204"/>
      <c r="BFP4304" s="185" t="s">
        <v>667</v>
      </c>
      <c r="BFQ4304" s="205">
        <v>14460</v>
      </c>
      <c r="BFR4304" s="204"/>
      <c r="BFS4304" s="204"/>
      <c r="BFU4304" s="204"/>
      <c r="BFV4304" s="204"/>
      <c r="BFW4304" s="204"/>
      <c r="BFX4304" s="185" t="s">
        <v>667</v>
      </c>
      <c r="BFY4304" s="205">
        <v>14460</v>
      </c>
      <c r="BFZ4304" s="204"/>
      <c r="BGA4304" s="204"/>
      <c r="BGC4304" s="204"/>
      <c r="BGD4304" s="204"/>
      <c r="BGE4304" s="204"/>
      <c r="BGF4304" s="185" t="s">
        <v>667</v>
      </c>
      <c r="BGG4304" s="205">
        <v>14460</v>
      </c>
      <c r="BGH4304" s="204"/>
      <c r="BGI4304" s="204"/>
      <c r="BGK4304" s="204"/>
      <c r="BGL4304" s="204"/>
      <c r="BGM4304" s="204"/>
      <c r="BGN4304" s="185" t="s">
        <v>667</v>
      </c>
      <c r="BGO4304" s="205">
        <v>14460</v>
      </c>
      <c r="BGP4304" s="204"/>
      <c r="BGQ4304" s="204"/>
      <c r="BGS4304" s="204"/>
      <c r="BGT4304" s="204"/>
      <c r="BGU4304" s="204"/>
      <c r="BGV4304" s="185" t="s">
        <v>667</v>
      </c>
      <c r="BGW4304" s="205">
        <v>14460</v>
      </c>
      <c r="BGX4304" s="204"/>
      <c r="BGY4304" s="204"/>
      <c r="BHA4304" s="204"/>
      <c r="BHB4304" s="204"/>
      <c r="BHC4304" s="204"/>
      <c r="BHD4304" s="185" t="s">
        <v>667</v>
      </c>
      <c r="BHE4304" s="205">
        <v>14460</v>
      </c>
      <c r="BHF4304" s="204"/>
      <c r="BHG4304" s="204"/>
      <c r="BHI4304" s="204"/>
      <c r="BHJ4304" s="204"/>
      <c r="BHK4304" s="204"/>
      <c r="BHL4304" s="185" t="s">
        <v>667</v>
      </c>
      <c r="BHM4304" s="205">
        <v>14460</v>
      </c>
      <c r="BHN4304" s="204"/>
      <c r="BHO4304" s="204"/>
      <c r="BHQ4304" s="204"/>
      <c r="BHR4304" s="204"/>
      <c r="BHS4304" s="204"/>
      <c r="BHT4304" s="185" t="s">
        <v>667</v>
      </c>
      <c r="BHU4304" s="205">
        <v>14460</v>
      </c>
      <c r="BHV4304" s="204"/>
      <c r="BHW4304" s="204"/>
      <c r="BHY4304" s="204"/>
      <c r="BHZ4304" s="204"/>
      <c r="BIA4304" s="204"/>
      <c r="BIB4304" s="185" t="s">
        <v>667</v>
      </c>
      <c r="BIC4304" s="205">
        <v>14460</v>
      </c>
      <c r="BID4304" s="204"/>
      <c r="BIE4304" s="204"/>
      <c r="BIG4304" s="204"/>
      <c r="BIH4304" s="204"/>
      <c r="BII4304" s="204"/>
      <c r="BIJ4304" s="185" t="s">
        <v>667</v>
      </c>
      <c r="BIK4304" s="205">
        <v>14460</v>
      </c>
      <c r="BIL4304" s="204"/>
      <c r="BIM4304" s="204"/>
      <c r="BIO4304" s="204"/>
      <c r="BIP4304" s="204"/>
      <c r="BIQ4304" s="204"/>
      <c r="BIR4304" s="185" t="s">
        <v>667</v>
      </c>
      <c r="BIS4304" s="205">
        <v>14460</v>
      </c>
      <c r="BIT4304" s="204"/>
      <c r="BIU4304" s="204"/>
      <c r="BIW4304" s="204"/>
      <c r="BIX4304" s="204"/>
      <c r="BIY4304" s="204"/>
      <c r="BIZ4304" s="185" t="s">
        <v>667</v>
      </c>
      <c r="BJA4304" s="205">
        <v>14460</v>
      </c>
      <c r="BJB4304" s="204"/>
      <c r="BJC4304" s="204"/>
      <c r="BJE4304" s="204"/>
      <c r="BJF4304" s="204"/>
      <c r="BJG4304" s="204"/>
      <c r="BJH4304" s="185" t="s">
        <v>667</v>
      </c>
      <c r="BJI4304" s="205">
        <v>14460</v>
      </c>
      <c r="BJJ4304" s="204"/>
      <c r="BJK4304" s="204"/>
      <c r="BJM4304" s="204"/>
      <c r="BJN4304" s="204"/>
      <c r="BJO4304" s="204"/>
      <c r="BJP4304" s="185" t="s">
        <v>667</v>
      </c>
      <c r="BJQ4304" s="205">
        <v>14460</v>
      </c>
      <c r="BJR4304" s="204"/>
      <c r="BJS4304" s="204"/>
      <c r="BJU4304" s="204"/>
      <c r="BJV4304" s="204"/>
      <c r="BJW4304" s="204"/>
      <c r="BJX4304" s="185" t="s">
        <v>667</v>
      </c>
      <c r="BJY4304" s="205">
        <v>14460</v>
      </c>
      <c r="BJZ4304" s="204"/>
      <c r="BKA4304" s="204"/>
      <c r="BKC4304" s="204"/>
      <c r="BKD4304" s="204"/>
      <c r="BKE4304" s="204"/>
      <c r="BKF4304" s="185" t="s">
        <v>667</v>
      </c>
      <c r="BKG4304" s="205">
        <v>14460</v>
      </c>
      <c r="BKH4304" s="204"/>
      <c r="BKI4304" s="204"/>
      <c r="BKK4304" s="204"/>
      <c r="BKL4304" s="204"/>
      <c r="BKM4304" s="204"/>
      <c r="BKN4304" s="185" t="s">
        <v>667</v>
      </c>
      <c r="BKO4304" s="205">
        <v>14460</v>
      </c>
      <c r="BKP4304" s="204"/>
      <c r="BKQ4304" s="204"/>
      <c r="BKS4304" s="204"/>
      <c r="BKT4304" s="204"/>
      <c r="BKU4304" s="204"/>
      <c r="BKV4304" s="185" t="s">
        <v>667</v>
      </c>
      <c r="BKW4304" s="205">
        <v>14460</v>
      </c>
      <c r="BKX4304" s="204"/>
      <c r="BKY4304" s="204"/>
      <c r="BLA4304" s="204"/>
      <c r="BLB4304" s="204"/>
      <c r="BLC4304" s="204"/>
      <c r="BLD4304" s="185" t="s">
        <v>667</v>
      </c>
      <c r="BLE4304" s="205">
        <v>14460</v>
      </c>
      <c r="BLF4304" s="204"/>
      <c r="BLG4304" s="204"/>
      <c r="BLI4304" s="204"/>
      <c r="BLJ4304" s="204"/>
      <c r="BLK4304" s="204"/>
      <c r="BLL4304" s="185" t="s">
        <v>667</v>
      </c>
      <c r="BLM4304" s="205">
        <v>14460</v>
      </c>
      <c r="BLN4304" s="204"/>
      <c r="BLO4304" s="204"/>
      <c r="BLQ4304" s="204"/>
      <c r="BLR4304" s="204"/>
      <c r="BLS4304" s="204"/>
      <c r="BLT4304" s="185" t="s">
        <v>667</v>
      </c>
      <c r="BLU4304" s="205">
        <v>14460</v>
      </c>
      <c r="BLV4304" s="204"/>
      <c r="BLW4304" s="204"/>
      <c r="BLY4304" s="204"/>
      <c r="BLZ4304" s="204"/>
      <c r="BMA4304" s="204"/>
      <c r="BMB4304" s="185" t="s">
        <v>667</v>
      </c>
      <c r="BMC4304" s="205">
        <v>14460</v>
      </c>
      <c r="BMD4304" s="204"/>
      <c r="BME4304" s="204"/>
      <c r="BMG4304" s="204"/>
      <c r="BMH4304" s="204"/>
      <c r="BMI4304" s="204"/>
      <c r="BMJ4304" s="185" t="s">
        <v>667</v>
      </c>
      <c r="BMK4304" s="205">
        <v>14460</v>
      </c>
      <c r="BML4304" s="204"/>
      <c r="BMM4304" s="204"/>
      <c r="BMO4304" s="204"/>
      <c r="BMP4304" s="204"/>
      <c r="BMQ4304" s="204"/>
      <c r="BMR4304" s="185" t="s">
        <v>667</v>
      </c>
      <c r="BMS4304" s="205">
        <v>14460</v>
      </c>
      <c r="BMT4304" s="204"/>
      <c r="BMU4304" s="204"/>
      <c r="BMW4304" s="204"/>
      <c r="BMX4304" s="204"/>
      <c r="BMY4304" s="204"/>
      <c r="BMZ4304" s="185" t="s">
        <v>667</v>
      </c>
      <c r="BNA4304" s="205">
        <v>14460</v>
      </c>
      <c r="BNB4304" s="204"/>
      <c r="BNC4304" s="204"/>
      <c r="BNE4304" s="204"/>
      <c r="BNF4304" s="204"/>
      <c r="BNG4304" s="204"/>
      <c r="BNH4304" s="185" t="s">
        <v>667</v>
      </c>
      <c r="BNI4304" s="205">
        <v>14460</v>
      </c>
      <c r="BNJ4304" s="204"/>
      <c r="BNK4304" s="204"/>
      <c r="BNM4304" s="204"/>
      <c r="BNN4304" s="204"/>
      <c r="BNO4304" s="204"/>
      <c r="BNP4304" s="185" t="s">
        <v>667</v>
      </c>
      <c r="BNQ4304" s="205">
        <v>14460</v>
      </c>
      <c r="BNR4304" s="204"/>
      <c r="BNS4304" s="204"/>
      <c r="BNU4304" s="204"/>
      <c r="BNV4304" s="204"/>
      <c r="BNW4304" s="204"/>
      <c r="BNX4304" s="185" t="s">
        <v>667</v>
      </c>
      <c r="BNY4304" s="205">
        <v>14460</v>
      </c>
      <c r="BNZ4304" s="204"/>
      <c r="BOA4304" s="204"/>
      <c r="BOC4304" s="204"/>
      <c r="BOD4304" s="204"/>
      <c r="BOE4304" s="204"/>
      <c r="BOF4304" s="185" t="s">
        <v>667</v>
      </c>
      <c r="BOG4304" s="205">
        <v>14460</v>
      </c>
      <c r="BOH4304" s="204"/>
      <c r="BOI4304" s="204"/>
      <c r="BOK4304" s="204"/>
      <c r="BOL4304" s="204"/>
      <c r="BOM4304" s="204"/>
      <c r="BON4304" s="185" t="s">
        <v>667</v>
      </c>
      <c r="BOO4304" s="205">
        <v>14460</v>
      </c>
      <c r="BOP4304" s="204"/>
      <c r="BOQ4304" s="204"/>
      <c r="BOS4304" s="204"/>
      <c r="BOT4304" s="204"/>
      <c r="BOU4304" s="204"/>
      <c r="BOV4304" s="185" t="s">
        <v>667</v>
      </c>
      <c r="BOW4304" s="205">
        <v>14460</v>
      </c>
      <c r="BOX4304" s="204"/>
      <c r="BOY4304" s="204"/>
      <c r="BPA4304" s="204"/>
      <c r="BPB4304" s="204"/>
      <c r="BPC4304" s="204"/>
      <c r="BPD4304" s="185" t="s">
        <v>667</v>
      </c>
      <c r="BPE4304" s="205">
        <v>14460</v>
      </c>
      <c r="BPF4304" s="204"/>
      <c r="BPG4304" s="204"/>
      <c r="BPI4304" s="204"/>
      <c r="BPJ4304" s="204"/>
      <c r="BPK4304" s="204"/>
      <c r="BPL4304" s="185" t="s">
        <v>667</v>
      </c>
      <c r="BPM4304" s="205">
        <v>14460</v>
      </c>
      <c r="BPN4304" s="204"/>
      <c r="BPO4304" s="204"/>
      <c r="BPQ4304" s="204"/>
      <c r="BPR4304" s="204"/>
      <c r="BPS4304" s="204"/>
      <c r="BPT4304" s="185" t="s">
        <v>667</v>
      </c>
      <c r="BPU4304" s="205">
        <v>14460</v>
      </c>
      <c r="BPV4304" s="204"/>
      <c r="BPW4304" s="204"/>
      <c r="BPY4304" s="204"/>
      <c r="BPZ4304" s="204"/>
      <c r="BQA4304" s="204"/>
      <c r="BQB4304" s="185" t="s">
        <v>667</v>
      </c>
      <c r="BQC4304" s="205">
        <v>14460</v>
      </c>
      <c r="BQD4304" s="204"/>
      <c r="BQE4304" s="204"/>
      <c r="BQG4304" s="204"/>
      <c r="BQH4304" s="204"/>
      <c r="BQI4304" s="204"/>
      <c r="BQJ4304" s="185" t="s">
        <v>667</v>
      </c>
      <c r="BQK4304" s="205">
        <v>14460</v>
      </c>
      <c r="BQL4304" s="204"/>
      <c r="BQM4304" s="204"/>
      <c r="BQO4304" s="204"/>
      <c r="BQP4304" s="204"/>
      <c r="BQQ4304" s="204"/>
      <c r="BQR4304" s="185" t="s">
        <v>667</v>
      </c>
      <c r="BQS4304" s="205">
        <v>14460</v>
      </c>
      <c r="BQT4304" s="204"/>
      <c r="BQU4304" s="204"/>
      <c r="BQW4304" s="204"/>
      <c r="BQX4304" s="204"/>
      <c r="BQY4304" s="204"/>
      <c r="BQZ4304" s="185" t="s">
        <v>667</v>
      </c>
      <c r="BRA4304" s="205">
        <v>14460</v>
      </c>
      <c r="BRB4304" s="204"/>
      <c r="BRC4304" s="204"/>
      <c r="BRE4304" s="204"/>
      <c r="BRF4304" s="204"/>
      <c r="BRG4304" s="204"/>
      <c r="BRH4304" s="185" t="s">
        <v>667</v>
      </c>
      <c r="BRI4304" s="205">
        <v>14460</v>
      </c>
      <c r="BRJ4304" s="204"/>
      <c r="BRK4304" s="204"/>
      <c r="BRM4304" s="204"/>
      <c r="BRN4304" s="204"/>
      <c r="BRO4304" s="204"/>
      <c r="BRP4304" s="185" t="s">
        <v>667</v>
      </c>
      <c r="BRQ4304" s="205">
        <v>14460</v>
      </c>
      <c r="BRR4304" s="204"/>
      <c r="BRS4304" s="204"/>
      <c r="BRU4304" s="204"/>
      <c r="BRV4304" s="204"/>
      <c r="BRW4304" s="204"/>
      <c r="BRX4304" s="185" t="s">
        <v>667</v>
      </c>
      <c r="BRY4304" s="205">
        <v>14460</v>
      </c>
      <c r="BRZ4304" s="204"/>
      <c r="BSA4304" s="204"/>
      <c r="BSC4304" s="204"/>
      <c r="BSD4304" s="204"/>
      <c r="BSE4304" s="204"/>
      <c r="BSF4304" s="185" t="s">
        <v>667</v>
      </c>
      <c r="BSG4304" s="205">
        <v>14460</v>
      </c>
      <c r="BSH4304" s="204"/>
      <c r="BSI4304" s="204"/>
      <c r="BSK4304" s="204"/>
      <c r="BSL4304" s="204"/>
      <c r="BSM4304" s="204"/>
      <c r="BSN4304" s="185" t="s">
        <v>667</v>
      </c>
      <c r="BSO4304" s="205">
        <v>14460</v>
      </c>
      <c r="BSP4304" s="204"/>
      <c r="BSQ4304" s="204"/>
      <c r="BSS4304" s="204"/>
      <c r="BST4304" s="204"/>
      <c r="BSU4304" s="204"/>
      <c r="BSV4304" s="185" t="s">
        <v>667</v>
      </c>
      <c r="BSW4304" s="205">
        <v>14460</v>
      </c>
      <c r="BSX4304" s="204"/>
      <c r="BSY4304" s="204"/>
      <c r="BTA4304" s="204"/>
      <c r="BTB4304" s="204"/>
      <c r="BTC4304" s="204"/>
      <c r="BTD4304" s="185" t="s">
        <v>667</v>
      </c>
      <c r="BTE4304" s="205">
        <v>14460</v>
      </c>
      <c r="BTF4304" s="204"/>
      <c r="BTG4304" s="204"/>
      <c r="BTI4304" s="204"/>
      <c r="BTJ4304" s="204"/>
      <c r="BTK4304" s="204"/>
      <c r="BTL4304" s="185" t="s">
        <v>667</v>
      </c>
      <c r="BTM4304" s="205">
        <v>14460</v>
      </c>
      <c r="BTN4304" s="204"/>
      <c r="BTO4304" s="204"/>
      <c r="BTQ4304" s="204"/>
      <c r="BTR4304" s="204"/>
      <c r="BTS4304" s="204"/>
      <c r="BTT4304" s="185" t="s">
        <v>667</v>
      </c>
      <c r="BTU4304" s="205">
        <v>14460</v>
      </c>
      <c r="BTV4304" s="204"/>
      <c r="BTW4304" s="204"/>
      <c r="BTY4304" s="204"/>
      <c r="BTZ4304" s="204"/>
      <c r="BUA4304" s="204"/>
      <c r="BUB4304" s="185" t="s">
        <v>667</v>
      </c>
      <c r="BUC4304" s="205">
        <v>14460</v>
      </c>
      <c r="BUD4304" s="204"/>
      <c r="BUE4304" s="204"/>
      <c r="BUG4304" s="204"/>
      <c r="BUH4304" s="204"/>
      <c r="BUI4304" s="204"/>
      <c r="BUJ4304" s="185" t="s">
        <v>667</v>
      </c>
      <c r="BUK4304" s="205">
        <v>14460</v>
      </c>
      <c r="BUL4304" s="204"/>
      <c r="BUM4304" s="204"/>
      <c r="BUO4304" s="204"/>
      <c r="BUP4304" s="204"/>
      <c r="BUQ4304" s="204"/>
      <c r="BUR4304" s="185" t="s">
        <v>667</v>
      </c>
      <c r="BUS4304" s="205">
        <v>14460</v>
      </c>
      <c r="BUT4304" s="204"/>
      <c r="BUU4304" s="204"/>
      <c r="BUW4304" s="204"/>
      <c r="BUX4304" s="204"/>
      <c r="BUY4304" s="204"/>
      <c r="BUZ4304" s="185" t="s">
        <v>667</v>
      </c>
      <c r="BVA4304" s="205">
        <v>14460</v>
      </c>
      <c r="BVB4304" s="204"/>
      <c r="BVC4304" s="204"/>
      <c r="BVE4304" s="204"/>
      <c r="BVF4304" s="204"/>
      <c r="BVG4304" s="204"/>
      <c r="BVH4304" s="185" t="s">
        <v>667</v>
      </c>
      <c r="BVI4304" s="205">
        <v>14460</v>
      </c>
      <c r="BVJ4304" s="204"/>
      <c r="BVK4304" s="204"/>
      <c r="BVM4304" s="204"/>
      <c r="BVN4304" s="204"/>
      <c r="BVO4304" s="204"/>
      <c r="BVP4304" s="185" t="s">
        <v>667</v>
      </c>
      <c r="BVQ4304" s="205">
        <v>14460</v>
      </c>
      <c r="BVR4304" s="204"/>
      <c r="BVS4304" s="204"/>
      <c r="BVU4304" s="204"/>
      <c r="BVV4304" s="204"/>
      <c r="BVW4304" s="204"/>
      <c r="BVX4304" s="185" t="s">
        <v>667</v>
      </c>
      <c r="BVY4304" s="205">
        <v>14460</v>
      </c>
      <c r="BVZ4304" s="204"/>
      <c r="BWA4304" s="204"/>
      <c r="BWC4304" s="204"/>
      <c r="BWD4304" s="204"/>
      <c r="BWE4304" s="204"/>
      <c r="BWF4304" s="185" t="s">
        <v>667</v>
      </c>
      <c r="BWG4304" s="205">
        <v>14460</v>
      </c>
      <c r="BWH4304" s="204"/>
      <c r="BWI4304" s="204"/>
      <c r="BWK4304" s="204"/>
      <c r="BWL4304" s="204"/>
      <c r="BWM4304" s="204"/>
      <c r="BWN4304" s="185" t="s">
        <v>667</v>
      </c>
      <c r="BWO4304" s="205">
        <v>14460</v>
      </c>
      <c r="BWP4304" s="204"/>
      <c r="BWQ4304" s="204"/>
      <c r="BWS4304" s="204"/>
      <c r="BWT4304" s="204"/>
      <c r="BWU4304" s="204"/>
      <c r="BWV4304" s="185" t="s">
        <v>667</v>
      </c>
      <c r="BWW4304" s="205">
        <v>14460</v>
      </c>
      <c r="BWX4304" s="204"/>
      <c r="BWY4304" s="204"/>
      <c r="BXA4304" s="204"/>
      <c r="BXB4304" s="204"/>
      <c r="BXC4304" s="204"/>
      <c r="BXD4304" s="185" t="s">
        <v>667</v>
      </c>
      <c r="BXE4304" s="205">
        <v>14460</v>
      </c>
      <c r="BXF4304" s="204"/>
      <c r="BXG4304" s="204"/>
      <c r="BXI4304" s="204"/>
      <c r="BXJ4304" s="204"/>
      <c r="BXK4304" s="204"/>
      <c r="BXL4304" s="185" t="s">
        <v>667</v>
      </c>
      <c r="BXM4304" s="205">
        <v>14460</v>
      </c>
      <c r="BXN4304" s="204"/>
      <c r="BXO4304" s="204"/>
      <c r="BXQ4304" s="204"/>
      <c r="BXR4304" s="204"/>
      <c r="BXS4304" s="204"/>
      <c r="BXT4304" s="185" t="s">
        <v>667</v>
      </c>
      <c r="BXU4304" s="205">
        <v>14460</v>
      </c>
      <c r="BXV4304" s="204"/>
      <c r="BXW4304" s="204"/>
      <c r="BXY4304" s="204"/>
      <c r="BXZ4304" s="204"/>
      <c r="BYA4304" s="204"/>
      <c r="BYB4304" s="185" t="s">
        <v>667</v>
      </c>
      <c r="BYC4304" s="205">
        <v>14460</v>
      </c>
      <c r="BYD4304" s="204"/>
      <c r="BYE4304" s="204"/>
      <c r="BYG4304" s="204"/>
      <c r="BYH4304" s="204"/>
      <c r="BYI4304" s="204"/>
      <c r="BYJ4304" s="185" t="s">
        <v>667</v>
      </c>
      <c r="BYK4304" s="205">
        <v>14460</v>
      </c>
      <c r="BYL4304" s="204"/>
      <c r="BYM4304" s="204"/>
      <c r="BYO4304" s="204"/>
      <c r="BYP4304" s="204"/>
      <c r="BYQ4304" s="204"/>
      <c r="BYR4304" s="185" t="s">
        <v>667</v>
      </c>
      <c r="BYS4304" s="205">
        <v>14460</v>
      </c>
      <c r="BYT4304" s="204"/>
      <c r="BYU4304" s="204"/>
      <c r="BYW4304" s="204"/>
      <c r="BYX4304" s="204"/>
      <c r="BYY4304" s="204"/>
      <c r="BYZ4304" s="185" t="s">
        <v>667</v>
      </c>
      <c r="BZA4304" s="205">
        <v>14460</v>
      </c>
      <c r="BZB4304" s="204"/>
      <c r="BZC4304" s="204"/>
      <c r="BZE4304" s="204"/>
      <c r="BZF4304" s="204"/>
      <c r="BZG4304" s="204"/>
      <c r="BZH4304" s="185" t="s">
        <v>667</v>
      </c>
      <c r="BZI4304" s="205">
        <v>14460</v>
      </c>
      <c r="BZJ4304" s="204"/>
      <c r="BZK4304" s="204"/>
      <c r="BZM4304" s="204"/>
      <c r="BZN4304" s="204"/>
      <c r="BZO4304" s="204"/>
      <c r="BZP4304" s="185" t="s">
        <v>667</v>
      </c>
      <c r="BZQ4304" s="205">
        <v>14460</v>
      </c>
      <c r="BZR4304" s="204"/>
      <c r="BZS4304" s="204"/>
      <c r="BZU4304" s="204"/>
      <c r="BZV4304" s="204"/>
      <c r="BZW4304" s="204"/>
      <c r="BZX4304" s="185" t="s">
        <v>667</v>
      </c>
      <c r="BZY4304" s="205">
        <v>14460</v>
      </c>
      <c r="BZZ4304" s="204"/>
      <c r="CAA4304" s="204"/>
      <c r="CAC4304" s="204"/>
      <c r="CAD4304" s="204"/>
      <c r="CAE4304" s="204"/>
      <c r="CAF4304" s="185" t="s">
        <v>667</v>
      </c>
      <c r="CAG4304" s="205">
        <v>14460</v>
      </c>
      <c r="CAH4304" s="204"/>
      <c r="CAI4304" s="204"/>
      <c r="CAK4304" s="204"/>
      <c r="CAL4304" s="204"/>
      <c r="CAM4304" s="204"/>
      <c r="CAN4304" s="185" t="s">
        <v>667</v>
      </c>
      <c r="CAO4304" s="205">
        <v>14460</v>
      </c>
      <c r="CAP4304" s="204"/>
      <c r="CAQ4304" s="204"/>
      <c r="CAS4304" s="204"/>
      <c r="CAT4304" s="204"/>
      <c r="CAU4304" s="204"/>
      <c r="CAV4304" s="185" t="s">
        <v>667</v>
      </c>
      <c r="CAW4304" s="205">
        <v>14460</v>
      </c>
      <c r="CAX4304" s="204"/>
      <c r="CAY4304" s="204"/>
      <c r="CBA4304" s="204"/>
      <c r="CBB4304" s="204"/>
      <c r="CBC4304" s="204"/>
      <c r="CBD4304" s="185" t="s">
        <v>667</v>
      </c>
      <c r="CBE4304" s="205">
        <v>14460</v>
      </c>
      <c r="CBF4304" s="204"/>
      <c r="CBG4304" s="204"/>
      <c r="CBI4304" s="204"/>
      <c r="CBJ4304" s="204"/>
      <c r="CBK4304" s="204"/>
      <c r="CBL4304" s="185" t="s">
        <v>667</v>
      </c>
      <c r="CBM4304" s="205">
        <v>14460</v>
      </c>
      <c r="CBN4304" s="204"/>
      <c r="CBO4304" s="204"/>
      <c r="CBQ4304" s="204"/>
      <c r="CBR4304" s="204"/>
      <c r="CBS4304" s="204"/>
      <c r="CBT4304" s="185" t="s">
        <v>667</v>
      </c>
      <c r="CBU4304" s="205">
        <v>14460</v>
      </c>
      <c r="CBV4304" s="204"/>
      <c r="CBW4304" s="204"/>
      <c r="CBY4304" s="204"/>
      <c r="CBZ4304" s="204"/>
      <c r="CCA4304" s="204"/>
      <c r="CCB4304" s="185" t="s">
        <v>667</v>
      </c>
      <c r="CCC4304" s="205">
        <v>14460</v>
      </c>
      <c r="CCD4304" s="204"/>
      <c r="CCE4304" s="204"/>
      <c r="CCG4304" s="204"/>
      <c r="CCH4304" s="204"/>
      <c r="CCI4304" s="204"/>
      <c r="CCJ4304" s="185" t="s">
        <v>667</v>
      </c>
      <c r="CCK4304" s="205">
        <v>14460</v>
      </c>
      <c r="CCL4304" s="204"/>
      <c r="CCM4304" s="204"/>
      <c r="CCO4304" s="204"/>
      <c r="CCP4304" s="204"/>
      <c r="CCQ4304" s="204"/>
      <c r="CCR4304" s="185" t="s">
        <v>667</v>
      </c>
      <c r="CCS4304" s="205">
        <v>14460</v>
      </c>
      <c r="CCT4304" s="204"/>
      <c r="CCU4304" s="204"/>
      <c r="CCW4304" s="204"/>
      <c r="CCX4304" s="204"/>
      <c r="CCY4304" s="204"/>
      <c r="CCZ4304" s="185" t="s">
        <v>667</v>
      </c>
      <c r="CDA4304" s="205">
        <v>14460</v>
      </c>
      <c r="CDB4304" s="204"/>
      <c r="CDC4304" s="204"/>
      <c r="CDE4304" s="204"/>
      <c r="CDF4304" s="204"/>
      <c r="CDG4304" s="204"/>
      <c r="CDH4304" s="185" t="s">
        <v>667</v>
      </c>
      <c r="CDI4304" s="205">
        <v>14460</v>
      </c>
      <c r="CDJ4304" s="204"/>
      <c r="CDK4304" s="204"/>
      <c r="CDM4304" s="204"/>
      <c r="CDN4304" s="204"/>
      <c r="CDO4304" s="204"/>
      <c r="CDP4304" s="185" t="s">
        <v>667</v>
      </c>
      <c r="CDQ4304" s="205">
        <v>14460</v>
      </c>
      <c r="CDR4304" s="204"/>
      <c r="CDS4304" s="204"/>
      <c r="CDU4304" s="204"/>
      <c r="CDV4304" s="204"/>
      <c r="CDW4304" s="204"/>
      <c r="CDX4304" s="185" t="s">
        <v>667</v>
      </c>
      <c r="CDY4304" s="205">
        <v>14460</v>
      </c>
      <c r="CDZ4304" s="204"/>
      <c r="CEA4304" s="204"/>
      <c r="CEC4304" s="204"/>
      <c r="CED4304" s="204"/>
      <c r="CEE4304" s="204"/>
      <c r="CEF4304" s="185" t="s">
        <v>667</v>
      </c>
      <c r="CEG4304" s="205">
        <v>14460</v>
      </c>
      <c r="CEH4304" s="204"/>
      <c r="CEI4304" s="204"/>
      <c r="CEK4304" s="204"/>
      <c r="CEL4304" s="204"/>
      <c r="CEM4304" s="204"/>
      <c r="CEN4304" s="185" t="s">
        <v>667</v>
      </c>
      <c r="CEO4304" s="205">
        <v>14460</v>
      </c>
      <c r="CEP4304" s="204"/>
      <c r="CEQ4304" s="204"/>
      <c r="CES4304" s="204"/>
      <c r="CET4304" s="204"/>
      <c r="CEU4304" s="204"/>
      <c r="CEV4304" s="185" t="s">
        <v>667</v>
      </c>
      <c r="CEW4304" s="205">
        <v>14460</v>
      </c>
      <c r="CEX4304" s="204"/>
      <c r="CEY4304" s="204"/>
      <c r="CFA4304" s="204"/>
      <c r="CFB4304" s="204"/>
      <c r="CFC4304" s="204"/>
      <c r="CFD4304" s="185" t="s">
        <v>667</v>
      </c>
      <c r="CFE4304" s="205">
        <v>14460</v>
      </c>
      <c r="CFF4304" s="204"/>
      <c r="CFG4304" s="204"/>
      <c r="CFI4304" s="204"/>
      <c r="CFJ4304" s="204"/>
      <c r="CFK4304" s="204"/>
      <c r="CFL4304" s="185" t="s">
        <v>667</v>
      </c>
      <c r="CFM4304" s="205">
        <v>14460</v>
      </c>
      <c r="CFN4304" s="204"/>
      <c r="CFO4304" s="204"/>
      <c r="CFQ4304" s="204"/>
      <c r="CFR4304" s="204"/>
      <c r="CFS4304" s="204"/>
      <c r="CFT4304" s="185" t="s">
        <v>667</v>
      </c>
      <c r="CFU4304" s="205">
        <v>14460</v>
      </c>
      <c r="CFV4304" s="204"/>
      <c r="CFW4304" s="204"/>
      <c r="CFY4304" s="204"/>
      <c r="CFZ4304" s="204"/>
      <c r="CGA4304" s="204"/>
      <c r="CGB4304" s="185" t="s">
        <v>667</v>
      </c>
      <c r="CGC4304" s="205">
        <v>14460</v>
      </c>
      <c r="CGD4304" s="204"/>
      <c r="CGE4304" s="204"/>
      <c r="CGG4304" s="204"/>
      <c r="CGH4304" s="204"/>
      <c r="CGI4304" s="204"/>
      <c r="CGJ4304" s="185" t="s">
        <v>667</v>
      </c>
      <c r="CGK4304" s="205">
        <v>14460</v>
      </c>
      <c r="CGL4304" s="204"/>
      <c r="CGM4304" s="204"/>
      <c r="CGO4304" s="204"/>
      <c r="CGP4304" s="204"/>
      <c r="CGQ4304" s="204"/>
      <c r="CGR4304" s="185" t="s">
        <v>667</v>
      </c>
      <c r="CGS4304" s="205">
        <v>14460</v>
      </c>
      <c r="CGT4304" s="204"/>
      <c r="CGU4304" s="204"/>
      <c r="CGW4304" s="204"/>
      <c r="CGX4304" s="204"/>
      <c r="CGY4304" s="204"/>
      <c r="CGZ4304" s="185" t="s">
        <v>667</v>
      </c>
      <c r="CHA4304" s="205">
        <v>14460</v>
      </c>
      <c r="CHB4304" s="204"/>
      <c r="CHC4304" s="204"/>
      <c r="CHE4304" s="204"/>
      <c r="CHF4304" s="204"/>
      <c r="CHG4304" s="204"/>
      <c r="CHH4304" s="185" t="s">
        <v>667</v>
      </c>
      <c r="CHI4304" s="205">
        <v>14460</v>
      </c>
      <c r="CHJ4304" s="204"/>
      <c r="CHK4304" s="204"/>
      <c r="CHM4304" s="204"/>
      <c r="CHN4304" s="204"/>
      <c r="CHO4304" s="204"/>
      <c r="CHP4304" s="185" t="s">
        <v>667</v>
      </c>
      <c r="CHQ4304" s="205">
        <v>14460</v>
      </c>
      <c r="CHR4304" s="204"/>
      <c r="CHS4304" s="204"/>
      <c r="CHU4304" s="204"/>
      <c r="CHV4304" s="204"/>
      <c r="CHW4304" s="204"/>
      <c r="CHX4304" s="185" t="s">
        <v>667</v>
      </c>
      <c r="CHY4304" s="205">
        <v>14460</v>
      </c>
      <c r="CHZ4304" s="204"/>
      <c r="CIA4304" s="204"/>
      <c r="CIC4304" s="204"/>
      <c r="CID4304" s="204"/>
      <c r="CIE4304" s="204"/>
      <c r="CIF4304" s="185" t="s">
        <v>667</v>
      </c>
      <c r="CIG4304" s="205">
        <v>14460</v>
      </c>
      <c r="CIH4304" s="204"/>
      <c r="CII4304" s="204"/>
      <c r="CIK4304" s="204"/>
      <c r="CIL4304" s="204"/>
      <c r="CIM4304" s="204"/>
      <c r="CIN4304" s="185" t="s">
        <v>667</v>
      </c>
      <c r="CIO4304" s="205">
        <v>14460</v>
      </c>
      <c r="CIP4304" s="204"/>
      <c r="CIQ4304" s="204"/>
      <c r="CIS4304" s="204"/>
      <c r="CIT4304" s="204"/>
      <c r="CIU4304" s="204"/>
      <c r="CIV4304" s="185" t="s">
        <v>667</v>
      </c>
      <c r="CIW4304" s="205">
        <v>14460</v>
      </c>
      <c r="CIX4304" s="204"/>
      <c r="CIY4304" s="204"/>
      <c r="CJA4304" s="204"/>
      <c r="CJB4304" s="204"/>
      <c r="CJC4304" s="204"/>
      <c r="CJD4304" s="185" t="s">
        <v>667</v>
      </c>
      <c r="CJE4304" s="205">
        <v>14460</v>
      </c>
      <c r="CJF4304" s="204"/>
      <c r="CJG4304" s="204"/>
      <c r="CJI4304" s="204"/>
      <c r="CJJ4304" s="204"/>
      <c r="CJK4304" s="204"/>
      <c r="CJL4304" s="185" t="s">
        <v>667</v>
      </c>
      <c r="CJM4304" s="205">
        <v>14460</v>
      </c>
      <c r="CJN4304" s="204"/>
      <c r="CJO4304" s="204"/>
      <c r="CJQ4304" s="204"/>
      <c r="CJR4304" s="204"/>
      <c r="CJS4304" s="204"/>
      <c r="CJT4304" s="185" t="s">
        <v>667</v>
      </c>
      <c r="CJU4304" s="205">
        <v>14460</v>
      </c>
      <c r="CJV4304" s="204"/>
      <c r="CJW4304" s="204"/>
      <c r="CJY4304" s="204"/>
      <c r="CJZ4304" s="204"/>
      <c r="CKA4304" s="204"/>
      <c r="CKB4304" s="185" t="s">
        <v>667</v>
      </c>
      <c r="CKC4304" s="205">
        <v>14460</v>
      </c>
      <c r="CKD4304" s="204"/>
      <c r="CKE4304" s="204"/>
      <c r="CKG4304" s="204"/>
      <c r="CKH4304" s="204"/>
      <c r="CKI4304" s="204"/>
      <c r="CKJ4304" s="185" t="s">
        <v>667</v>
      </c>
      <c r="CKK4304" s="205">
        <v>14460</v>
      </c>
      <c r="CKL4304" s="204"/>
      <c r="CKM4304" s="204"/>
      <c r="CKO4304" s="204"/>
      <c r="CKP4304" s="204"/>
      <c r="CKQ4304" s="204"/>
      <c r="CKR4304" s="185" t="s">
        <v>667</v>
      </c>
      <c r="CKS4304" s="205">
        <v>14460</v>
      </c>
      <c r="CKT4304" s="204"/>
      <c r="CKU4304" s="204"/>
      <c r="CKW4304" s="204"/>
      <c r="CKX4304" s="204"/>
      <c r="CKY4304" s="204"/>
      <c r="CKZ4304" s="185" t="s">
        <v>667</v>
      </c>
      <c r="CLA4304" s="205">
        <v>14460</v>
      </c>
      <c r="CLB4304" s="204"/>
      <c r="CLC4304" s="204"/>
      <c r="CLE4304" s="204"/>
      <c r="CLF4304" s="204"/>
      <c r="CLG4304" s="204"/>
      <c r="CLH4304" s="185" t="s">
        <v>667</v>
      </c>
      <c r="CLI4304" s="205">
        <v>14460</v>
      </c>
      <c r="CLJ4304" s="204"/>
      <c r="CLK4304" s="204"/>
      <c r="CLM4304" s="204"/>
      <c r="CLN4304" s="204"/>
      <c r="CLO4304" s="204"/>
      <c r="CLP4304" s="185" t="s">
        <v>667</v>
      </c>
      <c r="CLQ4304" s="205">
        <v>14460</v>
      </c>
      <c r="CLR4304" s="204"/>
      <c r="CLS4304" s="204"/>
      <c r="CLU4304" s="204"/>
      <c r="CLV4304" s="204"/>
      <c r="CLW4304" s="204"/>
      <c r="CLX4304" s="185" t="s">
        <v>667</v>
      </c>
      <c r="CLY4304" s="205">
        <v>14460</v>
      </c>
      <c r="CLZ4304" s="204"/>
      <c r="CMA4304" s="204"/>
      <c r="CMC4304" s="204"/>
      <c r="CMD4304" s="204"/>
      <c r="CME4304" s="204"/>
      <c r="CMF4304" s="185" t="s">
        <v>667</v>
      </c>
      <c r="CMG4304" s="205">
        <v>14460</v>
      </c>
      <c r="CMH4304" s="204"/>
      <c r="CMI4304" s="204"/>
      <c r="CMK4304" s="204"/>
      <c r="CML4304" s="204"/>
      <c r="CMM4304" s="204"/>
      <c r="CMN4304" s="185" t="s">
        <v>667</v>
      </c>
      <c r="CMO4304" s="205">
        <v>14460</v>
      </c>
      <c r="CMP4304" s="204"/>
      <c r="CMQ4304" s="204"/>
      <c r="CMS4304" s="204"/>
      <c r="CMT4304" s="204"/>
      <c r="CMU4304" s="204"/>
      <c r="CMV4304" s="185" t="s">
        <v>667</v>
      </c>
      <c r="CMW4304" s="205">
        <v>14460</v>
      </c>
      <c r="CMX4304" s="204"/>
      <c r="CMY4304" s="204"/>
      <c r="CNA4304" s="204"/>
      <c r="CNB4304" s="204"/>
      <c r="CNC4304" s="204"/>
      <c r="CND4304" s="185" t="s">
        <v>667</v>
      </c>
      <c r="CNE4304" s="205">
        <v>14460</v>
      </c>
      <c r="CNF4304" s="204"/>
      <c r="CNG4304" s="204"/>
      <c r="CNI4304" s="204"/>
      <c r="CNJ4304" s="204"/>
      <c r="CNK4304" s="204"/>
      <c r="CNL4304" s="185" t="s">
        <v>667</v>
      </c>
      <c r="CNM4304" s="205">
        <v>14460</v>
      </c>
      <c r="CNN4304" s="204"/>
      <c r="CNO4304" s="204"/>
      <c r="CNQ4304" s="204"/>
      <c r="CNR4304" s="204"/>
      <c r="CNS4304" s="204"/>
      <c r="CNT4304" s="185" t="s">
        <v>667</v>
      </c>
      <c r="CNU4304" s="205">
        <v>14460</v>
      </c>
      <c r="CNV4304" s="204"/>
      <c r="CNW4304" s="204"/>
      <c r="CNY4304" s="204"/>
      <c r="CNZ4304" s="204"/>
      <c r="COA4304" s="204"/>
      <c r="COB4304" s="185" t="s">
        <v>667</v>
      </c>
      <c r="COC4304" s="205">
        <v>14460</v>
      </c>
      <c r="COD4304" s="204"/>
      <c r="COE4304" s="204"/>
      <c r="COG4304" s="204"/>
      <c r="COH4304" s="204"/>
      <c r="COI4304" s="204"/>
      <c r="COJ4304" s="185" t="s">
        <v>667</v>
      </c>
      <c r="COK4304" s="205">
        <v>14460</v>
      </c>
      <c r="COL4304" s="204"/>
      <c r="COM4304" s="204"/>
      <c r="COO4304" s="204"/>
      <c r="COP4304" s="204"/>
      <c r="COQ4304" s="204"/>
      <c r="COR4304" s="185" t="s">
        <v>667</v>
      </c>
      <c r="COS4304" s="205">
        <v>14460</v>
      </c>
      <c r="COT4304" s="204"/>
      <c r="COU4304" s="204"/>
      <c r="COW4304" s="204"/>
      <c r="COX4304" s="204"/>
      <c r="COY4304" s="204"/>
      <c r="COZ4304" s="185" t="s">
        <v>667</v>
      </c>
      <c r="CPA4304" s="205">
        <v>14460</v>
      </c>
      <c r="CPB4304" s="204"/>
      <c r="CPC4304" s="204"/>
      <c r="CPE4304" s="204"/>
      <c r="CPF4304" s="204"/>
      <c r="CPG4304" s="204"/>
      <c r="CPH4304" s="185" t="s">
        <v>667</v>
      </c>
      <c r="CPI4304" s="205">
        <v>14460</v>
      </c>
      <c r="CPJ4304" s="204"/>
      <c r="CPK4304" s="204"/>
      <c r="CPM4304" s="204"/>
      <c r="CPN4304" s="204"/>
      <c r="CPO4304" s="204"/>
      <c r="CPP4304" s="185" t="s">
        <v>667</v>
      </c>
      <c r="CPQ4304" s="205">
        <v>14460</v>
      </c>
      <c r="CPR4304" s="204"/>
      <c r="CPS4304" s="204"/>
      <c r="CPU4304" s="204"/>
      <c r="CPV4304" s="204"/>
      <c r="CPW4304" s="204"/>
      <c r="CPX4304" s="185" t="s">
        <v>667</v>
      </c>
      <c r="CPY4304" s="205">
        <v>14460</v>
      </c>
      <c r="CPZ4304" s="204"/>
      <c r="CQA4304" s="204"/>
      <c r="CQC4304" s="204"/>
      <c r="CQD4304" s="204"/>
      <c r="CQE4304" s="204"/>
      <c r="CQF4304" s="185" t="s">
        <v>667</v>
      </c>
      <c r="CQG4304" s="205">
        <v>14460</v>
      </c>
      <c r="CQH4304" s="204"/>
      <c r="CQI4304" s="204"/>
      <c r="CQK4304" s="204"/>
      <c r="CQL4304" s="204"/>
      <c r="CQM4304" s="204"/>
      <c r="CQN4304" s="185" t="s">
        <v>667</v>
      </c>
      <c r="CQO4304" s="205">
        <v>14460</v>
      </c>
      <c r="CQP4304" s="204"/>
      <c r="CQQ4304" s="204"/>
      <c r="CQS4304" s="204"/>
      <c r="CQT4304" s="204"/>
      <c r="CQU4304" s="204"/>
      <c r="CQV4304" s="185" t="s">
        <v>667</v>
      </c>
      <c r="CQW4304" s="205">
        <v>14460</v>
      </c>
      <c r="CQX4304" s="204"/>
      <c r="CQY4304" s="204"/>
      <c r="CRA4304" s="204"/>
      <c r="CRB4304" s="204"/>
      <c r="CRC4304" s="204"/>
      <c r="CRD4304" s="185" t="s">
        <v>667</v>
      </c>
      <c r="CRE4304" s="205">
        <v>14460</v>
      </c>
      <c r="CRF4304" s="204"/>
      <c r="CRG4304" s="204"/>
      <c r="CRI4304" s="204"/>
      <c r="CRJ4304" s="204"/>
      <c r="CRK4304" s="204"/>
      <c r="CRL4304" s="185" t="s">
        <v>667</v>
      </c>
      <c r="CRM4304" s="205">
        <v>14460</v>
      </c>
      <c r="CRN4304" s="204"/>
      <c r="CRO4304" s="204"/>
      <c r="CRQ4304" s="204"/>
      <c r="CRR4304" s="204"/>
      <c r="CRS4304" s="204"/>
      <c r="CRT4304" s="185" t="s">
        <v>667</v>
      </c>
      <c r="CRU4304" s="205">
        <v>14460</v>
      </c>
      <c r="CRV4304" s="204"/>
      <c r="CRW4304" s="204"/>
      <c r="CRY4304" s="204"/>
      <c r="CRZ4304" s="204"/>
      <c r="CSA4304" s="204"/>
      <c r="CSB4304" s="185" t="s">
        <v>667</v>
      </c>
      <c r="CSC4304" s="205">
        <v>14460</v>
      </c>
      <c r="CSD4304" s="204"/>
      <c r="CSE4304" s="204"/>
      <c r="CSG4304" s="204"/>
      <c r="CSH4304" s="204"/>
      <c r="CSI4304" s="204"/>
      <c r="CSJ4304" s="185" t="s">
        <v>667</v>
      </c>
      <c r="CSK4304" s="205">
        <v>14460</v>
      </c>
      <c r="CSL4304" s="204"/>
      <c r="CSM4304" s="204"/>
      <c r="CSO4304" s="204"/>
      <c r="CSP4304" s="204"/>
      <c r="CSQ4304" s="204"/>
      <c r="CSR4304" s="185" t="s">
        <v>667</v>
      </c>
      <c r="CSS4304" s="205">
        <v>14460</v>
      </c>
      <c r="CST4304" s="204"/>
      <c r="CSU4304" s="204"/>
      <c r="CSW4304" s="204"/>
      <c r="CSX4304" s="204"/>
      <c r="CSY4304" s="204"/>
      <c r="CSZ4304" s="185" t="s">
        <v>667</v>
      </c>
      <c r="CTA4304" s="205">
        <v>14460</v>
      </c>
      <c r="CTB4304" s="204"/>
      <c r="CTC4304" s="204"/>
      <c r="CTE4304" s="204"/>
      <c r="CTF4304" s="204"/>
      <c r="CTG4304" s="204"/>
      <c r="CTH4304" s="185" t="s">
        <v>667</v>
      </c>
      <c r="CTI4304" s="205">
        <v>14460</v>
      </c>
      <c r="CTJ4304" s="204"/>
      <c r="CTK4304" s="204"/>
      <c r="CTM4304" s="204"/>
      <c r="CTN4304" s="204"/>
      <c r="CTO4304" s="204"/>
      <c r="CTP4304" s="185" t="s">
        <v>667</v>
      </c>
      <c r="CTQ4304" s="205">
        <v>14460</v>
      </c>
      <c r="CTR4304" s="204"/>
      <c r="CTS4304" s="204"/>
      <c r="CTU4304" s="204"/>
      <c r="CTV4304" s="204"/>
      <c r="CTW4304" s="204"/>
      <c r="CTX4304" s="185" t="s">
        <v>667</v>
      </c>
      <c r="CTY4304" s="205">
        <v>14460</v>
      </c>
      <c r="CTZ4304" s="204"/>
      <c r="CUA4304" s="204"/>
      <c r="CUC4304" s="204"/>
      <c r="CUD4304" s="204"/>
      <c r="CUE4304" s="204"/>
      <c r="CUF4304" s="185" t="s">
        <v>667</v>
      </c>
      <c r="CUG4304" s="205">
        <v>14460</v>
      </c>
      <c r="CUH4304" s="204"/>
      <c r="CUI4304" s="204"/>
      <c r="CUK4304" s="204"/>
      <c r="CUL4304" s="204"/>
      <c r="CUM4304" s="204"/>
      <c r="CUN4304" s="185" t="s">
        <v>667</v>
      </c>
      <c r="CUO4304" s="205">
        <v>14460</v>
      </c>
      <c r="CUP4304" s="204"/>
      <c r="CUQ4304" s="204"/>
      <c r="CUS4304" s="204"/>
      <c r="CUT4304" s="204"/>
      <c r="CUU4304" s="204"/>
      <c r="CUV4304" s="185" t="s">
        <v>667</v>
      </c>
      <c r="CUW4304" s="205">
        <v>14460</v>
      </c>
      <c r="CUX4304" s="204"/>
      <c r="CUY4304" s="204"/>
      <c r="CVA4304" s="204"/>
      <c r="CVB4304" s="204"/>
      <c r="CVC4304" s="204"/>
      <c r="CVD4304" s="185" t="s">
        <v>667</v>
      </c>
      <c r="CVE4304" s="205">
        <v>14460</v>
      </c>
      <c r="CVF4304" s="204"/>
      <c r="CVG4304" s="204"/>
      <c r="CVI4304" s="204"/>
      <c r="CVJ4304" s="204"/>
      <c r="CVK4304" s="204"/>
      <c r="CVL4304" s="185" t="s">
        <v>667</v>
      </c>
      <c r="CVM4304" s="205">
        <v>14460</v>
      </c>
      <c r="CVN4304" s="204"/>
      <c r="CVO4304" s="204"/>
      <c r="CVQ4304" s="204"/>
      <c r="CVR4304" s="204"/>
      <c r="CVS4304" s="204"/>
      <c r="CVT4304" s="185" t="s">
        <v>667</v>
      </c>
      <c r="CVU4304" s="205">
        <v>14460</v>
      </c>
      <c r="CVV4304" s="204"/>
      <c r="CVW4304" s="204"/>
      <c r="CVY4304" s="204"/>
      <c r="CVZ4304" s="204"/>
      <c r="CWA4304" s="204"/>
      <c r="CWB4304" s="185" t="s">
        <v>667</v>
      </c>
      <c r="CWC4304" s="205">
        <v>14460</v>
      </c>
      <c r="CWD4304" s="204"/>
      <c r="CWE4304" s="204"/>
      <c r="CWG4304" s="204"/>
      <c r="CWH4304" s="204"/>
      <c r="CWI4304" s="204"/>
      <c r="CWJ4304" s="185" t="s">
        <v>667</v>
      </c>
      <c r="CWK4304" s="205">
        <v>14460</v>
      </c>
      <c r="CWL4304" s="204"/>
      <c r="CWM4304" s="204"/>
      <c r="CWO4304" s="204"/>
      <c r="CWP4304" s="204"/>
      <c r="CWQ4304" s="204"/>
      <c r="CWR4304" s="185" t="s">
        <v>667</v>
      </c>
      <c r="CWS4304" s="205">
        <v>14460</v>
      </c>
      <c r="CWT4304" s="204"/>
      <c r="CWU4304" s="204"/>
      <c r="CWW4304" s="204"/>
      <c r="CWX4304" s="204"/>
      <c r="CWY4304" s="204"/>
      <c r="CWZ4304" s="185" t="s">
        <v>667</v>
      </c>
      <c r="CXA4304" s="205">
        <v>14460</v>
      </c>
      <c r="CXB4304" s="204"/>
      <c r="CXC4304" s="204"/>
      <c r="CXE4304" s="204"/>
      <c r="CXF4304" s="204"/>
      <c r="CXG4304" s="204"/>
      <c r="CXH4304" s="185" t="s">
        <v>667</v>
      </c>
      <c r="CXI4304" s="205">
        <v>14460</v>
      </c>
      <c r="CXJ4304" s="204"/>
      <c r="CXK4304" s="204"/>
      <c r="CXM4304" s="204"/>
      <c r="CXN4304" s="204"/>
      <c r="CXO4304" s="204"/>
      <c r="CXP4304" s="185" t="s">
        <v>667</v>
      </c>
      <c r="CXQ4304" s="205">
        <v>14460</v>
      </c>
      <c r="CXR4304" s="204"/>
      <c r="CXS4304" s="204"/>
      <c r="CXU4304" s="204"/>
      <c r="CXV4304" s="204"/>
      <c r="CXW4304" s="204"/>
      <c r="CXX4304" s="185" t="s">
        <v>667</v>
      </c>
      <c r="CXY4304" s="205">
        <v>14460</v>
      </c>
      <c r="CXZ4304" s="204"/>
      <c r="CYA4304" s="204"/>
      <c r="CYC4304" s="204"/>
      <c r="CYD4304" s="204"/>
      <c r="CYE4304" s="204"/>
      <c r="CYF4304" s="185" t="s">
        <v>667</v>
      </c>
      <c r="CYG4304" s="205">
        <v>14460</v>
      </c>
      <c r="CYH4304" s="204"/>
      <c r="CYI4304" s="204"/>
      <c r="CYK4304" s="204"/>
      <c r="CYL4304" s="204"/>
      <c r="CYM4304" s="204"/>
      <c r="CYN4304" s="185" t="s">
        <v>667</v>
      </c>
      <c r="CYO4304" s="205">
        <v>14460</v>
      </c>
      <c r="CYP4304" s="204"/>
      <c r="CYQ4304" s="204"/>
      <c r="CYS4304" s="204"/>
      <c r="CYT4304" s="204"/>
      <c r="CYU4304" s="204"/>
      <c r="CYV4304" s="185" t="s">
        <v>667</v>
      </c>
      <c r="CYW4304" s="205">
        <v>14460</v>
      </c>
      <c r="CYX4304" s="204"/>
      <c r="CYY4304" s="204"/>
      <c r="CZA4304" s="204"/>
      <c r="CZB4304" s="204"/>
      <c r="CZC4304" s="204"/>
      <c r="CZD4304" s="185" t="s">
        <v>667</v>
      </c>
      <c r="CZE4304" s="205">
        <v>14460</v>
      </c>
      <c r="CZF4304" s="204"/>
      <c r="CZG4304" s="204"/>
      <c r="CZI4304" s="204"/>
      <c r="CZJ4304" s="204"/>
      <c r="CZK4304" s="204"/>
      <c r="CZL4304" s="185" t="s">
        <v>667</v>
      </c>
      <c r="CZM4304" s="205">
        <v>14460</v>
      </c>
      <c r="CZN4304" s="204"/>
      <c r="CZO4304" s="204"/>
      <c r="CZQ4304" s="204"/>
      <c r="CZR4304" s="204"/>
      <c r="CZS4304" s="204"/>
      <c r="CZT4304" s="185" t="s">
        <v>667</v>
      </c>
      <c r="CZU4304" s="205">
        <v>14460</v>
      </c>
      <c r="CZV4304" s="204"/>
      <c r="CZW4304" s="204"/>
      <c r="CZY4304" s="204"/>
      <c r="CZZ4304" s="204"/>
      <c r="DAA4304" s="204"/>
      <c r="DAB4304" s="185" t="s">
        <v>667</v>
      </c>
      <c r="DAC4304" s="205">
        <v>14460</v>
      </c>
      <c r="DAD4304" s="204"/>
      <c r="DAE4304" s="204"/>
      <c r="DAG4304" s="204"/>
      <c r="DAH4304" s="204"/>
      <c r="DAI4304" s="204"/>
      <c r="DAJ4304" s="185" t="s">
        <v>667</v>
      </c>
      <c r="DAK4304" s="205">
        <v>14460</v>
      </c>
      <c r="DAL4304" s="204"/>
      <c r="DAM4304" s="204"/>
      <c r="DAO4304" s="204"/>
      <c r="DAP4304" s="204"/>
      <c r="DAQ4304" s="204"/>
      <c r="DAR4304" s="185" t="s">
        <v>667</v>
      </c>
      <c r="DAS4304" s="205">
        <v>14460</v>
      </c>
      <c r="DAT4304" s="204"/>
      <c r="DAU4304" s="204"/>
      <c r="DAW4304" s="204"/>
      <c r="DAX4304" s="204"/>
      <c r="DAY4304" s="204"/>
      <c r="DAZ4304" s="185" t="s">
        <v>667</v>
      </c>
      <c r="DBA4304" s="205">
        <v>14460</v>
      </c>
      <c r="DBB4304" s="204"/>
      <c r="DBC4304" s="204"/>
      <c r="DBE4304" s="204"/>
      <c r="DBF4304" s="204"/>
      <c r="DBG4304" s="204"/>
      <c r="DBH4304" s="185" t="s">
        <v>667</v>
      </c>
      <c r="DBI4304" s="205">
        <v>14460</v>
      </c>
      <c r="DBJ4304" s="204"/>
      <c r="DBK4304" s="204"/>
      <c r="DBM4304" s="204"/>
      <c r="DBN4304" s="204"/>
      <c r="DBO4304" s="204"/>
      <c r="DBP4304" s="185" t="s">
        <v>667</v>
      </c>
      <c r="DBQ4304" s="205">
        <v>14460</v>
      </c>
      <c r="DBR4304" s="204"/>
      <c r="DBS4304" s="204"/>
      <c r="DBU4304" s="204"/>
      <c r="DBV4304" s="204"/>
      <c r="DBW4304" s="204"/>
      <c r="DBX4304" s="185" t="s">
        <v>667</v>
      </c>
      <c r="DBY4304" s="205">
        <v>14460</v>
      </c>
      <c r="DBZ4304" s="204"/>
      <c r="DCA4304" s="204"/>
      <c r="DCC4304" s="204"/>
      <c r="DCD4304" s="204"/>
      <c r="DCE4304" s="204"/>
      <c r="DCF4304" s="185" t="s">
        <v>667</v>
      </c>
      <c r="DCG4304" s="205">
        <v>14460</v>
      </c>
      <c r="DCH4304" s="204"/>
      <c r="DCI4304" s="204"/>
      <c r="DCK4304" s="204"/>
      <c r="DCL4304" s="204"/>
      <c r="DCM4304" s="204"/>
      <c r="DCN4304" s="185" t="s">
        <v>667</v>
      </c>
      <c r="DCO4304" s="205">
        <v>14460</v>
      </c>
      <c r="DCP4304" s="204"/>
      <c r="DCQ4304" s="204"/>
      <c r="DCS4304" s="204"/>
      <c r="DCT4304" s="204"/>
      <c r="DCU4304" s="204"/>
      <c r="DCV4304" s="185" t="s">
        <v>667</v>
      </c>
      <c r="DCW4304" s="205">
        <v>14460</v>
      </c>
      <c r="DCX4304" s="204"/>
      <c r="DCY4304" s="204"/>
      <c r="DDA4304" s="204"/>
      <c r="DDB4304" s="204"/>
      <c r="DDC4304" s="204"/>
      <c r="DDD4304" s="185" t="s">
        <v>667</v>
      </c>
      <c r="DDE4304" s="205">
        <v>14460</v>
      </c>
      <c r="DDF4304" s="204"/>
      <c r="DDG4304" s="204"/>
      <c r="DDI4304" s="204"/>
      <c r="DDJ4304" s="204"/>
      <c r="DDK4304" s="204"/>
      <c r="DDL4304" s="185" t="s">
        <v>667</v>
      </c>
      <c r="DDM4304" s="205">
        <v>14460</v>
      </c>
      <c r="DDN4304" s="204"/>
      <c r="DDO4304" s="204"/>
      <c r="DDQ4304" s="204"/>
      <c r="DDR4304" s="204"/>
      <c r="DDS4304" s="204"/>
      <c r="DDT4304" s="185" t="s">
        <v>667</v>
      </c>
      <c r="DDU4304" s="205">
        <v>14460</v>
      </c>
      <c r="DDV4304" s="204"/>
      <c r="DDW4304" s="204"/>
      <c r="DDY4304" s="204"/>
      <c r="DDZ4304" s="204"/>
      <c r="DEA4304" s="204"/>
      <c r="DEB4304" s="185" t="s">
        <v>667</v>
      </c>
      <c r="DEC4304" s="205">
        <v>14460</v>
      </c>
      <c r="DED4304" s="204"/>
      <c r="DEE4304" s="204"/>
      <c r="DEG4304" s="204"/>
      <c r="DEH4304" s="204"/>
      <c r="DEI4304" s="204"/>
      <c r="DEJ4304" s="185" t="s">
        <v>667</v>
      </c>
      <c r="DEK4304" s="205">
        <v>14460</v>
      </c>
      <c r="DEL4304" s="204"/>
      <c r="DEM4304" s="204"/>
      <c r="DEO4304" s="204"/>
      <c r="DEP4304" s="204"/>
      <c r="DEQ4304" s="204"/>
      <c r="DER4304" s="185" t="s">
        <v>667</v>
      </c>
      <c r="DES4304" s="205">
        <v>14460</v>
      </c>
      <c r="DET4304" s="204"/>
      <c r="DEU4304" s="204"/>
      <c r="DEW4304" s="204"/>
      <c r="DEX4304" s="204"/>
      <c r="DEY4304" s="204"/>
      <c r="DEZ4304" s="185" t="s">
        <v>667</v>
      </c>
      <c r="DFA4304" s="205">
        <v>14460</v>
      </c>
      <c r="DFB4304" s="204"/>
      <c r="DFC4304" s="204"/>
      <c r="DFE4304" s="204"/>
      <c r="DFF4304" s="204"/>
      <c r="DFG4304" s="204"/>
      <c r="DFH4304" s="185" t="s">
        <v>667</v>
      </c>
      <c r="DFI4304" s="205">
        <v>14460</v>
      </c>
      <c r="DFJ4304" s="204"/>
      <c r="DFK4304" s="204"/>
      <c r="DFM4304" s="204"/>
      <c r="DFN4304" s="204"/>
      <c r="DFO4304" s="204"/>
      <c r="DFP4304" s="185" t="s">
        <v>667</v>
      </c>
      <c r="DFQ4304" s="205">
        <v>14460</v>
      </c>
      <c r="DFR4304" s="204"/>
      <c r="DFS4304" s="204"/>
      <c r="DFU4304" s="204"/>
      <c r="DFV4304" s="204"/>
      <c r="DFW4304" s="204"/>
      <c r="DFX4304" s="185" t="s">
        <v>667</v>
      </c>
      <c r="DFY4304" s="205">
        <v>14460</v>
      </c>
      <c r="DFZ4304" s="204"/>
      <c r="DGA4304" s="204"/>
      <c r="DGC4304" s="204"/>
      <c r="DGD4304" s="204"/>
      <c r="DGE4304" s="204"/>
      <c r="DGF4304" s="185" t="s">
        <v>667</v>
      </c>
      <c r="DGG4304" s="205">
        <v>14460</v>
      </c>
      <c r="DGH4304" s="204"/>
      <c r="DGI4304" s="204"/>
      <c r="DGK4304" s="204"/>
      <c r="DGL4304" s="204"/>
      <c r="DGM4304" s="204"/>
      <c r="DGN4304" s="185" t="s">
        <v>667</v>
      </c>
      <c r="DGO4304" s="205">
        <v>14460</v>
      </c>
      <c r="DGP4304" s="204"/>
      <c r="DGQ4304" s="204"/>
      <c r="DGS4304" s="204"/>
      <c r="DGT4304" s="204"/>
      <c r="DGU4304" s="204"/>
      <c r="DGV4304" s="185" t="s">
        <v>667</v>
      </c>
      <c r="DGW4304" s="205">
        <v>14460</v>
      </c>
      <c r="DGX4304" s="204"/>
      <c r="DGY4304" s="204"/>
      <c r="DHA4304" s="204"/>
      <c r="DHB4304" s="204"/>
      <c r="DHC4304" s="204"/>
      <c r="DHD4304" s="185" t="s">
        <v>667</v>
      </c>
      <c r="DHE4304" s="205">
        <v>14460</v>
      </c>
      <c r="DHF4304" s="204"/>
      <c r="DHG4304" s="204"/>
      <c r="DHI4304" s="204"/>
      <c r="DHJ4304" s="204"/>
      <c r="DHK4304" s="204"/>
      <c r="DHL4304" s="185" t="s">
        <v>667</v>
      </c>
      <c r="DHM4304" s="205">
        <v>14460</v>
      </c>
      <c r="DHN4304" s="204"/>
      <c r="DHO4304" s="204"/>
      <c r="DHQ4304" s="204"/>
      <c r="DHR4304" s="204"/>
      <c r="DHS4304" s="204"/>
      <c r="DHT4304" s="185" t="s">
        <v>667</v>
      </c>
      <c r="DHU4304" s="205">
        <v>14460</v>
      </c>
      <c r="DHV4304" s="204"/>
      <c r="DHW4304" s="204"/>
      <c r="DHY4304" s="204"/>
      <c r="DHZ4304" s="204"/>
      <c r="DIA4304" s="204"/>
      <c r="DIB4304" s="185" t="s">
        <v>667</v>
      </c>
      <c r="DIC4304" s="205">
        <v>14460</v>
      </c>
      <c r="DID4304" s="204"/>
      <c r="DIE4304" s="204"/>
      <c r="DIG4304" s="204"/>
      <c r="DIH4304" s="204"/>
      <c r="DII4304" s="204"/>
      <c r="DIJ4304" s="185" t="s">
        <v>667</v>
      </c>
      <c r="DIK4304" s="205">
        <v>14460</v>
      </c>
      <c r="DIL4304" s="204"/>
      <c r="DIM4304" s="204"/>
      <c r="DIO4304" s="204"/>
      <c r="DIP4304" s="204"/>
      <c r="DIQ4304" s="204"/>
      <c r="DIR4304" s="185" t="s">
        <v>667</v>
      </c>
      <c r="DIS4304" s="205">
        <v>14460</v>
      </c>
      <c r="DIT4304" s="204"/>
      <c r="DIU4304" s="204"/>
      <c r="DIW4304" s="204"/>
      <c r="DIX4304" s="204"/>
      <c r="DIY4304" s="204"/>
      <c r="DIZ4304" s="185" t="s">
        <v>667</v>
      </c>
      <c r="DJA4304" s="205">
        <v>14460</v>
      </c>
      <c r="DJB4304" s="204"/>
      <c r="DJC4304" s="204"/>
      <c r="DJE4304" s="204"/>
      <c r="DJF4304" s="204"/>
      <c r="DJG4304" s="204"/>
      <c r="DJH4304" s="185" t="s">
        <v>667</v>
      </c>
      <c r="DJI4304" s="205">
        <v>14460</v>
      </c>
      <c r="DJJ4304" s="204"/>
      <c r="DJK4304" s="204"/>
      <c r="DJM4304" s="204"/>
      <c r="DJN4304" s="204"/>
      <c r="DJO4304" s="204"/>
      <c r="DJP4304" s="185" t="s">
        <v>667</v>
      </c>
      <c r="DJQ4304" s="205">
        <v>14460</v>
      </c>
      <c r="DJR4304" s="204"/>
      <c r="DJS4304" s="204"/>
      <c r="DJU4304" s="204"/>
      <c r="DJV4304" s="204"/>
      <c r="DJW4304" s="204"/>
      <c r="DJX4304" s="185" t="s">
        <v>667</v>
      </c>
      <c r="DJY4304" s="205">
        <v>14460</v>
      </c>
      <c r="DJZ4304" s="204"/>
      <c r="DKA4304" s="204"/>
      <c r="DKC4304" s="204"/>
      <c r="DKD4304" s="204"/>
      <c r="DKE4304" s="204"/>
      <c r="DKF4304" s="185" t="s">
        <v>667</v>
      </c>
      <c r="DKG4304" s="205">
        <v>14460</v>
      </c>
      <c r="DKH4304" s="204"/>
      <c r="DKI4304" s="204"/>
      <c r="DKK4304" s="204"/>
      <c r="DKL4304" s="204"/>
      <c r="DKM4304" s="204"/>
      <c r="DKN4304" s="185" t="s">
        <v>667</v>
      </c>
      <c r="DKO4304" s="205">
        <v>14460</v>
      </c>
      <c r="DKP4304" s="204"/>
      <c r="DKQ4304" s="204"/>
      <c r="DKS4304" s="204"/>
      <c r="DKT4304" s="204"/>
      <c r="DKU4304" s="204"/>
      <c r="DKV4304" s="185" t="s">
        <v>667</v>
      </c>
      <c r="DKW4304" s="205">
        <v>14460</v>
      </c>
      <c r="DKX4304" s="204"/>
      <c r="DKY4304" s="204"/>
      <c r="DLA4304" s="204"/>
      <c r="DLB4304" s="204"/>
      <c r="DLC4304" s="204"/>
      <c r="DLD4304" s="185" t="s">
        <v>667</v>
      </c>
      <c r="DLE4304" s="205">
        <v>14460</v>
      </c>
      <c r="DLF4304" s="204"/>
      <c r="DLG4304" s="204"/>
      <c r="DLI4304" s="204"/>
      <c r="DLJ4304" s="204"/>
      <c r="DLK4304" s="204"/>
      <c r="DLL4304" s="185" t="s">
        <v>667</v>
      </c>
      <c r="DLM4304" s="205">
        <v>14460</v>
      </c>
      <c r="DLN4304" s="204"/>
      <c r="DLO4304" s="204"/>
      <c r="DLQ4304" s="204"/>
      <c r="DLR4304" s="204"/>
      <c r="DLS4304" s="204"/>
      <c r="DLT4304" s="185" t="s">
        <v>667</v>
      </c>
      <c r="DLU4304" s="205">
        <v>14460</v>
      </c>
      <c r="DLV4304" s="204"/>
      <c r="DLW4304" s="204"/>
      <c r="DLY4304" s="204"/>
      <c r="DLZ4304" s="204"/>
      <c r="DMA4304" s="204"/>
      <c r="DMB4304" s="185" t="s">
        <v>667</v>
      </c>
      <c r="DMC4304" s="205">
        <v>14460</v>
      </c>
      <c r="DMD4304" s="204"/>
      <c r="DME4304" s="204"/>
      <c r="DMG4304" s="204"/>
      <c r="DMH4304" s="204"/>
      <c r="DMI4304" s="204"/>
      <c r="DMJ4304" s="185" t="s">
        <v>667</v>
      </c>
      <c r="DMK4304" s="205">
        <v>14460</v>
      </c>
      <c r="DML4304" s="204"/>
      <c r="DMM4304" s="204"/>
      <c r="DMO4304" s="204"/>
      <c r="DMP4304" s="204"/>
      <c r="DMQ4304" s="204"/>
      <c r="DMR4304" s="185" t="s">
        <v>667</v>
      </c>
      <c r="DMS4304" s="205">
        <v>14460</v>
      </c>
      <c r="DMT4304" s="204"/>
      <c r="DMU4304" s="204"/>
      <c r="DMW4304" s="204"/>
      <c r="DMX4304" s="204"/>
      <c r="DMY4304" s="204"/>
      <c r="DMZ4304" s="185" t="s">
        <v>667</v>
      </c>
      <c r="DNA4304" s="205">
        <v>14460</v>
      </c>
      <c r="DNB4304" s="204"/>
      <c r="DNC4304" s="204"/>
      <c r="DNE4304" s="204"/>
      <c r="DNF4304" s="204"/>
      <c r="DNG4304" s="204"/>
      <c r="DNH4304" s="185" t="s">
        <v>667</v>
      </c>
      <c r="DNI4304" s="205">
        <v>14460</v>
      </c>
      <c r="DNJ4304" s="204"/>
      <c r="DNK4304" s="204"/>
      <c r="DNM4304" s="204"/>
      <c r="DNN4304" s="204"/>
      <c r="DNO4304" s="204"/>
      <c r="DNP4304" s="185" t="s">
        <v>667</v>
      </c>
      <c r="DNQ4304" s="205">
        <v>14460</v>
      </c>
      <c r="DNR4304" s="204"/>
      <c r="DNS4304" s="204"/>
      <c r="DNU4304" s="204"/>
      <c r="DNV4304" s="204"/>
      <c r="DNW4304" s="204"/>
      <c r="DNX4304" s="185" t="s">
        <v>667</v>
      </c>
      <c r="DNY4304" s="205">
        <v>14460</v>
      </c>
      <c r="DNZ4304" s="204"/>
      <c r="DOA4304" s="204"/>
      <c r="DOC4304" s="204"/>
      <c r="DOD4304" s="204"/>
      <c r="DOE4304" s="204"/>
      <c r="DOF4304" s="185" t="s">
        <v>667</v>
      </c>
      <c r="DOG4304" s="205">
        <v>14460</v>
      </c>
      <c r="DOH4304" s="204"/>
      <c r="DOI4304" s="204"/>
      <c r="DOK4304" s="204"/>
      <c r="DOL4304" s="204"/>
      <c r="DOM4304" s="204"/>
      <c r="DON4304" s="185" t="s">
        <v>667</v>
      </c>
      <c r="DOO4304" s="205">
        <v>14460</v>
      </c>
      <c r="DOP4304" s="204"/>
      <c r="DOQ4304" s="204"/>
      <c r="DOS4304" s="204"/>
      <c r="DOT4304" s="204"/>
      <c r="DOU4304" s="204"/>
      <c r="DOV4304" s="185" t="s">
        <v>667</v>
      </c>
      <c r="DOW4304" s="205">
        <v>14460</v>
      </c>
      <c r="DOX4304" s="204"/>
      <c r="DOY4304" s="204"/>
      <c r="DPA4304" s="204"/>
      <c r="DPB4304" s="204"/>
      <c r="DPC4304" s="204"/>
      <c r="DPD4304" s="185" t="s">
        <v>667</v>
      </c>
      <c r="DPE4304" s="205">
        <v>14460</v>
      </c>
      <c r="DPF4304" s="204"/>
      <c r="DPG4304" s="204"/>
      <c r="DPI4304" s="204"/>
      <c r="DPJ4304" s="204"/>
      <c r="DPK4304" s="204"/>
      <c r="DPL4304" s="185" t="s">
        <v>667</v>
      </c>
      <c r="DPM4304" s="205">
        <v>14460</v>
      </c>
      <c r="DPN4304" s="204"/>
      <c r="DPO4304" s="204"/>
      <c r="DPQ4304" s="204"/>
      <c r="DPR4304" s="204"/>
      <c r="DPS4304" s="204"/>
      <c r="DPT4304" s="185" t="s">
        <v>667</v>
      </c>
      <c r="DPU4304" s="205">
        <v>14460</v>
      </c>
      <c r="DPV4304" s="204"/>
      <c r="DPW4304" s="204"/>
      <c r="DPY4304" s="204"/>
      <c r="DPZ4304" s="204"/>
      <c r="DQA4304" s="204"/>
      <c r="DQB4304" s="185" t="s">
        <v>667</v>
      </c>
      <c r="DQC4304" s="205">
        <v>14460</v>
      </c>
      <c r="DQD4304" s="204"/>
      <c r="DQE4304" s="204"/>
      <c r="DQG4304" s="204"/>
      <c r="DQH4304" s="204"/>
      <c r="DQI4304" s="204"/>
      <c r="DQJ4304" s="185" t="s">
        <v>667</v>
      </c>
      <c r="DQK4304" s="205">
        <v>14460</v>
      </c>
      <c r="DQL4304" s="204"/>
      <c r="DQM4304" s="204"/>
      <c r="DQO4304" s="204"/>
      <c r="DQP4304" s="204"/>
      <c r="DQQ4304" s="204"/>
      <c r="DQR4304" s="185" t="s">
        <v>667</v>
      </c>
      <c r="DQS4304" s="205">
        <v>14460</v>
      </c>
      <c r="DQT4304" s="204"/>
      <c r="DQU4304" s="204"/>
      <c r="DQW4304" s="204"/>
      <c r="DQX4304" s="204"/>
      <c r="DQY4304" s="204"/>
      <c r="DQZ4304" s="185" t="s">
        <v>667</v>
      </c>
      <c r="DRA4304" s="205">
        <v>14460</v>
      </c>
      <c r="DRB4304" s="204"/>
      <c r="DRC4304" s="204"/>
      <c r="DRE4304" s="204"/>
      <c r="DRF4304" s="204"/>
      <c r="DRG4304" s="204"/>
      <c r="DRH4304" s="185" t="s">
        <v>667</v>
      </c>
      <c r="DRI4304" s="205">
        <v>14460</v>
      </c>
      <c r="DRJ4304" s="204"/>
      <c r="DRK4304" s="204"/>
      <c r="DRM4304" s="204"/>
      <c r="DRN4304" s="204"/>
      <c r="DRO4304" s="204"/>
      <c r="DRP4304" s="185" t="s">
        <v>667</v>
      </c>
      <c r="DRQ4304" s="205">
        <v>14460</v>
      </c>
      <c r="DRR4304" s="204"/>
      <c r="DRS4304" s="204"/>
      <c r="DRU4304" s="204"/>
      <c r="DRV4304" s="204"/>
      <c r="DRW4304" s="204"/>
      <c r="DRX4304" s="185" t="s">
        <v>667</v>
      </c>
      <c r="DRY4304" s="205">
        <v>14460</v>
      </c>
      <c r="DRZ4304" s="204"/>
      <c r="DSA4304" s="204"/>
      <c r="DSC4304" s="204"/>
      <c r="DSD4304" s="204"/>
      <c r="DSE4304" s="204"/>
      <c r="DSF4304" s="185" t="s">
        <v>667</v>
      </c>
      <c r="DSG4304" s="205">
        <v>14460</v>
      </c>
      <c r="DSH4304" s="204"/>
      <c r="DSI4304" s="204"/>
      <c r="DSK4304" s="204"/>
      <c r="DSL4304" s="204"/>
      <c r="DSM4304" s="204"/>
      <c r="DSN4304" s="185" t="s">
        <v>667</v>
      </c>
      <c r="DSO4304" s="205">
        <v>14460</v>
      </c>
      <c r="DSP4304" s="204"/>
      <c r="DSQ4304" s="204"/>
      <c r="DSS4304" s="204"/>
      <c r="DST4304" s="204"/>
      <c r="DSU4304" s="204"/>
      <c r="DSV4304" s="185" t="s">
        <v>667</v>
      </c>
      <c r="DSW4304" s="205">
        <v>14460</v>
      </c>
      <c r="DSX4304" s="204"/>
      <c r="DSY4304" s="204"/>
      <c r="DTA4304" s="204"/>
      <c r="DTB4304" s="204"/>
      <c r="DTC4304" s="204"/>
      <c r="DTD4304" s="185" t="s">
        <v>667</v>
      </c>
      <c r="DTE4304" s="205">
        <v>14460</v>
      </c>
      <c r="DTF4304" s="204"/>
      <c r="DTG4304" s="204"/>
      <c r="DTI4304" s="204"/>
      <c r="DTJ4304" s="204"/>
      <c r="DTK4304" s="204"/>
      <c r="DTL4304" s="185" t="s">
        <v>667</v>
      </c>
      <c r="DTM4304" s="205">
        <v>14460</v>
      </c>
      <c r="DTN4304" s="204"/>
      <c r="DTO4304" s="204"/>
      <c r="DTQ4304" s="204"/>
      <c r="DTR4304" s="204"/>
      <c r="DTS4304" s="204"/>
      <c r="DTT4304" s="185" t="s">
        <v>667</v>
      </c>
      <c r="DTU4304" s="205">
        <v>14460</v>
      </c>
      <c r="DTV4304" s="204"/>
      <c r="DTW4304" s="204"/>
      <c r="DTY4304" s="204"/>
      <c r="DTZ4304" s="204"/>
      <c r="DUA4304" s="204"/>
      <c r="DUB4304" s="185" t="s">
        <v>667</v>
      </c>
      <c r="DUC4304" s="205">
        <v>14460</v>
      </c>
      <c r="DUD4304" s="204"/>
      <c r="DUE4304" s="204"/>
      <c r="DUG4304" s="204"/>
      <c r="DUH4304" s="204"/>
      <c r="DUI4304" s="204"/>
      <c r="DUJ4304" s="185" t="s">
        <v>667</v>
      </c>
      <c r="DUK4304" s="205">
        <v>14460</v>
      </c>
      <c r="DUL4304" s="204"/>
      <c r="DUM4304" s="204"/>
      <c r="DUO4304" s="204"/>
      <c r="DUP4304" s="204"/>
      <c r="DUQ4304" s="204"/>
      <c r="DUR4304" s="185" t="s">
        <v>667</v>
      </c>
      <c r="DUS4304" s="205">
        <v>14460</v>
      </c>
      <c r="DUT4304" s="204"/>
      <c r="DUU4304" s="204"/>
      <c r="DUW4304" s="204"/>
      <c r="DUX4304" s="204"/>
      <c r="DUY4304" s="204"/>
      <c r="DUZ4304" s="185" t="s">
        <v>667</v>
      </c>
      <c r="DVA4304" s="205">
        <v>14460</v>
      </c>
      <c r="DVB4304" s="204"/>
      <c r="DVC4304" s="204"/>
      <c r="DVE4304" s="204"/>
      <c r="DVF4304" s="204"/>
      <c r="DVG4304" s="204"/>
      <c r="DVH4304" s="185" t="s">
        <v>667</v>
      </c>
      <c r="DVI4304" s="205">
        <v>14460</v>
      </c>
      <c r="DVJ4304" s="204"/>
      <c r="DVK4304" s="204"/>
      <c r="DVM4304" s="204"/>
      <c r="DVN4304" s="204"/>
      <c r="DVO4304" s="204"/>
      <c r="DVP4304" s="185" t="s">
        <v>667</v>
      </c>
      <c r="DVQ4304" s="205">
        <v>14460</v>
      </c>
      <c r="DVR4304" s="204"/>
      <c r="DVS4304" s="204"/>
      <c r="DVU4304" s="204"/>
      <c r="DVV4304" s="204"/>
      <c r="DVW4304" s="204"/>
      <c r="DVX4304" s="185" t="s">
        <v>667</v>
      </c>
      <c r="DVY4304" s="205">
        <v>14460</v>
      </c>
      <c r="DVZ4304" s="204"/>
      <c r="DWA4304" s="204"/>
      <c r="DWC4304" s="204"/>
      <c r="DWD4304" s="204"/>
      <c r="DWE4304" s="204"/>
      <c r="DWF4304" s="185" t="s">
        <v>667</v>
      </c>
      <c r="DWG4304" s="205">
        <v>14460</v>
      </c>
      <c r="DWH4304" s="204"/>
      <c r="DWI4304" s="204"/>
      <c r="DWK4304" s="204"/>
      <c r="DWL4304" s="204"/>
      <c r="DWM4304" s="204"/>
      <c r="DWN4304" s="185" t="s">
        <v>667</v>
      </c>
      <c r="DWO4304" s="205">
        <v>14460</v>
      </c>
      <c r="DWP4304" s="204"/>
      <c r="DWQ4304" s="204"/>
      <c r="DWS4304" s="204"/>
      <c r="DWT4304" s="204"/>
      <c r="DWU4304" s="204"/>
      <c r="DWV4304" s="185" t="s">
        <v>667</v>
      </c>
      <c r="DWW4304" s="205">
        <v>14460</v>
      </c>
      <c r="DWX4304" s="204"/>
      <c r="DWY4304" s="204"/>
      <c r="DXA4304" s="204"/>
      <c r="DXB4304" s="204"/>
      <c r="DXC4304" s="204"/>
      <c r="DXD4304" s="185" t="s">
        <v>667</v>
      </c>
      <c r="DXE4304" s="205">
        <v>14460</v>
      </c>
      <c r="DXF4304" s="204"/>
      <c r="DXG4304" s="204"/>
      <c r="DXI4304" s="204"/>
      <c r="DXJ4304" s="204"/>
      <c r="DXK4304" s="204"/>
      <c r="DXL4304" s="185" t="s">
        <v>667</v>
      </c>
      <c r="DXM4304" s="205">
        <v>14460</v>
      </c>
      <c r="DXN4304" s="204"/>
      <c r="DXO4304" s="204"/>
      <c r="DXQ4304" s="204"/>
      <c r="DXR4304" s="204"/>
      <c r="DXS4304" s="204"/>
      <c r="DXT4304" s="185" t="s">
        <v>667</v>
      </c>
      <c r="DXU4304" s="205">
        <v>14460</v>
      </c>
      <c r="DXV4304" s="204"/>
      <c r="DXW4304" s="204"/>
      <c r="DXY4304" s="204"/>
      <c r="DXZ4304" s="204"/>
      <c r="DYA4304" s="204"/>
      <c r="DYB4304" s="185" t="s">
        <v>667</v>
      </c>
      <c r="DYC4304" s="205">
        <v>14460</v>
      </c>
      <c r="DYD4304" s="204"/>
      <c r="DYE4304" s="204"/>
      <c r="DYG4304" s="204"/>
      <c r="DYH4304" s="204"/>
      <c r="DYI4304" s="204"/>
      <c r="DYJ4304" s="185" t="s">
        <v>667</v>
      </c>
      <c r="DYK4304" s="205">
        <v>14460</v>
      </c>
      <c r="DYL4304" s="204"/>
      <c r="DYM4304" s="204"/>
      <c r="DYO4304" s="204"/>
      <c r="DYP4304" s="204"/>
      <c r="DYQ4304" s="204"/>
      <c r="DYR4304" s="185" t="s">
        <v>667</v>
      </c>
      <c r="DYS4304" s="205">
        <v>14460</v>
      </c>
      <c r="DYT4304" s="204"/>
      <c r="DYU4304" s="204"/>
      <c r="DYW4304" s="204"/>
      <c r="DYX4304" s="204"/>
      <c r="DYY4304" s="204"/>
      <c r="DYZ4304" s="185" t="s">
        <v>667</v>
      </c>
      <c r="DZA4304" s="205">
        <v>14460</v>
      </c>
      <c r="DZB4304" s="204"/>
      <c r="DZC4304" s="204"/>
      <c r="DZE4304" s="204"/>
      <c r="DZF4304" s="204"/>
      <c r="DZG4304" s="204"/>
      <c r="DZH4304" s="185" t="s">
        <v>667</v>
      </c>
      <c r="DZI4304" s="205">
        <v>14460</v>
      </c>
      <c r="DZJ4304" s="204"/>
      <c r="DZK4304" s="204"/>
      <c r="DZM4304" s="204"/>
      <c r="DZN4304" s="204"/>
      <c r="DZO4304" s="204"/>
      <c r="DZP4304" s="185" t="s">
        <v>667</v>
      </c>
      <c r="DZQ4304" s="205">
        <v>14460</v>
      </c>
      <c r="DZR4304" s="204"/>
      <c r="DZS4304" s="204"/>
      <c r="DZU4304" s="204"/>
      <c r="DZV4304" s="204"/>
      <c r="DZW4304" s="204"/>
      <c r="DZX4304" s="185" t="s">
        <v>667</v>
      </c>
      <c r="DZY4304" s="205">
        <v>14460</v>
      </c>
      <c r="DZZ4304" s="204"/>
      <c r="EAA4304" s="204"/>
      <c r="EAC4304" s="204"/>
      <c r="EAD4304" s="204"/>
      <c r="EAE4304" s="204"/>
      <c r="EAF4304" s="185" t="s">
        <v>667</v>
      </c>
      <c r="EAG4304" s="205">
        <v>14460</v>
      </c>
      <c r="EAH4304" s="204"/>
      <c r="EAI4304" s="204"/>
      <c r="EAK4304" s="204"/>
      <c r="EAL4304" s="204"/>
      <c r="EAM4304" s="204"/>
      <c r="EAN4304" s="185" t="s">
        <v>667</v>
      </c>
      <c r="EAO4304" s="205">
        <v>14460</v>
      </c>
      <c r="EAP4304" s="204"/>
      <c r="EAQ4304" s="204"/>
      <c r="EAS4304" s="204"/>
      <c r="EAT4304" s="204"/>
      <c r="EAU4304" s="204"/>
      <c r="EAV4304" s="185" t="s">
        <v>667</v>
      </c>
      <c r="EAW4304" s="205">
        <v>14460</v>
      </c>
      <c r="EAX4304" s="204"/>
      <c r="EAY4304" s="204"/>
      <c r="EBA4304" s="204"/>
      <c r="EBB4304" s="204"/>
      <c r="EBC4304" s="204"/>
      <c r="EBD4304" s="185" t="s">
        <v>667</v>
      </c>
      <c r="EBE4304" s="205">
        <v>14460</v>
      </c>
      <c r="EBF4304" s="204"/>
      <c r="EBG4304" s="204"/>
      <c r="EBI4304" s="204"/>
      <c r="EBJ4304" s="204"/>
      <c r="EBK4304" s="204"/>
      <c r="EBL4304" s="185" t="s">
        <v>667</v>
      </c>
      <c r="EBM4304" s="205">
        <v>14460</v>
      </c>
      <c r="EBN4304" s="204"/>
      <c r="EBO4304" s="204"/>
      <c r="EBQ4304" s="204"/>
      <c r="EBR4304" s="204"/>
      <c r="EBS4304" s="204"/>
      <c r="EBT4304" s="185" t="s">
        <v>667</v>
      </c>
      <c r="EBU4304" s="205">
        <v>14460</v>
      </c>
      <c r="EBV4304" s="204"/>
      <c r="EBW4304" s="204"/>
      <c r="EBY4304" s="204"/>
      <c r="EBZ4304" s="204"/>
      <c r="ECA4304" s="204"/>
      <c r="ECB4304" s="185" t="s">
        <v>667</v>
      </c>
      <c r="ECC4304" s="205">
        <v>14460</v>
      </c>
      <c r="ECD4304" s="204"/>
      <c r="ECE4304" s="204"/>
      <c r="ECG4304" s="204"/>
      <c r="ECH4304" s="204"/>
      <c r="ECI4304" s="204"/>
      <c r="ECJ4304" s="185" t="s">
        <v>667</v>
      </c>
      <c r="ECK4304" s="205">
        <v>14460</v>
      </c>
      <c r="ECL4304" s="204"/>
      <c r="ECM4304" s="204"/>
      <c r="ECO4304" s="204"/>
      <c r="ECP4304" s="204"/>
      <c r="ECQ4304" s="204"/>
      <c r="ECR4304" s="185" t="s">
        <v>667</v>
      </c>
      <c r="ECS4304" s="205">
        <v>14460</v>
      </c>
      <c r="ECT4304" s="204"/>
      <c r="ECU4304" s="204"/>
      <c r="ECW4304" s="204"/>
      <c r="ECX4304" s="204"/>
      <c r="ECY4304" s="204"/>
      <c r="ECZ4304" s="185" t="s">
        <v>667</v>
      </c>
      <c r="EDA4304" s="205">
        <v>14460</v>
      </c>
      <c r="EDB4304" s="204"/>
      <c r="EDC4304" s="204"/>
      <c r="EDE4304" s="204"/>
      <c r="EDF4304" s="204"/>
      <c r="EDG4304" s="204"/>
      <c r="EDH4304" s="185" t="s">
        <v>667</v>
      </c>
      <c r="EDI4304" s="205">
        <v>14460</v>
      </c>
      <c r="EDJ4304" s="204"/>
      <c r="EDK4304" s="204"/>
      <c r="EDM4304" s="204"/>
      <c r="EDN4304" s="204"/>
      <c r="EDO4304" s="204"/>
      <c r="EDP4304" s="185" t="s">
        <v>667</v>
      </c>
      <c r="EDQ4304" s="205">
        <v>14460</v>
      </c>
      <c r="EDR4304" s="204"/>
      <c r="EDS4304" s="204"/>
      <c r="EDU4304" s="204"/>
      <c r="EDV4304" s="204"/>
      <c r="EDW4304" s="204"/>
      <c r="EDX4304" s="185" t="s">
        <v>667</v>
      </c>
      <c r="EDY4304" s="205">
        <v>14460</v>
      </c>
      <c r="EDZ4304" s="204"/>
      <c r="EEA4304" s="204"/>
      <c r="EEC4304" s="204"/>
      <c r="EED4304" s="204"/>
      <c r="EEE4304" s="204"/>
      <c r="EEF4304" s="185" t="s">
        <v>667</v>
      </c>
      <c r="EEG4304" s="205">
        <v>14460</v>
      </c>
      <c r="EEH4304" s="204"/>
      <c r="EEI4304" s="204"/>
      <c r="EEK4304" s="204"/>
      <c r="EEL4304" s="204"/>
      <c r="EEM4304" s="204"/>
      <c r="EEN4304" s="185" t="s">
        <v>667</v>
      </c>
      <c r="EEO4304" s="205">
        <v>14460</v>
      </c>
      <c r="EEP4304" s="204"/>
      <c r="EEQ4304" s="204"/>
      <c r="EES4304" s="204"/>
      <c r="EET4304" s="204"/>
      <c r="EEU4304" s="204"/>
      <c r="EEV4304" s="185" t="s">
        <v>667</v>
      </c>
      <c r="EEW4304" s="205">
        <v>14460</v>
      </c>
      <c r="EEX4304" s="204"/>
      <c r="EEY4304" s="204"/>
      <c r="EFA4304" s="204"/>
      <c r="EFB4304" s="204"/>
      <c r="EFC4304" s="204"/>
      <c r="EFD4304" s="185" t="s">
        <v>667</v>
      </c>
      <c r="EFE4304" s="205">
        <v>14460</v>
      </c>
      <c r="EFF4304" s="204"/>
      <c r="EFG4304" s="204"/>
      <c r="EFI4304" s="204"/>
      <c r="EFJ4304" s="204"/>
      <c r="EFK4304" s="204"/>
      <c r="EFL4304" s="185" t="s">
        <v>667</v>
      </c>
      <c r="EFM4304" s="205">
        <v>14460</v>
      </c>
      <c r="EFN4304" s="204"/>
      <c r="EFO4304" s="204"/>
      <c r="EFQ4304" s="204"/>
      <c r="EFR4304" s="204"/>
      <c r="EFS4304" s="204"/>
      <c r="EFT4304" s="185" t="s">
        <v>667</v>
      </c>
      <c r="EFU4304" s="205">
        <v>14460</v>
      </c>
      <c r="EFV4304" s="204"/>
      <c r="EFW4304" s="204"/>
      <c r="EFY4304" s="204"/>
      <c r="EFZ4304" s="204"/>
      <c r="EGA4304" s="204"/>
      <c r="EGB4304" s="185" t="s">
        <v>667</v>
      </c>
      <c r="EGC4304" s="205">
        <v>14460</v>
      </c>
      <c r="EGD4304" s="204"/>
      <c r="EGE4304" s="204"/>
      <c r="EGG4304" s="204"/>
      <c r="EGH4304" s="204"/>
      <c r="EGI4304" s="204"/>
      <c r="EGJ4304" s="185" t="s">
        <v>667</v>
      </c>
      <c r="EGK4304" s="205">
        <v>14460</v>
      </c>
      <c r="EGL4304" s="204"/>
      <c r="EGM4304" s="204"/>
      <c r="EGO4304" s="204"/>
      <c r="EGP4304" s="204"/>
      <c r="EGQ4304" s="204"/>
      <c r="EGR4304" s="185" t="s">
        <v>667</v>
      </c>
      <c r="EGS4304" s="205">
        <v>14460</v>
      </c>
      <c r="EGT4304" s="204"/>
      <c r="EGU4304" s="204"/>
      <c r="EGW4304" s="204"/>
      <c r="EGX4304" s="204"/>
      <c r="EGY4304" s="204"/>
      <c r="EGZ4304" s="185" t="s">
        <v>667</v>
      </c>
      <c r="EHA4304" s="205">
        <v>14460</v>
      </c>
      <c r="EHB4304" s="204"/>
      <c r="EHC4304" s="204"/>
      <c r="EHE4304" s="204"/>
      <c r="EHF4304" s="204"/>
      <c r="EHG4304" s="204"/>
      <c r="EHH4304" s="185" t="s">
        <v>667</v>
      </c>
      <c r="EHI4304" s="205">
        <v>14460</v>
      </c>
      <c r="EHJ4304" s="204"/>
      <c r="EHK4304" s="204"/>
      <c r="EHM4304" s="204"/>
      <c r="EHN4304" s="204"/>
      <c r="EHO4304" s="204"/>
      <c r="EHP4304" s="185" t="s">
        <v>667</v>
      </c>
      <c r="EHQ4304" s="205">
        <v>14460</v>
      </c>
      <c r="EHR4304" s="204"/>
      <c r="EHS4304" s="204"/>
      <c r="EHU4304" s="204"/>
      <c r="EHV4304" s="204"/>
      <c r="EHW4304" s="204"/>
      <c r="EHX4304" s="185" t="s">
        <v>667</v>
      </c>
      <c r="EHY4304" s="205">
        <v>14460</v>
      </c>
      <c r="EHZ4304" s="204"/>
      <c r="EIA4304" s="204"/>
      <c r="EIC4304" s="204"/>
      <c r="EID4304" s="204"/>
      <c r="EIE4304" s="204"/>
      <c r="EIF4304" s="185" t="s">
        <v>667</v>
      </c>
      <c r="EIG4304" s="205">
        <v>14460</v>
      </c>
      <c r="EIH4304" s="204"/>
      <c r="EII4304" s="204"/>
      <c r="EIK4304" s="204"/>
      <c r="EIL4304" s="204"/>
      <c r="EIM4304" s="204"/>
      <c r="EIN4304" s="185" t="s">
        <v>667</v>
      </c>
      <c r="EIO4304" s="205">
        <v>14460</v>
      </c>
      <c r="EIP4304" s="204"/>
      <c r="EIQ4304" s="204"/>
      <c r="EIS4304" s="204"/>
      <c r="EIT4304" s="204"/>
      <c r="EIU4304" s="204"/>
      <c r="EIV4304" s="185" t="s">
        <v>667</v>
      </c>
      <c r="EIW4304" s="205">
        <v>14460</v>
      </c>
      <c r="EIX4304" s="204"/>
      <c r="EIY4304" s="204"/>
      <c r="EJA4304" s="204"/>
      <c r="EJB4304" s="204"/>
      <c r="EJC4304" s="204"/>
      <c r="EJD4304" s="185" t="s">
        <v>667</v>
      </c>
      <c r="EJE4304" s="205">
        <v>14460</v>
      </c>
      <c r="EJF4304" s="204"/>
      <c r="EJG4304" s="204"/>
      <c r="EJI4304" s="204"/>
      <c r="EJJ4304" s="204"/>
      <c r="EJK4304" s="204"/>
      <c r="EJL4304" s="185" t="s">
        <v>667</v>
      </c>
      <c r="EJM4304" s="205">
        <v>14460</v>
      </c>
      <c r="EJN4304" s="204"/>
      <c r="EJO4304" s="204"/>
      <c r="EJQ4304" s="204"/>
      <c r="EJR4304" s="204"/>
      <c r="EJS4304" s="204"/>
      <c r="EJT4304" s="185" t="s">
        <v>667</v>
      </c>
      <c r="EJU4304" s="205">
        <v>14460</v>
      </c>
      <c r="EJV4304" s="204"/>
      <c r="EJW4304" s="204"/>
      <c r="EJY4304" s="204"/>
      <c r="EJZ4304" s="204"/>
      <c r="EKA4304" s="204"/>
      <c r="EKB4304" s="185" t="s">
        <v>667</v>
      </c>
      <c r="EKC4304" s="205">
        <v>14460</v>
      </c>
      <c r="EKD4304" s="204"/>
      <c r="EKE4304" s="204"/>
      <c r="EKG4304" s="204"/>
      <c r="EKH4304" s="204"/>
      <c r="EKI4304" s="204"/>
      <c r="EKJ4304" s="185" t="s">
        <v>667</v>
      </c>
      <c r="EKK4304" s="205">
        <v>14460</v>
      </c>
      <c r="EKL4304" s="204"/>
      <c r="EKM4304" s="204"/>
      <c r="EKO4304" s="204"/>
      <c r="EKP4304" s="204"/>
      <c r="EKQ4304" s="204"/>
      <c r="EKR4304" s="185" t="s">
        <v>667</v>
      </c>
      <c r="EKS4304" s="205">
        <v>14460</v>
      </c>
      <c r="EKT4304" s="204"/>
      <c r="EKU4304" s="204"/>
      <c r="EKW4304" s="204"/>
      <c r="EKX4304" s="204"/>
      <c r="EKY4304" s="204"/>
      <c r="EKZ4304" s="185" t="s">
        <v>667</v>
      </c>
      <c r="ELA4304" s="205">
        <v>14460</v>
      </c>
      <c r="ELB4304" s="204"/>
      <c r="ELC4304" s="204"/>
      <c r="ELE4304" s="204"/>
      <c r="ELF4304" s="204"/>
      <c r="ELG4304" s="204"/>
      <c r="ELH4304" s="185" t="s">
        <v>667</v>
      </c>
      <c r="ELI4304" s="205">
        <v>14460</v>
      </c>
      <c r="ELJ4304" s="204"/>
      <c r="ELK4304" s="204"/>
      <c r="ELM4304" s="204"/>
      <c r="ELN4304" s="204"/>
      <c r="ELO4304" s="204"/>
      <c r="ELP4304" s="185" t="s">
        <v>667</v>
      </c>
      <c r="ELQ4304" s="205">
        <v>14460</v>
      </c>
      <c r="ELR4304" s="204"/>
      <c r="ELS4304" s="204"/>
      <c r="ELU4304" s="204"/>
      <c r="ELV4304" s="204"/>
      <c r="ELW4304" s="204"/>
      <c r="ELX4304" s="185" t="s">
        <v>667</v>
      </c>
      <c r="ELY4304" s="205">
        <v>14460</v>
      </c>
      <c r="ELZ4304" s="204"/>
      <c r="EMA4304" s="204"/>
      <c r="EMC4304" s="204"/>
      <c r="EMD4304" s="204"/>
      <c r="EME4304" s="204"/>
      <c r="EMF4304" s="185" t="s">
        <v>667</v>
      </c>
      <c r="EMG4304" s="205">
        <v>14460</v>
      </c>
      <c r="EMH4304" s="204"/>
      <c r="EMI4304" s="204"/>
      <c r="EMK4304" s="204"/>
      <c r="EML4304" s="204"/>
      <c r="EMM4304" s="204"/>
      <c r="EMN4304" s="185" t="s">
        <v>667</v>
      </c>
      <c r="EMO4304" s="205">
        <v>14460</v>
      </c>
      <c r="EMP4304" s="204"/>
      <c r="EMQ4304" s="204"/>
      <c r="EMS4304" s="204"/>
      <c r="EMT4304" s="204"/>
      <c r="EMU4304" s="204"/>
      <c r="EMV4304" s="185" t="s">
        <v>667</v>
      </c>
      <c r="EMW4304" s="205">
        <v>14460</v>
      </c>
      <c r="EMX4304" s="204"/>
      <c r="EMY4304" s="204"/>
      <c r="ENA4304" s="204"/>
      <c r="ENB4304" s="204"/>
      <c r="ENC4304" s="204"/>
      <c r="END4304" s="185" t="s">
        <v>667</v>
      </c>
      <c r="ENE4304" s="205">
        <v>14460</v>
      </c>
      <c r="ENF4304" s="204"/>
      <c r="ENG4304" s="204"/>
      <c r="ENI4304" s="204"/>
      <c r="ENJ4304" s="204"/>
      <c r="ENK4304" s="204"/>
      <c r="ENL4304" s="185" t="s">
        <v>667</v>
      </c>
      <c r="ENM4304" s="205">
        <v>14460</v>
      </c>
      <c r="ENN4304" s="204"/>
      <c r="ENO4304" s="204"/>
      <c r="ENQ4304" s="204"/>
      <c r="ENR4304" s="204"/>
      <c r="ENS4304" s="204"/>
      <c r="ENT4304" s="185" t="s">
        <v>667</v>
      </c>
      <c r="ENU4304" s="205">
        <v>14460</v>
      </c>
      <c r="ENV4304" s="204"/>
      <c r="ENW4304" s="204"/>
      <c r="ENY4304" s="204"/>
      <c r="ENZ4304" s="204"/>
      <c r="EOA4304" s="204"/>
      <c r="EOB4304" s="185" t="s">
        <v>667</v>
      </c>
      <c r="EOC4304" s="205">
        <v>14460</v>
      </c>
      <c r="EOD4304" s="204"/>
      <c r="EOE4304" s="204"/>
      <c r="EOG4304" s="204"/>
      <c r="EOH4304" s="204"/>
      <c r="EOI4304" s="204"/>
      <c r="EOJ4304" s="185" t="s">
        <v>667</v>
      </c>
      <c r="EOK4304" s="205">
        <v>14460</v>
      </c>
      <c r="EOL4304" s="204"/>
      <c r="EOM4304" s="204"/>
      <c r="EOO4304" s="204"/>
      <c r="EOP4304" s="204"/>
      <c r="EOQ4304" s="204"/>
      <c r="EOR4304" s="185" t="s">
        <v>667</v>
      </c>
      <c r="EOS4304" s="205">
        <v>14460</v>
      </c>
      <c r="EOT4304" s="204"/>
      <c r="EOU4304" s="204"/>
      <c r="EOW4304" s="204"/>
      <c r="EOX4304" s="204"/>
      <c r="EOY4304" s="204"/>
      <c r="EOZ4304" s="185" t="s">
        <v>667</v>
      </c>
      <c r="EPA4304" s="205">
        <v>14460</v>
      </c>
      <c r="EPB4304" s="204"/>
      <c r="EPC4304" s="204"/>
      <c r="EPE4304" s="204"/>
      <c r="EPF4304" s="204"/>
      <c r="EPG4304" s="204"/>
      <c r="EPH4304" s="185" t="s">
        <v>667</v>
      </c>
      <c r="EPI4304" s="205">
        <v>14460</v>
      </c>
      <c r="EPJ4304" s="204"/>
      <c r="EPK4304" s="204"/>
      <c r="EPM4304" s="204"/>
      <c r="EPN4304" s="204"/>
      <c r="EPO4304" s="204"/>
      <c r="EPP4304" s="185" t="s">
        <v>667</v>
      </c>
      <c r="EPQ4304" s="205">
        <v>14460</v>
      </c>
      <c r="EPR4304" s="204"/>
      <c r="EPS4304" s="204"/>
      <c r="EPU4304" s="204"/>
      <c r="EPV4304" s="204"/>
      <c r="EPW4304" s="204"/>
      <c r="EPX4304" s="185" t="s">
        <v>667</v>
      </c>
      <c r="EPY4304" s="205">
        <v>14460</v>
      </c>
      <c r="EPZ4304" s="204"/>
      <c r="EQA4304" s="204"/>
      <c r="EQC4304" s="204"/>
      <c r="EQD4304" s="204"/>
      <c r="EQE4304" s="204"/>
      <c r="EQF4304" s="185" t="s">
        <v>667</v>
      </c>
      <c r="EQG4304" s="205">
        <v>14460</v>
      </c>
      <c r="EQH4304" s="204"/>
      <c r="EQI4304" s="204"/>
      <c r="EQK4304" s="204"/>
      <c r="EQL4304" s="204"/>
      <c r="EQM4304" s="204"/>
      <c r="EQN4304" s="185" t="s">
        <v>667</v>
      </c>
      <c r="EQO4304" s="205">
        <v>14460</v>
      </c>
      <c r="EQP4304" s="204"/>
      <c r="EQQ4304" s="204"/>
      <c r="EQS4304" s="204"/>
      <c r="EQT4304" s="204"/>
      <c r="EQU4304" s="204"/>
      <c r="EQV4304" s="185" t="s">
        <v>667</v>
      </c>
      <c r="EQW4304" s="205">
        <v>14460</v>
      </c>
      <c r="EQX4304" s="204"/>
      <c r="EQY4304" s="204"/>
      <c r="ERA4304" s="204"/>
      <c r="ERB4304" s="204"/>
      <c r="ERC4304" s="204"/>
      <c r="ERD4304" s="185" t="s">
        <v>667</v>
      </c>
      <c r="ERE4304" s="205">
        <v>14460</v>
      </c>
      <c r="ERF4304" s="204"/>
      <c r="ERG4304" s="204"/>
      <c r="ERI4304" s="204"/>
      <c r="ERJ4304" s="204"/>
      <c r="ERK4304" s="204"/>
      <c r="ERL4304" s="185" t="s">
        <v>667</v>
      </c>
      <c r="ERM4304" s="205">
        <v>14460</v>
      </c>
      <c r="ERN4304" s="204"/>
      <c r="ERO4304" s="204"/>
      <c r="ERQ4304" s="204"/>
      <c r="ERR4304" s="204"/>
      <c r="ERS4304" s="204"/>
      <c r="ERT4304" s="185" t="s">
        <v>667</v>
      </c>
      <c r="ERU4304" s="205">
        <v>14460</v>
      </c>
      <c r="ERV4304" s="204"/>
      <c r="ERW4304" s="204"/>
      <c r="ERY4304" s="204"/>
      <c r="ERZ4304" s="204"/>
      <c r="ESA4304" s="204"/>
      <c r="ESB4304" s="185" t="s">
        <v>667</v>
      </c>
      <c r="ESC4304" s="205">
        <v>14460</v>
      </c>
      <c r="ESD4304" s="204"/>
      <c r="ESE4304" s="204"/>
      <c r="ESG4304" s="204"/>
      <c r="ESH4304" s="204"/>
      <c r="ESI4304" s="204"/>
      <c r="ESJ4304" s="185" t="s">
        <v>667</v>
      </c>
      <c r="ESK4304" s="205">
        <v>14460</v>
      </c>
      <c r="ESL4304" s="204"/>
      <c r="ESM4304" s="204"/>
      <c r="ESO4304" s="204"/>
      <c r="ESP4304" s="204"/>
      <c r="ESQ4304" s="204"/>
      <c r="ESR4304" s="185" t="s">
        <v>667</v>
      </c>
      <c r="ESS4304" s="205">
        <v>14460</v>
      </c>
      <c r="EST4304" s="204"/>
      <c r="ESU4304" s="204"/>
      <c r="ESW4304" s="204"/>
      <c r="ESX4304" s="204"/>
      <c r="ESY4304" s="204"/>
      <c r="ESZ4304" s="185" t="s">
        <v>667</v>
      </c>
      <c r="ETA4304" s="205">
        <v>14460</v>
      </c>
      <c r="ETB4304" s="204"/>
      <c r="ETC4304" s="204"/>
      <c r="ETE4304" s="204"/>
      <c r="ETF4304" s="204"/>
      <c r="ETG4304" s="204"/>
      <c r="ETH4304" s="185" t="s">
        <v>667</v>
      </c>
      <c r="ETI4304" s="205">
        <v>14460</v>
      </c>
      <c r="ETJ4304" s="204"/>
      <c r="ETK4304" s="204"/>
      <c r="ETM4304" s="204"/>
      <c r="ETN4304" s="204"/>
      <c r="ETO4304" s="204"/>
      <c r="ETP4304" s="185" t="s">
        <v>667</v>
      </c>
      <c r="ETQ4304" s="205">
        <v>14460</v>
      </c>
      <c r="ETR4304" s="204"/>
      <c r="ETS4304" s="204"/>
      <c r="ETU4304" s="204"/>
      <c r="ETV4304" s="204"/>
      <c r="ETW4304" s="204"/>
      <c r="ETX4304" s="185" t="s">
        <v>667</v>
      </c>
      <c r="ETY4304" s="205">
        <v>14460</v>
      </c>
      <c r="ETZ4304" s="204"/>
      <c r="EUA4304" s="204"/>
      <c r="EUC4304" s="204"/>
      <c r="EUD4304" s="204"/>
      <c r="EUE4304" s="204"/>
      <c r="EUF4304" s="185" t="s">
        <v>667</v>
      </c>
      <c r="EUG4304" s="205">
        <v>14460</v>
      </c>
      <c r="EUH4304" s="204"/>
      <c r="EUI4304" s="204"/>
      <c r="EUK4304" s="204"/>
      <c r="EUL4304" s="204"/>
      <c r="EUM4304" s="204"/>
      <c r="EUN4304" s="185" t="s">
        <v>667</v>
      </c>
      <c r="EUO4304" s="205">
        <v>14460</v>
      </c>
      <c r="EUP4304" s="204"/>
      <c r="EUQ4304" s="204"/>
      <c r="EUS4304" s="204"/>
      <c r="EUT4304" s="204"/>
      <c r="EUU4304" s="204"/>
      <c r="EUV4304" s="185" t="s">
        <v>667</v>
      </c>
      <c r="EUW4304" s="205">
        <v>14460</v>
      </c>
      <c r="EUX4304" s="204"/>
      <c r="EUY4304" s="204"/>
      <c r="EVA4304" s="204"/>
      <c r="EVB4304" s="204"/>
      <c r="EVC4304" s="204"/>
      <c r="EVD4304" s="185" t="s">
        <v>667</v>
      </c>
      <c r="EVE4304" s="205">
        <v>14460</v>
      </c>
      <c r="EVF4304" s="204"/>
      <c r="EVG4304" s="204"/>
      <c r="EVI4304" s="204"/>
      <c r="EVJ4304" s="204"/>
      <c r="EVK4304" s="204"/>
      <c r="EVL4304" s="185" t="s">
        <v>667</v>
      </c>
      <c r="EVM4304" s="205">
        <v>14460</v>
      </c>
      <c r="EVN4304" s="204"/>
      <c r="EVO4304" s="204"/>
      <c r="EVQ4304" s="204"/>
      <c r="EVR4304" s="204"/>
      <c r="EVS4304" s="204"/>
      <c r="EVT4304" s="185" t="s">
        <v>667</v>
      </c>
      <c r="EVU4304" s="205">
        <v>14460</v>
      </c>
      <c r="EVV4304" s="204"/>
      <c r="EVW4304" s="204"/>
      <c r="EVY4304" s="204"/>
      <c r="EVZ4304" s="204"/>
      <c r="EWA4304" s="204"/>
      <c r="EWB4304" s="185" t="s">
        <v>667</v>
      </c>
      <c r="EWC4304" s="205">
        <v>14460</v>
      </c>
      <c r="EWD4304" s="204"/>
      <c r="EWE4304" s="204"/>
      <c r="EWG4304" s="204"/>
      <c r="EWH4304" s="204"/>
      <c r="EWI4304" s="204"/>
      <c r="EWJ4304" s="185" t="s">
        <v>667</v>
      </c>
      <c r="EWK4304" s="205">
        <v>14460</v>
      </c>
      <c r="EWL4304" s="204"/>
      <c r="EWM4304" s="204"/>
      <c r="EWO4304" s="204"/>
      <c r="EWP4304" s="204"/>
      <c r="EWQ4304" s="204"/>
      <c r="EWR4304" s="185" t="s">
        <v>667</v>
      </c>
      <c r="EWS4304" s="205">
        <v>14460</v>
      </c>
      <c r="EWT4304" s="204"/>
      <c r="EWU4304" s="204"/>
      <c r="EWW4304" s="204"/>
      <c r="EWX4304" s="204"/>
      <c r="EWY4304" s="204"/>
      <c r="EWZ4304" s="185" t="s">
        <v>667</v>
      </c>
      <c r="EXA4304" s="205">
        <v>14460</v>
      </c>
      <c r="EXB4304" s="204"/>
      <c r="EXC4304" s="204"/>
      <c r="EXE4304" s="204"/>
      <c r="EXF4304" s="204"/>
      <c r="EXG4304" s="204"/>
      <c r="EXH4304" s="185" t="s">
        <v>667</v>
      </c>
      <c r="EXI4304" s="205">
        <v>14460</v>
      </c>
      <c r="EXJ4304" s="204"/>
      <c r="EXK4304" s="204"/>
      <c r="EXM4304" s="204"/>
      <c r="EXN4304" s="204"/>
      <c r="EXO4304" s="204"/>
      <c r="EXP4304" s="185" t="s">
        <v>667</v>
      </c>
      <c r="EXQ4304" s="205">
        <v>14460</v>
      </c>
      <c r="EXR4304" s="204"/>
      <c r="EXS4304" s="204"/>
      <c r="EXU4304" s="204"/>
      <c r="EXV4304" s="204"/>
      <c r="EXW4304" s="204"/>
      <c r="EXX4304" s="185" t="s">
        <v>667</v>
      </c>
      <c r="EXY4304" s="205">
        <v>14460</v>
      </c>
      <c r="EXZ4304" s="204"/>
      <c r="EYA4304" s="204"/>
      <c r="EYC4304" s="204"/>
      <c r="EYD4304" s="204"/>
      <c r="EYE4304" s="204"/>
      <c r="EYF4304" s="185" t="s">
        <v>667</v>
      </c>
      <c r="EYG4304" s="205">
        <v>14460</v>
      </c>
      <c r="EYH4304" s="204"/>
      <c r="EYI4304" s="204"/>
      <c r="EYK4304" s="204"/>
      <c r="EYL4304" s="204"/>
      <c r="EYM4304" s="204"/>
      <c r="EYN4304" s="185" t="s">
        <v>667</v>
      </c>
      <c r="EYO4304" s="205">
        <v>14460</v>
      </c>
      <c r="EYP4304" s="204"/>
      <c r="EYQ4304" s="204"/>
      <c r="EYS4304" s="204"/>
      <c r="EYT4304" s="204"/>
      <c r="EYU4304" s="204"/>
      <c r="EYV4304" s="185" t="s">
        <v>667</v>
      </c>
      <c r="EYW4304" s="205">
        <v>14460</v>
      </c>
      <c r="EYX4304" s="204"/>
      <c r="EYY4304" s="204"/>
      <c r="EZA4304" s="204"/>
      <c r="EZB4304" s="204"/>
      <c r="EZC4304" s="204"/>
      <c r="EZD4304" s="185" t="s">
        <v>667</v>
      </c>
      <c r="EZE4304" s="205">
        <v>14460</v>
      </c>
      <c r="EZF4304" s="204"/>
      <c r="EZG4304" s="204"/>
      <c r="EZI4304" s="204"/>
      <c r="EZJ4304" s="204"/>
      <c r="EZK4304" s="204"/>
      <c r="EZL4304" s="185" t="s">
        <v>667</v>
      </c>
      <c r="EZM4304" s="205">
        <v>14460</v>
      </c>
      <c r="EZN4304" s="204"/>
      <c r="EZO4304" s="204"/>
      <c r="EZQ4304" s="204"/>
      <c r="EZR4304" s="204"/>
      <c r="EZS4304" s="204"/>
      <c r="EZT4304" s="185" t="s">
        <v>667</v>
      </c>
      <c r="EZU4304" s="205">
        <v>14460</v>
      </c>
      <c r="EZV4304" s="204"/>
      <c r="EZW4304" s="204"/>
      <c r="EZY4304" s="204"/>
      <c r="EZZ4304" s="204"/>
      <c r="FAA4304" s="204"/>
      <c r="FAB4304" s="185" t="s">
        <v>667</v>
      </c>
      <c r="FAC4304" s="205">
        <v>14460</v>
      </c>
      <c r="FAD4304" s="204"/>
      <c r="FAE4304" s="204"/>
      <c r="FAG4304" s="204"/>
      <c r="FAH4304" s="204"/>
      <c r="FAI4304" s="204"/>
      <c r="FAJ4304" s="185" t="s">
        <v>667</v>
      </c>
      <c r="FAK4304" s="205">
        <v>14460</v>
      </c>
      <c r="FAL4304" s="204"/>
      <c r="FAM4304" s="204"/>
      <c r="FAO4304" s="204"/>
      <c r="FAP4304" s="204"/>
      <c r="FAQ4304" s="204"/>
      <c r="FAR4304" s="185" t="s">
        <v>667</v>
      </c>
      <c r="FAS4304" s="205">
        <v>14460</v>
      </c>
      <c r="FAT4304" s="204"/>
      <c r="FAU4304" s="204"/>
      <c r="FAW4304" s="204"/>
      <c r="FAX4304" s="204"/>
      <c r="FAY4304" s="204"/>
      <c r="FAZ4304" s="185" t="s">
        <v>667</v>
      </c>
      <c r="FBA4304" s="205">
        <v>14460</v>
      </c>
      <c r="FBB4304" s="204"/>
      <c r="FBC4304" s="204"/>
      <c r="FBE4304" s="204"/>
      <c r="FBF4304" s="204"/>
      <c r="FBG4304" s="204"/>
      <c r="FBH4304" s="185" t="s">
        <v>667</v>
      </c>
      <c r="FBI4304" s="205">
        <v>14460</v>
      </c>
      <c r="FBJ4304" s="204"/>
      <c r="FBK4304" s="204"/>
      <c r="FBM4304" s="204"/>
      <c r="FBN4304" s="204"/>
      <c r="FBO4304" s="204"/>
      <c r="FBP4304" s="185" t="s">
        <v>667</v>
      </c>
      <c r="FBQ4304" s="205">
        <v>14460</v>
      </c>
      <c r="FBR4304" s="204"/>
      <c r="FBS4304" s="204"/>
      <c r="FBU4304" s="204"/>
      <c r="FBV4304" s="204"/>
      <c r="FBW4304" s="204"/>
      <c r="FBX4304" s="185" t="s">
        <v>667</v>
      </c>
      <c r="FBY4304" s="205">
        <v>14460</v>
      </c>
      <c r="FBZ4304" s="204"/>
      <c r="FCA4304" s="204"/>
      <c r="FCC4304" s="204"/>
      <c r="FCD4304" s="204"/>
      <c r="FCE4304" s="204"/>
      <c r="FCF4304" s="185" t="s">
        <v>667</v>
      </c>
      <c r="FCG4304" s="205">
        <v>14460</v>
      </c>
      <c r="FCH4304" s="204"/>
      <c r="FCI4304" s="204"/>
      <c r="FCK4304" s="204"/>
      <c r="FCL4304" s="204"/>
      <c r="FCM4304" s="204"/>
      <c r="FCN4304" s="185" t="s">
        <v>667</v>
      </c>
      <c r="FCO4304" s="205">
        <v>14460</v>
      </c>
      <c r="FCP4304" s="204"/>
      <c r="FCQ4304" s="204"/>
      <c r="FCS4304" s="204"/>
      <c r="FCT4304" s="204"/>
      <c r="FCU4304" s="204"/>
      <c r="FCV4304" s="185" t="s">
        <v>667</v>
      </c>
      <c r="FCW4304" s="205">
        <v>14460</v>
      </c>
      <c r="FCX4304" s="204"/>
      <c r="FCY4304" s="204"/>
      <c r="FDA4304" s="204"/>
      <c r="FDB4304" s="204"/>
      <c r="FDC4304" s="204"/>
      <c r="FDD4304" s="185" t="s">
        <v>667</v>
      </c>
      <c r="FDE4304" s="205">
        <v>14460</v>
      </c>
      <c r="FDF4304" s="204"/>
      <c r="FDG4304" s="204"/>
      <c r="FDI4304" s="204"/>
      <c r="FDJ4304" s="204"/>
      <c r="FDK4304" s="204"/>
      <c r="FDL4304" s="185" t="s">
        <v>667</v>
      </c>
      <c r="FDM4304" s="205">
        <v>14460</v>
      </c>
      <c r="FDN4304" s="204"/>
      <c r="FDO4304" s="204"/>
      <c r="FDQ4304" s="204"/>
      <c r="FDR4304" s="204"/>
      <c r="FDS4304" s="204"/>
      <c r="FDT4304" s="185" t="s">
        <v>667</v>
      </c>
      <c r="FDU4304" s="205">
        <v>14460</v>
      </c>
      <c r="FDV4304" s="204"/>
      <c r="FDW4304" s="204"/>
      <c r="FDY4304" s="204"/>
      <c r="FDZ4304" s="204"/>
      <c r="FEA4304" s="204"/>
      <c r="FEB4304" s="185" t="s">
        <v>667</v>
      </c>
      <c r="FEC4304" s="205">
        <v>14460</v>
      </c>
      <c r="FED4304" s="204"/>
      <c r="FEE4304" s="204"/>
      <c r="FEG4304" s="204"/>
      <c r="FEH4304" s="204"/>
      <c r="FEI4304" s="204"/>
      <c r="FEJ4304" s="185" t="s">
        <v>667</v>
      </c>
      <c r="FEK4304" s="205">
        <v>14460</v>
      </c>
      <c r="FEL4304" s="204"/>
      <c r="FEM4304" s="204"/>
      <c r="FEO4304" s="204"/>
      <c r="FEP4304" s="204"/>
      <c r="FEQ4304" s="204"/>
      <c r="FER4304" s="185" t="s">
        <v>667</v>
      </c>
      <c r="FES4304" s="205">
        <v>14460</v>
      </c>
      <c r="FET4304" s="204"/>
      <c r="FEU4304" s="204"/>
      <c r="FEW4304" s="204"/>
      <c r="FEX4304" s="204"/>
      <c r="FEY4304" s="204"/>
      <c r="FEZ4304" s="185" t="s">
        <v>667</v>
      </c>
      <c r="FFA4304" s="205">
        <v>14460</v>
      </c>
      <c r="FFB4304" s="204"/>
      <c r="FFC4304" s="204"/>
      <c r="FFE4304" s="204"/>
      <c r="FFF4304" s="204"/>
      <c r="FFG4304" s="204"/>
      <c r="FFH4304" s="185" t="s">
        <v>667</v>
      </c>
      <c r="FFI4304" s="205">
        <v>14460</v>
      </c>
      <c r="FFJ4304" s="204"/>
      <c r="FFK4304" s="204"/>
      <c r="FFM4304" s="204"/>
      <c r="FFN4304" s="204"/>
      <c r="FFO4304" s="204"/>
      <c r="FFP4304" s="185" t="s">
        <v>667</v>
      </c>
      <c r="FFQ4304" s="205">
        <v>14460</v>
      </c>
      <c r="FFR4304" s="204"/>
      <c r="FFS4304" s="204"/>
      <c r="FFU4304" s="204"/>
      <c r="FFV4304" s="204"/>
      <c r="FFW4304" s="204"/>
      <c r="FFX4304" s="185" t="s">
        <v>667</v>
      </c>
      <c r="FFY4304" s="205">
        <v>14460</v>
      </c>
      <c r="FFZ4304" s="204"/>
      <c r="FGA4304" s="204"/>
      <c r="FGC4304" s="204"/>
      <c r="FGD4304" s="204"/>
      <c r="FGE4304" s="204"/>
      <c r="FGF4304" s="185" t="s">
        <v>667</v>
      </c>
      <c r="FGG4304" s="205">
        <v>14460</v>
      </c>
      <c r="FGH4304" s="204"/>
      <c r="FGI4304" s="204"/>
      <c r="FGK4304" s="204"/>
      <c r="FGL4304" s="204"/>
      <c r="FGM4304" s="204"/>
      <c r="FGN4304" s="185" t="s">
        <v>667</v>
      </c>
      <c r="FGO4304" s="205">
        <v>14460</v>
      </c>
      <c r="FGP4304" s="204"/>
      <c r="FGQ4304" s="204"/>
      <c r="FGS4304" s="204"/>
      <c r="FGT4304" s="204"/>
      <c r="FGU4304" s="204"/>
      <c r="FGV4304" s="185" t="s">
        <v>667</v>
      </c>
      <c r="FGW4304" s="205">
        <v>14460</v>
      </c>
      <c r="FGX4304" s="204"/>
      <c r="FGY4304" s="204"/>
      <c r="FHA4304" s="204"/>
      <c r="FHB4304" s="204"/>
      <c r="FHC4304" s="204"/>
      <c r="FHD4304" s="185" t="s">
        <v>667</v>
      </c>
      <c r="FHE4304" s="205">
        <v>14460</v>
      </c>
      <c r="FHF4304" s="204"/>
      <c r="FHG4304" s="204"/>
      <c r="FHI4304" s="204"/>
      <c r="FHJ4304" s="204"/>
      <c r="FHK4304" s="204"/>
      <c r="FHL4304" s="185" t="s">
        <v>667</v>
      </c>
      <c r="FHM4304" s="205">
        <v>14460</v>
      </c>
      <c r="FHN4304" s="204"/>
      <c r="FHO4304" s="204"/>
      <c r="FHQ4304" s="204"/>
      <c r="FHR4304" s="204"/>
      <c r="FHS4304" s="204"/>
      <c r="FHT4304" s="185" t="s">
        <v>667</v>
      </c>
      <c r="FHU4304" s="205">
        <v>14460</v>
      </c>
      <c r="FHV4304" s="204"/>
      <c r="FHW4304" s="204"/>
      <c r="FHY4304" s="204"/>
      <c r="FHZ4304" s="204"/>
      <c r="FIA4304" s="204"/>
      <c r="FIB4304" s="185" t="s">
        <v>667</v>
      </c>
      <c r="FIC4304" s="205">
        <v>14460</v>
      </c>
      <c r="FID4304" s="204"/>
      <c r="FIE4304" s="204"/>
      <c r="FIG4304" s="204"/>
      <c r="FIH4304" s="204"/>
      <c r="FII4304" s="204"/>
      <c r="FIJ4304" s="185" t="s">
        <v>667</v>
      </c>
      <c r="FIK4304" s="205">
        <v>14460</v>
      </c>
      <c r="FIL4304" s="204"/>
      <c r="FIM4304" s="204"/>
      <c r="FIO4304" s="204"/>
      <c r="FIP4304" s="204"/>
      <c r="FIQ4304" s="204"/>
      <c r="FIR4304" s="185" t="s">
        <v>667</v>
      </c>
      <c r="FIS4304" s="205">
        <v>14460</v>
      </c>
      <c r="FIT4304" s="204"/>
      <c r="FIU4304" s="204"/>
      <c r="FIW4304" s="204"/>
      <c r="FIX4304" s="204"/>
      <c r="FIY4304" s="204"/>
      <c r="FIZ4304" s="185" t="s">
        <v>667</v>
      </c>
      <c r="FJA4304" s="205">
        <v>14460</v>
      </c>
      <c r="FJB4304" s="204"/>
      <c r="FJC4304" s="204"/>
      <c r="FJE4304" s="204"/>
      <c r="FJF4304" s="204"/>
      <c r="FJG4304" s="204"/>
      <c r="FJH4304" s="185" t="s">
        <v>667</v>
      </c>
      <c r="FJI4304" s="205">
        <v>14460</v>
      </c>
      <c r="FJJ4304" s="204"/>
      <c r="FJK4304" s="204"/>
      <c r="FJM4304" s="204"/>
      <c r="FJN4304" s="204"/>
      <c r="FJO4304" s="204"/>
      <c r="FJP4304" s="185" t="s">
        <v>667</v>
      </c>
      <c r="FJQ4304" s="205">
        <v>14460</v>
      </c>
      <c r="FJR4304" s="204"/>
      <c r="FJS4304" s="204"/>
      <c r="FJU4304" s="204"/>
      <c r="FJV4304" s="204"/>
      <c r="FJW4304" s="204"/>
      <c r="FJX4304" s="185" t="s">
        <v>667</v>
      </c>
      <c r="FJY4304" s="205">
        <v>14460</v>
      </c>
      <c r="FJZ4304" s="204"/>
      <c r="FKA4304" s="204"/>
      <c r="FKC4304" s="204"/>
      <c r="FKD4304" s="204"/>
      <c r="FKE4304" s="204"/>
      <c r="FKF4304" s="185" t="s">
        <v>667</v>
      </c>
      <c r="FKG4304" s="205">
        <v>14460</v>
      </c>
      <c r="FKH4304" s="204"/>
      <c r="FKI4304" s="204"/>
      <c r="FKK4304" s="204"/>
      <c r="FKL4304" s="204"/>
      <c r="FKM4304" s="204"/>
      <c r="FKN4304" s="185" t="s">
        <v>667</v>
      </c>
      <c r="FKO4304" s="205">
        <v>14460</v>
      </c>
      <c r="FKP4304" s="204"/>
      <c r="FKQ4304" s="204"/>
      <c r="FKS4304" s="204"/>
      <c r="FKT4304" s="204"/>
      <c r="FKU4304" s="204"/>
      <c r="FKV4304" s="185" t="s">
        <v>667</v>
      </c>
      <c r="FKW4304" s="205">
        <v>14460</v>
      </c>
      <c r="FKX4304" s="204"/>
      <c r="FKY4304" s="204"/>
      <c r="FLA4304" s="204"/>
      <c r="FLB4304" s="204"/>
      <c r="FLC4304" s="204"/>
      <c r="FLD4304" s="185" t="s">
        <v>667</v>
      </c>
      <c r="FLE4304" s="205">
        <v>14460</v>
      </c>
      <c r="FLF4304" s="204"/>
      <c r="FLG4304" s="204"/>
      <c r="FLI4304" s="204"/>
      <c r="FLJ4304" s="204"/>
      <c r="FLK4304" s="204"/>
      <c r="FLL4304" s="185" t="s">
        <v>667</v>
      </c>
      <c r="FLM4304" s="205">
        <v>14460</v>
      </c>
      <c r="FLN4304" s="204"/>
      <c r="FLO4304" s="204"/>
      <c r="FLQ4304" s="204"/>
      <c r="FLR4304" s="204"/>
      <c r="FLS4304" s="204"/>
      <c r="FLT4304" s="185" t="s">
        <v>667</v>
      </c>
      <c r="FLU4304" s="205">
        <v>14460</v>
      </c>
      <c r="FLV4304" s="204"/>
      <c r="FLW4304" s="204"/>
      <c r="FLY4304" s="204"/>
      <c r="FLZ4304" s="204"/>
      <c r="FMA4304" s="204"/>
      <c r="FMB4304" s="185" t="s">
        <v>667</v>
      </c>
      <c r="FMC4304" s="205">
        <v>14460</v>
      </c>
      <c r="FMD4304" s="204"/>
      <c r="FME4304" s="204"/>
      <c r="FMG4304" s="204"/>
      <c r="FMH4304" s="204"/>
      <c r="FMI4304" s="204"/>
      <c r="FMJ4304" s="185" t="s">
        <v>667</v>
      </c>
      <c r="FMK4304" s="205">
        <v>14460</v>
      </c>
      <c r="FML4304" s="204"/>
      <c r="FMM4304" s="204"/>
      <c r="FMO4304" s="204"/>
      <c r="FMP4304" s="204"/>
      <c r="FMQ4304" s="204"/>
      <c r="FMR4304" s="185" t="s">
        <v>667</v>
      </c>
      <c r="FMS4304" s="205">
        <v>14460</v>
      </c>
      <c r="FMT4304" s="204"/>
      <c r="FMU4304" s="204"/>
      <c r="FMW4304" s="204"/>
      <c r="FMX4304" s="204"/>
      <c r="FMY4304" s="204"/>
      <c r="FMZ4304" s="185" t="s">
        <v>667</v>
      </c>
      <c r="FNA4304" s="205">
        <v>14460</v>
      </c>
      <c r="FNB4304" s="204"/>
      <c r="FNC4304" s="204"/>
      <c r="FNE4304" s="204"/>
      <c r="FNF4304" s="204"/>
      <c r="FNG4304" s="204"/>
      <c r="FNH4304" s="185" t="s">
        <v>667</v>
      </c>
      <c r="FNI4304" s="205">
        <v>14460</v>
      </c>
      <c r="FNJ4304" s="204"/>
      <c r="FNK4304" s="204"/>
      <c r="FNM4304" s="204"/>
      <c r="FNN4304" s="204"/>
      <c r="FNO4304" s="204"/>
      <c r="FNP4304" s="185" t="s">
        <v>667</v>
      </c>
      <c r="FNQ4304" s="205">
        <v>14460</v>
      </c>
      <c r="FNR4304" s="204"/>
      <c r="FNS4304" s="204"/>
      <c r="FNU4304" s="204"/>
      <c r="FNV4304" s="204"/>
      <c r="FNW4304" s="204"/>
      <c r="FNX4304" s="185" t="s">
        <v>667</v>
      </c>
      <c r="FNY4304" s="205">
        <v>14460</v>
      </c>
      <c r="FNZ4304" s="204"/>
      <c r="FOA4304" s="204"/>
      <c r="FOC4304" s="204"/>
      <c r="FOD4304" s="204"/>
      <c r="FOE4304" s="204"/>
      <c r="FOF4304" s="185" t="s">
        <v>667</v>
      </c>
      <c r="FOG4304" s="205">
        <v>14460</v>
      </c>
      <c r="FOH4304" s="204"/>
      <c r="FOI4304" s="204"/>
      <c r="FOK4304" s="204"/>
      <c r="FOL4304" s="204"/>
      <c r="FOM4304" s="204"/>
      <c r="FON4304" s="185" t="s">
        <v>667</v>
      </c>
      <c r="FOO4304" s="205">
        <v>14460</v>
      </c>
      <c r="FOP4304" s="204"/>
      <c r="FOQ4304" s="204"/>
      <c r="FOS4304" s="204"/>
      <c r="FOT4304" s="204"/>
      <c r="FOU4304" s="204"/>
      <c r="FOV4304" s="185" t="s">
        <v>667</v>
      </c>
      <c r="FOW4304" s="205">
        <v>14460</v>
      </c>
      <c r="FOX4304" s="204"/>
      <c r="FOY4304" s="204"/>
      <c r="FPA4304" s="204"/>
      <c r="FPB4304" s="204"/>
      <c r="FPC4304" s="204"/>
      <c r="FPD4304" s="185" t="s">
        <v>667</v>
      </c>
      <c r="FPE4304" s="205">
        <v>14460</v>
      </c>
      <c r="FPF4304" s="204"/>
      <c r="FPG4304" s="204"/>
      <c r="FPI4304" s="204"/>
      <c r="FPJ4304" s="204"/>
      <c r="FPK4304" s="204"/>
      <c r="FPL4304" s="185" t="s">
        <v>667</v>
      </c>
      <c r="FPM4304" s="205">
        <v>14460</v>
      </c>
      <c r="FPN4304" s="204"/>
      <c r="FPO4304" s="204"/>
      <c r="FPQ4304" s="204"/>
      <c r="FPR4304" s="204"/>
      <c r="FPS4304" s="204"/>
      <c r="FPT4304" s="185" t="s">
        <v>667</v>
      </c>
      <c r="FPU4304" s="205">
        <v>14460</v>
      </c>
      <c r="FPV4304" s="204"/>
      <c r="FPW4304" s="204"/>
      <c r="FPY4304" s="204"/>
      <c r="FPZ4304" s="204"/>
      <c r="FQA4304" s="204"/>
      <c r="FQB4304" s="185" t="s">
        <v>667</v>
      </c>
      <c r="FQC4304" s="205">
        <v>14460</v>
      </c>
      <c r="FQD4304" s="204"/>
      <c r="FQE4304" s="204"/>
      <c r="FQG4304" s="204"/>
      <c r="FQH4304" s="204"/>
      <c r="FQI4304" s="204"/>
      <c r="FQJ4304" s="185" t="s">
        <v>667</v>
      </c>
      <c r="FQK4304" s="205">
        <v>14460</v>
      </c>
      <c r="FQL4304" s="204"/>
      <c r="FQM4304" s="204"/>
      <c r="FQO4304" s="204"/>
      <c r="FQP4304" s="204"/>
      <c r="FQQ4304" s="204"/>
      <c r="FQR4304" s="185" t="s">
        <v>667</v>
      </c>
      <c r="FQS4304" s="205">
        <v>14460</v>
      </c>
      <c r="FQT4304" s="204"/>
      <c r="FQU4304" s="204"/>
      <c r="FQW4304" s="204"/>
      <c r="FQX4304" s="204"/>
      <c r="FQY4304" s="204"/>
      <c r="FQZ4304" s="185" t="s">
        <v>667</v>
      </c>
      <c r="FRA4304" s="205">
        <v>14460</v>
      </c>
      <c r="FRB4304" s="204"/>
      <c r="FRC4304" s="204"/>
      <c r="FRE4304" s="204"/>
      <c r="FRF4304" s="204"/>
      <c r="FRG4304" s="204"/>
      <c r="FRH4304" s="185" t="s">
        <v>667</v>
      </c>
      <c r="FRI4304" s="205">
        <v>14460</v>
      </c>
      <c r="FRJ4304" s="204"/>
      <c r="FRK4304" s="204"/>
      <c r="FRM4304" s="204"/>
      <c r="FRN4304" s="204"/>
      <c r="FRO4304" s="204"/>
      <c r="FRP4304" s="185" t="s">
        <v>667</v>
      </c>
      <c r="FRQ4304" s="205">
        <v>14460</v>
      </c>
      <c r="FRR4304" s="204"/>
      <c r="FRS4304" s="204"/>
      <c r="FRU4304" s="204"/>
      <c r="FRV4304" s="204"/>
      <c r="FRW4304" s="204"/>
      <c r="FRX4304" s="185" t="s">
        <v>667</v>
      </c>
      <c r="FRY4304" s="205">
        <v>14460</v>
      </c>
      <c r="FRZ4304" s="204"/>
      <c r="FSA4304" s="204"/>
      <c r="FSC4304" s="204"/>
      <c r="FSD4304" s="204"/>
      <c r="FSE4304" s="204"/>
      <c r="FSF4304" s="185" t="s">
        <v>667</v>
      </c>
      <c r="FSG4304" s="205">
        <v>14460</v>
      </c>
      <c r="FSH4304" s="204"/>
      <c r="FSI4304" s="204"/>
      <c r="FSK4304" s="204"/>
      <c r="FSL4304" s="204"/>
      <c r="FSM4304" s="204"/>
      <c r="FSN4304" s="185" t="s">
        <v>667</v>
      </c>
      <c r="FSO4304" s="205">
        <v>14460</v>
      </c>
      <c r="FSP4304" s="204"/>
      <c r="FSQ4304" s="204"/>
      <c r="FSS4304" s="204"/>
      <c r="FST4304" s="204"/>
      <c r="FSU4304" s="204"/>
      <c r="FSV4304" s="185" t="s">
        <v>667</v>
      </c>
      <c r="FSW4304" s="205">
        <v>14460</v>
      </c>
      <c r="FSX4304" s="204"/>
      <c r="FSY4304" s="204"/>
      <c r="FTA4304" s="204"/>
      <c r="FTB4304" s="204"/>
      <c r="FTC4304" s="204"/>
      <c r="FTD4304" s="185" t="s">
        <v>667</v>
      </c>
      <c r="FTE4304" s="205">
        <v>14460</v>
      </c>
      <c r="FTF4304" s="204"/>
      <c r="FTG4304" s="204"/>
      <c r="FTI4304" s="204"/>
      <c r="FTJ4304" s="204"/>
      <c r="FTK4304" s="204"/>
      <c r="FTL4304" s="185" t="s">
        <v>667</v>
      </c>
      <c r="FTM4304" s="205">
        <v>14460</v>
      </c>
      <c r="FTN4304" s="204"/>
      <c r="FTO4304" s="204"/>
      <c r="FTQ4304" s="204"/>
      <c r="FTR4304" s="204"/>
      <c r="FTS4304" s="204"/>
      <c r="FTT4304" s="185" t="s">
        <v>667</v>
      </c>
      <c r="FTU4304" s="205">
        <v>14460</v>
      </c>
      <c r="FTV4304" s="204"/>
      <c r="FTW4304" s="204"/>
      <c r="FTY4304" s="204"/>
      <c r="FTZ4304" s="204"/>
      <c r="FUA4304" s="204"/>
      <c r="FUB4304" s="185" t="s">
        <v>667</v>
      </c>
      <c r="FUC4304" s="205">
        <v>14460</v>
      </c>
      <c r="FUD4304" s="204"/>
      <c r="FUE4304" s="204"/>
      <c r="FUG4304" s="204"/>
      <c r="FUH4304" s="204"/>
      <c r="FUI4304" s="204"/>
      <c r="FUJ4304" s="185" t="s">
        <v>667</v>
      </c>
      <c r="FUK4304" s="205">
        <v>14460</v>
      </c>
      <c r="FUL4304" s="204"/>
      <c r="FUM4304" s="204"/>
      <c r="FUO4304" s="204"/>
      <c r="FUP4304" s="204"/>
      <c r="FUQ4304" s="204"/>
      <c r="FUR4304" s="185" t="s">
        <v>667</v>
      </c>
      <c r="FUS4304" s="205">
        <v>14460</v>
      </c>
      <c r="FUT4304" s="204"/>
      <c r="FUU4304" s="204"/>
      <c r="FUW4304" s="204"/>
      <c r="FUX4304" s="204"/>
      <c r="FUY4304" s="204"/>
      <c r="FUZ4304" s="185" t="s">
        <v>667</v>
      </c>
      <c r="FVA4304" s="205">
        <v>14460</v>
      </c>
      <c r="FVB4304" s="204"/>
      <c r="FVC4304" s="204"/>
      <c r="FVE4304" s="204"/>
      <c r="FVF4304" s="204"/>
      <c r="FVG4304" s="204"/>
      <c r="FVH4304" s="185" t="s">
        <v>667</v>
      </c>
      <c r="FVI4304" s="205">
        <v>14460</v>
      </c>
      <c r="FVJ4304" s="204"/>
      <c r="FVK4304" s="204"/>
      <c r="FVM4304" s="204"/>
      <c r="FVN4304" s="204"/>
      <c r="FVO4304" s="204"/>
      <c r="FVP4304" s="185" t="s">
        <v>667</v>
      </c>
      <c r="FVQ4304" s="205">
        <v>14460</v>
      </c>
      <c r="FVR4304" s="204"/>
      <c r="FVS4304" s="204"/>
      <c r="FVU4304" s="204"/>
      <c r="FVV4304" s="204"/>
      <c r="FVW4304" s="204"/>
      <c r="FVX4304" s="185" t="s">
        <v>667</v>
      </c>
      <c r="FVY4304" s="205">
        <v>14460</v>
      </c>
      <c r="FVZ4304" s="204"/>
      <c r="FWA4304" s="204"/>
      <c r="FWC4304" s="204"/>
      <c r="FWD4304" s="204"/>
      <c r="FWE4304" s="204"/>
      <c r="FWF4304" s="185" t="s">
        <v>667</v>
      </c>
      <c r="FWG4304" s="205">
        <v>14460</v>
      </c>
      <c r="FWH4304" s="204"/>
      <c r="FWI4304" s="204"/>
      <c r="FWK4304" s="204"/>
      <c r="FWL4304" s="204"/>
      <c r="FWM4304" s="204"/>
      <c r="FWN4304" s="185" t="s">
        <v>667</v>
      </c>
      <c r="FWO4304" s="205">
        <v>14460</v>
      </c>
      <c r="FWP4304" s="204"/>
      <c r="FWQ4304" s="204"/>
      <c r="FWS4304" s="204"/>
      <c r="FWT4304" s="204"/>
      <c r="FWU4304" s="204"/>
      <c r="FWV4304" s="185" t="s">
        <v>667</v>
      </c>
      <c r="FWW4304" s="205">
        <v>14460</v>
      </c>
      <c r="FWX4304" s="204"/>
      <c r="FWY4304" s="204"/>
      <c r="FXA4304" s="204"/>
      <c r="FXB4304" s="204"/>
      <c r="FXC4304" s="204"/>
      <c r="FXD4304" s="185" t="s">
        <v>667</v>
      </c>
      <c r="FXE4304" s="205">
        <v>14460</v>
      </c>
      <c r="FXF4304" s="204"/>
      <c r="FXG4304" s="204"/>
      <c r="FXI4304" s="204"/>
      <c r="FXJ4304" s="204"/>
      <c r="FXK4304" s="204"/>
      <c r="FXL4304" s="185" t="s">
        <v>667</v>
      </c>
      <c r="FXM4304" s="205">
        <v>14460</v>
      </c>
      <c r="FXN4304" s="204"/>
      <c r="FXO4304" s="204"/>
      <c r="FXQ4304" s="204"/>
      <c r="FXR4304" s="204"/>
      <c r="FXS4304" s="204"/>
      <c r="FXT4304" s="185" t="s">
        <v>667</v>
      </c>
      <c r="FXU4304" s="205">
        <v>14460</v>
      </c>
      <c r="FXV4304" s="204"/>
      <c r="FXW4304" s="204"/>
      <c r="FXY4304" s="204"/>
      <c r="FXZ4304" s="204"/>
      <c r="FYA4304" s="204"/>
      <c r="FYB4304" s="185" t="s">
        <v>667</v>
      </c>
      <c r="FYC4304" s="205">
        <v>14460</v>
      </c>
      <c r="FYD4304" s="204"/>
      <c r="FYE4304" s="204"/>
      <c r="FYG4304" s="204"/>
      <c r="FYH4304" s="204"/>
      <c r="FYI4304" s="204"/>
      <c r="FYJ4304" s="185" t="s">
        <v>667</v>
      </c>
      <c r="FYK4304" s="205">
        <v>14460</v>
      </c>
      <c r="FYL4304" s="204"/>
      <c r="FYM4304" s="204"/>
      <c r="FYO4304" s="204"/>
      <c r="FYP4304" s="204"/>
      <c r="FYQ4304" s="204"/>
      <c r="FYR4304" s="185" t="s">
        <v>667</v>
      </c>
      <c r="FYS4304" s="205">
        <v>14460</v>
      </c>
      <c r="FYT4304" s="204"/>
      <c r="FYU4304" s="204"/>
      <c r="FYW4304" s="204"/>
      <c r="FYX4304" s="204"/>
      <c r="FYY4304" s="204"/>
      <c r="FYZ4304" s="185" t="s">
        <v>667</v>
      </c>
      <c r="FZA4304" s="205">
        <v>14460</v>
      </c>
      <c r="FZB4304" s="204"/>
      <c r="FZC4304" s="204"/>
      <c r="FZE4304" s="204"/>
      <c r="FZF4304" s="204"/>
      <c r="FZG4304" s="204"/>
      <c r="FZH4304" s="185" t="s">
        <v>667</v>
      </c>
      <c r="FZI4304" s="205">
        <v>14460</v>
      </c>
      <c r="FZJ4304" s="204"/>
      <c r="FZK4304" s="204"/>
      <c r="FZM4304" s="204"/>
      <c r="FZN4304" s="204"/>
      <c r="FZO4304" s="204"/>
      <c r="FZP4304" s="185" t="s">
        <v>667</v>
      </c>
      <c r="FZQ4304" s="205">
        <v>14460</v>
      </c>
      <c r="FZR4304" s="204"/>
      <c r="FZS4304" s="204"/>
      <c r="FZU4304" s="204"/>
      <c r="FZV4304" s="204"/>
      <c r="FZW4304" s="204"/>
      <c r="FZX4304" s="185" t="s">
        <v>667</v>
      </c>
      <c r="FZY4304" s="205">
        <v>14460</v>
      </c>
      <c r="FZZ4304" s="204"/>
      <c r="GAA4304" s="204"/>
      <c r="GAC4304" s="204"/>
      <c r="GAD4304" s="204"/>
      <c r="GAE4304" s="204"/>
      <c r="GAF4304" s="185" t="s">
        <v>667</v>
      </c>
      <c r="GAG4304" s="205">
        <v>14460</v>
      </c>
      <c r="GAH4304" s="204"/>
      <c r="GAI4304" s="204"/>
      <c r="GAK4304" s="204"/>
      <c r="GAL4304" s="204"/>
      <c r="GAM4304" s="204"/>
      <c r="GAN4304" s="185" t="s">
        <v>667</v>
      </c>
      <c r="GAO4304" s="205">
        <v>14460</v>
      </c>
      <c r="GAP4304" s="204"/>
      <c r="GAQ4304" s="204"/>
      <c r="GAS4304" s="204"/>
      <c r="GAT4304" s="204"/>
      <c r="GAU4304" s="204"/>
      <c r="GAV4304" s="185" t="s">
        <v>667</v>
      </c>
      <c r="GAW4304" s="205">
        <v>14460</v>
      </c>
      <c r="GAX4304" s="204"/>
      <c r="GAY4304" s="204"/>
      <c r="GBA4304" s="204"/>
      <c r="GBB4304" s="204"/>
      <c r="GBC4304" s="204"/>
      <c r="GBD4304" s="185" t="s">
        <v>667</v>
      </c>
      <c r="GBE4304" s="205">
        <v>14460</v>
      </c>
      <c r="GBF4304" s="204"/>
      <c r="GBG4304" s="204"/>
      <c r="GBI4304" s="204"/>
      <c r="GBJ4304" s="204"/>
      <c r="GBK4304" s="204"/>
      <c r="GBL4304" s="185" t="s">
        <v>667</v>
      </c>
      <c r="GBM4304" s="205">
        <v>14460</v>
      </c>
      <c r="GBN4304" s="204"/>
      <c r="GBO4304" s="204"/>
      <c r="GBQ4304" s="204"/>
      <c r="GBR4304" s="204"/>
      <c r="GBS4304" s="204"/>
      <c r="GBT4304" s="185" t="s">
        <v>667</v>
      </c>
      <c r="GBU4304" s="205">
        <v>14460</v>
      </c>
      <c r="GBV4304" s="204"/>
      <c r="GBW4304" s="204"/>
      <c r="GBY4304" s="204"/>
      <c r="GBZ4304" s="204"/>
      <c r="GCA4304" s="204"/>
      <c r="GCB4304" s="185" t="s">
        <v>667</v>
      </c>
      <c r="GCC4304" s="205">
        <v>14460</v>
      </c>
      <c r="GCD4304" s="204"/>
      <c r="GCE4304" s="204"/>
      <c r="GCG4304" s="204"/>
      <c r="GCH4304" s="204"/>
      <c r="GCI4304" s="204"/>
      <c r="GCJ4304" s="185" t="s">
        <v>667</v>
      </c>
      <c r="GCK4304" s="205">
        <v>14460</v>
      </c>
      <c r="GCL4304" s="204"/>
      <c r="GCM4304" s="204"/>
      <c r="GCO4304" s="204"/>
      <c r="GCP4304" s="204"/>
      <c r="GCQ4304" s="204"/>
      <c r="GCR4304" s="185" t="s">
        <v>667</v>
      </c>
      <c r="GCS4304" s="205">
        <v>14460</v>
      </c>
      <c r="GCT4304" s="204"/>
      <c r="GCU4304" s="204"/>
      <c r="GCW4304" s="204"/>
      <c r="GCX4304" s="204"/>
      <c r="GCY4304" s="204"/>
      <c r="GCZ4304" s="185" t="s">
        <v>667</v>
      </c>
      <c r="GDA4304" s="205">
        <v>14460</v>
      </c>
      <c r="GDB4304" s="204"/>
      <c r="GDC4304" s="204"/>
      <c r="GDE4304" s="204"/>
      <c r="GDF4304" s="204"/>
      <c r="GDG4304" s="204"/>
      <c r="GDH4304" s="185" t="s">
        <v>667</v>
      </c>
      <c r="GDI4304" s="205">
        <v>14460</v>
      </c>
      <c r="GDJ4304" s="204"/>
      <c r="GDK4304" s="204"/>
      <c r="GDM4304" s="204"/>
      <c r="GDN4304" s="204"/>
      <c r="GDO4304" s="204"/>
      <c r="GDP4304" s="185" t="s">
        <v>667</v>
      </c>
      <c r="GDQ4304" s="205">
        <v>14460</v>
      </c>
      <c r="GDR4304" s="204"/>
      <c r="GDS4304" s="204"/>
      <c r="GDU4304" s="204"/>
      <c r="GDV4304" s="204"/>
      <c r="GDW4304" s="204"/>
      <c r="GDX4304" s="185" t="s">
        <v>667</v>
      </c>
      <c r="GDY4304" s="205">
        <v>14460</v>
      </c>
      <c r="GDZ4304" s="204"/>
      <c r="GEA4304" s="204"/>
      <c r="GEC4304" s="204"/>
      <c r="GED4304" s="204"/>
      <c r="GEE4304" s="204"/>
      <c r="GEF4304" s="185" t="s">
        <v>667</v>
      </c>
      <c r="GEG4304" s="205">
        <v>14460</v>
      </c>
      <c r="GEH4304" s="204"/>
      <c r="GEI4304" s="204"/>
      <c r="GEK4304" s="204"/>
      <c r="GEL4304" s="204"/>
      <c r="GEM4304" s="204"/>
      <c r="GEN4304" s="185" t="s">
        <v>667</v>
      </c>
      <c r="GEO4304" s="205">
        <v>14460</v>
      </c>
      <c r="GEP4304" s="204"/>
      <c r="GEQ4304" s="204"/>
      <c r="GES4304" s="204"/>
      <c r="GET4304" s="204"/>
      <c r="GEU4304" s="204"/>
      <c r="GEV4304" s="185" t="s">
        <v>667</v>
      </c>
      <c r="GEW4304" s="205">
        <v>14460</v>
      </c>
      <c r="GEX4304" s="204"/>
      <c r="GEY4304" s="204"/>
      <c r="GFA4304" s="204"/>
      <c r="GFB4304" s="204"/>
      <c r="GFC4304" s="204"/>
      <c r="GFD4304" s="185" t="s">
        <v>667</v>
      </c>
      <c r="GFE4304" s="205">
        <v>14460</v>
      </c>
      <c r="GFF4304" s="204"/>
      <c r="GFG4304" s="204"/>
      <c r="GFI4304" s="204"/>
      <c r="GFJ4304" s="204"/>
      <c r="GFK4304" s="204"/>
      <c r="GFL4304" s="185" t="s">
        <v>667</v>
      </c>
      <c r="GFM4304" s="205">
        <v>14460</v>
      </c>
      <c r="GFN4304" s="204"/>
      <c r="GFO4304" s="204"/>
      <c r="GFQ4304" s="204"/>
      <c r="GFR4304" s="204"/>
      <c r="GFS4304" s="204"/>
      <c r="GFT4304" s="185" t="s">
        <v>667</v>
      </c>
      <c r="GFU4304" s="205">
        <v>14460</v>
      </c>
      <c r="GFV4304" s="204"/>
      <c r="GFW4304" s="204"/>
      <c r="GFY4304" s="204"/>
      <c r="GFZ4304" s="204"/>
      <c r="GGA4304" s="204"/>
      <c r="GGB4304" s="185" t="s">
        <v>667</v>
      </c>
      <c r="GGC4304" s="205">
        <v>14460</v>
      </c>
      <c r="GGD4304" s="204"/>
      <c r="GGE4304" s="204"/>
      <c r="GGG4304" s="204"/>
      <c r="GGH4304" s="204"/>
      <c r="GGI4304" s="204"/>
      <c r="GGJ4304" s="185" t="s">
        <v>667</v>
      </c>
      <c r="GGK4304" s="205">
        <v>14460</v>
      </c>
      <c r="GGL4304" s="204"/>
      <c r="GGM4304" s="204"/>
      <c r="GGO4304" s="204"/>
      <c r="GGP4304" s="204"/>
      <c r="GGQ4304" s="204"/>
      <c r="GGR4304" s="185" t="s">
        <v>667</v>
      </c>
      <c r="GGS4304" s="205">
        <v>14460</v>
      </c>
      <c r="GGT4304" s="204"/>
      <c r="GGU4304" s="204"/>
      <c r="GGW4304" s="204"/>
      <c r="GGX4304" s="204"/>
      <c r="GGY4304" s="204"/>
      <c r="GGZ4304" s="185" t="s">
        <v>667</v>
      </c>
      <c r="GHA4304" s="205">
        <v>14460</v>
      </c>
      <c r="GHB4304" s="204"/>
      <c r="GHC4304" s="204"/>
      <c r="GHE4304" s="204"/>
      <c r="GHF4304" s="204"/>
      <c r="GHG4304" s="204"/>
      <c r="GHH4304" s="185" t="s">
        <v>667</v>
      </c>
      <c r="GHI4304" s="205">
        <v>14460</v>
      </c>
      <c r="GHJ4304" s="204"/>
      <c r="GHK4304" s="204"/>
      <c r="GHM4304" s="204"/>
      <c r="GHN4304" s="204"/>
      <c r="GHO4304" s="204"/>
      <c r="GHP4304" s="185" t="s">
        <v>667</v>
      </c>
      <c r="GHQ4304" s="205">
        <v>14460</v>
      </c>
      <c r="GHR4304" s="204"/>
      <c r="GHS4304" s="204"/>
      <c r="GHU4304" s="204"/>
      <c r="GHV4304" s="204"/>
      <c r="GHW4304" s="204"/>
      <c r="GHX4304" s="185" t="s">
        <v>667</v>
      </c>
      <c r="GHY4304" s="205">
        <v>14460</v>
      </c>
      <c r="GHZ4304" s="204"/>
      <c r="GIA4304" s="204"/>
      <c r="GIC4304" s="204"/>
      <c r="GID4304" s="204"/>
      <c r="GIE4304" s="204"/>
      <c r="GIF4304" s="185" t="s">
        <v>667</v>
      </c>
      <c r="GIG4304" s="205">
        <v>14460</v>
      </c>
      <c r="GIH4304" s="204"/>
      <c r="GII4304" s="204"/>
      <c r="GIK4304" s="204"/>
      <c r="GIL4304" s="204"/>
      <c r="GIM4304" s="204"/>
      <c r="GIN4304" s="185" t="s">
        <v>667</v>
      </c>
      <c r="GIO4304" s="205">
        <v>14460</v>
      </c>
      <c r="GIP4304" s="204"/>
      <c r="GIQ4304" s="204"/>
      <c r="GIS4304" s="204"/>
      <c r="GIT4304" s="204"/>
      <c r="GIU4304" s="204"/>
      <c r="GIV4304" s="185" t="s">
        <v>667</v>
      </c>
      <c r="GIW4304" s="205">
        <v>14460</v>
      </c>
      <c r="GIX4304" s="204"/>
      <c r="GIY4304" s="204"/>
      <c r="GJA4304" s="204"/>
      <c r="GJB4304" s="204"/>
      <c r="GJC4304" s="204"/>
      <c r="GJD4304" s="185" t="s">
        <v>667</v>
      </c>
      <c r="GJE4304" s="205">
        <v>14460</v>
      </c>
      <c r="GJF4304" s="204"/>
      <c r="GJG4304" s="204"/>
      <c r="GJI4304" s="204"/>
      <c r="GJJ4304" s="204"/>
      <c r="GJK4304" s="204"/>
      <c r="GJL4304" s="185" t="s">
        <v>667</v>
      </c>
      <c r="GJM4304" s="205">
        <v>14460</v>
      </c>
      <c r="GJN4304" s="204"/>
      <c r="GJO4304" s="204"/>
      <c r="GJQ4304" s="204"/>
      <c r="GJR4304" s="204"/>
      <c r="GJS4304" s="204"/>
      <c r="GJT4304" s="185" t="s">
        <v>667</v>
      </c>
      <c r="GJU4304" s="205">
        <v>14460</v>
      </c>
      <c r="GJV4304" s="204"/>
      <c r="GJW4304" s="204"/>
      <c r="GJY4304" s="204"/>
      <c r="GJZ4304" s="204"/>
      <c r="GKA4304" s="204"/>
      <c r="GKB4304" s="185" t="s">
        <v>667</v>
      </c>
      <c r="GKC4304" s="205">
        <v>14460</v>
      </c>
      <c r="GKD4304" s="204"/>
      <c r="GKE4304" s="204"/>
      <c r="GKG4304" s="204"/>
      <c r="GKH4304" s="204"/>
      <c r="GKI4304" s="204"/>
      <c r="GKJ4304" s="185" t="s">
        <v>667</v>
      </c>
      <c r="GKK4304" s="205">
        <v>14460</v>
      </c>
      <c r="GKL4304" s="204"/>
      <c r="GKM4304" s="204"/>
      <c r="GKO4304" s="204"/>
      <c r="GKP4304" s="204"/>
      <c r="GKQ4304" s="204"/>
      <c r="GKR4304" s="185" t="s">
        <v>667</v>
      </c>
      <c r="GKS4304" s="205">
        <v>14460</v>
      </c>
      <c r="GKT4304" s="204"/>
      <c r="GKU4304" s="204"/>
      <c r="GKW4304" s="204"/>
      <c r="GKX4304" s="204"/>
      <c r="GKY4304" s="204"/>
      <c r="GKZ4304" s="185" t="s">
        <v>667</v>
      </c>
      <c r="GLA4304" s="205">
        <v>14460</v>
      </c>
      <c r="GLB4304" s="204"/>
      <c r="GLC4304" s="204"/>
      <c r="GLE4304" s="204"/>
      <c r="GLF4304" s="204"/>
      <c r="GLG4304" s="204"/>
      <c r="GLH4304" s="185" t="s">
        <v>667</v>
      </c>
      <c r="GLI4304" s="205">
        <v>14460</v>
      </c>
      <c r="GLJ4304" s="204"/>
      <c r="GLK4304" s="204"/>
      <c r="GLM4304" s="204"/>
      <c r="GLN4304" s="204"/>
      <c r="GLO4304" s="204"/>
      <c r="GLP4304" s="185" t="s">
        <v>667</v>
      </c>
      <c r="GLQ4304" s="205">
        <v>14460</v>
      </c>
      <c r="GLR4304" s="204"/>
      <c r="GLS4304" s="204"/>
      <c r="GLU4304" s="204"/>
      <c r="GLV4304" s="204"/>
      <c r="GLW4304" s="204"/>
      <c r="GLX4304" s="185" t="s">
        <v>667</v>
      </c>
      <c r="GLY4304" s="205">
        <v>14460</v>
      </c>
      <c r="GLZ4304" s="204"/>
      <c r="GMA4304" s="204"/>
      <c r="GMC4304" s="204"/>
      <c r="GMD4304" s="204"/>
      <c r="GME4304" s="204"/>
      <c r="GMF4304" s="185" t="s">
        <v>667</v>
      </c>
      <c r="GMG4304" s="205">
        <v>14460</v>
      </c>
      <c r="GMH4304" s="204"/>
      <c r="GMI4304" s="204"/>
      <c r="GMK4304" s="204"/>
      <c r="GML4304" s="204"/>
      <c r="GMM4304" s="204"/>
      <c r="GMN4304" s="185" t="s">
        <v>667</v>
      </c>
      <c r="GMO4304" s="205">
        <v>14460</v>
      </c>
      <c r="GMP4304" s="204"/>
      <c r="GMQ4304" s="204"/>
      <c r="GMS4304" s="204"/>
      <c r="GMT4304" s="204"/>
      <c r="GMU4304" s="204"/>
      <c r="GMV4304" s="185" t="s">
        <v>667</v>
      </c>
      <c r="GMW4304" s="205">
        <v>14460</v>
      </c>
      <c r="GMX4304" s="204"/>
      <c r="GMY4304" s="204"/>
      <c r="GNA4304" s="204"/>
      <c r="GNB4304" s="204"/>
      <c r="GNC4304" s="204"/>
      <c r="GND4304" s="185" t="s">
        <v>667</v>
      </c>
      <c r="GNE4304" s="205">
        <v>14460</v>
      </c>
      <c r="GNF4304" s="204"/>
      <c r="GNG4304" s="204"/>
      <c r="GNI4304" s="204"/>
      <c r="GNJ4304" s="204"/>
      <c r="GNK4304" s="204"/>
      <c r="GNL4304" s="185" t="s">
        <v>667</v>
      </c>
      <c r="GNM4304" s="205">
        <v>14460</v>
      </c>
      <c r="GNN4304" s="204"/>
      <c r="GNO4304" s="204"/>
      <c r="GNQ4304" s="204"/>
      <c r="GNR4304" s="204"/>
      <c r="GNS4304" s="204"/>
      <c r="GNT4304" s="185" t="s">
        <v>667</v>
      </c>
      <c r="GNU4304" s="205">
        <v>14460</v>
      </c>
      <c r="GNV4304" s="204"/>
      <c r="GNW4304" s="204"/>
      <c r="GNY4304" s="204"/>
      <c r="GNZ4304" s="204"/>
      <c r="GOA4304" s="204"/>
      <c r="GOB4304" s="185" t="s">
        <v>667</v>
      </c>
      <c r="GOC4304" s="205">
        <v>14460</v>
      </c>
      <c r="GOD4304" s="204"/>
      <c r="GOE4304" s="204"/>
      <c r="GOG4304" s="204"/>
      <c r="GOH4304" s="204"/>
      <c r="GOI4304" s="204"/>
      <c r="GOJ4304" s="185" t="s">
        <v>667</v>
      </c>
      <c r="GOK4304" s="205">
        <v>14460</v>
      </c>
      <c r="GOL4304" s="204"/>
      <c r="GOM4304" s="204"/>
      <c r="GOO4304" s="204"/>
      <c r="GOP4304" s="204"/>
      <c r="GOQ4304" s="204"/>
      <c r="GOR4304" s="185" t="s">
        <v>667</v>
      </c>
      <c r="GOS4304" s="205">
        <v>14460</v>
      </c>
      <c r="GOT4304" s="204"/>
      <c r="GOU4304" s="204"/>
      <c r="GOW4304" s="204"/>
      <c r="GOX4304" s="204"/>
      <c r="GOY4304" s="204"/>
      <c r="GOZ4304" s="185" t="s">
        <v>667</v>
      </c>
      <c r="GPA4304" s="205">
        <v>14460</v>
      </c>
      <c r="GPB4304" s="204"/>
      <c r="GPC4304" s="204"/>
      <c r="GPE4304" s="204"/>
      <c r="GPF4304" s="204"/>
      <c r="GPG4304" s="204"/>
      <c r="GPH4304" s="185" t="s">
        <v>667</v>
      </c>
      <c r="GPI4304" s="205">
        <v>14460</v>
      </c>
      <c r="GPJ4304" s="204"/>
      <c r="GPK4304" s="204"/>
      <c r="GPM4304" s="204"/>
      <c r="GPN4304" s="204"/>
      <c r="GPO4304" s="204"/>
      <c r="GPP4304" s="185" t="s">
        <v>667</v>
      </c>
      <c r="GPQ4304" s="205">
        <v>14460</v>
      </c>
      <c r="GPR4304" s="204"/>
      <c r="GPS4304" s="204"/>
      <c r="GPU4304" s="204"/>
      <c r="GPV4304" s="204"/>
      <c r="GPW4304" s="204"/>
      <c r="GPX4304" s="185" t="s">
        <v>667</v>
      </c>
      <c r="GPY4304" s="205">
        <v>14460</v>
      </c>
      <c r="GPZ4304" s="204"/>
      <c r="GQA4304" s="204"/>
      <c r="GQC4304" s="204"/>
      <c r="GQD4304" s="204"/>
      <c r="GQE4304" s="204"/>
      <c r="GQF4304" s="185" t="s">
        <v>667</v>
      </c>
      <c r="GQG4304" s="205">
        <v>14460</v>
      </c>
      <c r="GQH4304" s="204"/>
      <c r="GQI4304" s="204"/>
      <c r="GQK4304" s="204"/>
      <c r="GQL4304" s="204"/>
      <c r="GQM4304" s="204"/>
      <c r="GQN4304" s="185" t="s">
        <v>667</v>
      </c>
      <c r="GQO4304" s="205">
        <v>14460</v>
      </c>
      <c r="GQP4304" s="204"/>
      <c r="GQQ4304" s="204"/>
      <c r="GQS4304" s="204"/>
      <c r="GQT4304" s="204"/>
      <c r="GQU4304" s="204"/>
      <c r="GQV4304" s="185" t="s">
        <v>667</v>
      </c>
      <c r="GQW4304" s="205">
        <v>14460</v>
      </c>
      <c r="GQX4304" s="204"/>
      <c r="GQY4304" s="204"/>
      <c r="GRA4304" s="204"/>
      <c r="GRB4304" s="204"/>
      <c r="GRC4304" s="204"/>
      <c r="GRD4304" s="185" t="s">
        <v>667</v>
      </c>
      <c r="GRE4304" s="205">
        <v>14460</v>
      </c>
      <c r="GRF4304" s="204"/>
      <c r="GRG4304" s="204"/>
      <c r="GRI4304" s="204"/>
      <c r="GRJ4304" s="204"/>
      <c r="GRK4304" s="204"/>
      <c r="GRL4304" s="185" t="s">
        <v>667</v>
      </c>
      <c r="GRM4304" s="205">
        <v>14460</v>
      </c>
      <c r="GRN4304" s="204"/>
      <c r="GRO4304" s="204"/>
      <c r="GRQ4304" s="204"/>
      <c r="GRR4304" s="204"/>
      <c r="GRS4304" s="204"/>
      <c r="GRT4304" s="185" t="s">
        <v>667</v>
      </c>
      <c r="GRU4304" s="205">
        <v>14460</v>
      </c>
      <c r="GRV4304" s="204"/>
      <c r="GRW4304" s="204"/>
      <c r="GRY4304" s="204"/>
      <c r="GRZ4304" s="204"/>
      <c r="GSA4304" s="204"/>
      <c r="GSB4304" s="185" t="s">
        <v>667</v>
      </c>
      <c r="GSC4304" s="205">
        <v>14460</v>
      </c>
      <c r="GSD4304" s="204"/>
      <c r="GSE4304" s="204"/>
      <c r="GSG4304" s="204"/>
      <c r="GSH4304" s="204"/>
      <c r="GSI4304" s="204"/>
      <c r="GSJ4304" s="185" t="s">
        <v>667</v>
      </c>
      <c r="GSK4304" s="205">
        <v>14460</v>
      </c>
      <c r="GSL4304" s="204"/>
      <c r="GSM4304" s="204"/>
      <c r="GSO4304" s="204"/>
      <c r="GSP4304" s="204"/>
      <c r="GSQ4304" s="204"/>
      <c r="GSR4304" s="185" t="s">
        <v>667</v>
      </c>
      <c r="GSS4304" s="205">
        <v>14460</v>
      </c>
      <c r="GST4304" s="204"/>
      <c r="GSU4304" s="204"/>
      <c r="GSW4304" s="204"/>
      <c r="GSX4304" s="204"/>
      <c r="GSY4304" s="204"/>
      <c r="GSZ4304" s="185" t="s">
        <v>667</v>
      </c>
      <c r="GTA4304" s="205">
        <v>14460</v>
      </c>
      <c r="GTB4304" s="204"/>
      <c r="GTC4304" s="204"/>
      <c r="GTE4304" s="204"/>
      <c r="GTF4304" s="204"/>
      <c r="GTG4304" s="204"/>
      <c r="GTH4304" s="185" t="s">
        <v>667</v>
      </c>
      <c r="GTI4304" s="205">
        <v>14460</v>
      </c>
      <c r="GTJ4304" s="204"/>
      <c r="GTK4304" s="204"/>
      <c r="GTM4304" s="204"/>
      <c r="GTN4304" s="204"/>
      <c r="GTO4304" s="204"/>
      <c r="GTP4304" s="185" t="s">
        <v>667</v>
      </c>
      <c r="GTQ4304" s="205">
        <v>14460</v>
      </c>
      <c r="GTR4304" s="204"/>
      <c r="GTS4304" s="204"/>
      <c r="GTU4304" s="204"/>
      <c r="GTV4304" s="204"/>
      <c r="GTW4304" s="204"/>
      <c r="GTX4304" s="185" t="s">
        <v>667</v>
      </c>
      <c r="GTY4304" s="205">
        <v>14460</v>
      </c>
      <c r="GTZ4304" s="204"/>
      <c r="GUA4304" s="204"/>
      <c r="GUC4304" s="204"/>
      <c r="GUD4304" s="204"/>
      <c r="GUE4304" s="204"/>
      <c r="GUF4304" s="185" t="s">
        <v>667</v>
      </c>
      <c r="GUG4304" s="205">
        <v>14460</v>
      </c>
      <c r="GUH4304" s="204"/>
      <c r="GUI4304" s="204"/>
      <c r="GUK4304" s="204"/>
      <c r="GUL4304" s="204"/>
      <c r="GUM4304" s="204"/>
      <c r="GUN4304" s="185" t="s">
        <v>667</v>
      </c>
      <c r="GUO4304" s="205">
        <v>14460</v>
      </c>
      <c r="GUP4304" s="204"/>
      <c r="GUQ4304" s="204"/>
      <c r="GUS4304" s="204"/>
      <c r="GUT4304" s="204"/>
      <c r="GUU4304" s="204"/>
      <c r="GUV4304" s="185" t="s">
        <v>667</v>
      </c>
      <c r="GUW4304" s="205">
        <v>14460</v>
      </c>
      <c r="GUX4304" s="204"/>
      <c r="GUY4304" s="204"/>
      <c r="GVA4304" s="204"/>
      <c r="GVB4304" s="204"/>
      <c r="GVC4304" s="204"/>
      <c r="GVD4304" s="185" t="s">
        <v>667</v>
      </c>
      <c r="GVE4304" s="205">
        <v>14460</v>
      </c>
      <c r="GVF4304" s="204"/>
      <c r="GVG4304" s="204"/>
      <c r="GVI4304" s="204"/>
      <c r="GVJ4304" s="204"/>
      <c r="GVK4304" s="204"/>
      <c r="GVL4304" s="185" t="s">
        <v>667</v>
      </c>
      <c r="GVM4304" s="205">
        <v>14460</v>
      </c>
      <c r="GVN4304" s="204"/>
      <c r="GVO4304" s="204"/>
      <c r="GVQ4304" s="204"/>
      <c r="GVR4304" s="204"/>
      <c r="GVS4304" s="204"/>
      <c r="GVT4304" s="185" t="s">
        <v>667</v>
      </c>
      <c r="GVU4304" s="205">
        <v>14460</v>
      </c>
      <c r="GVV4304" s="204"/>
      <c r="GVW4304" s="204"/>
      <c r="GVY4304" s="204"/>
      <c r="GVZ4304" s="204"/>
      <c r="GWA4304" s="204"/>
      <c r="GWB4304" s="185" t="s">
        <v>667</v>
      </c>
      <c r="GWC4304" s="205">
        <v>14460</v>
      </c>
      <c r="GWD4304" s="204"/>
      <c r="GWE4304" s="204"/>
      <c r="GWG4304" s="204"/>
      <c r="GWH4304" s="204"/>
      <c r="GWI4304" s="204"/>
      <c r="GWJ4304" s="185" t="s">
        <v>667</v>
      </c>
      <c r="GWK4304" s="205">
        <v>14460</v>
      </c>
      <c r="GWL4304" s="204"/>
      <c r="GWM4304" s="204"/>
      <c r="GWO4304" s="204"/>
      <c r="GWP4304" s="204"/>
      <c r="GWQ4304" s="204"/>
      <c r="GWR4304" s="185" t="s">
        <v>667</v>
      </c>
      <c r="GWS4304" s="205">
        <v>14460</v>
      </c>
      <c r="GWT4304" s="204"/>
      <c r="GWU4304" s="204"/>
      <c r="GWW4304" s="204"/>
      <c r="GWX4304" s="204"/>
      <c r="GWY4304" s="204"/>
      <c r="GWZ4304" s="185" t="s">
        <v>667</v>
      </c>
      <c r="GXA4304" s="205">
        <v>14460</v>
      </c>
      <c r="GXB4304" s="204"/>
      <c r="GXC4304" s="204"/>
      <c r="GXE4304" s="204"/>
      <c r="GXF4304" s="204"/>
      <c r="GXG4304" s="204"/>
      <c r="GXH4304" s="185" t="s">
        <v>667</v>
      </c>
      <c r="GXI4304" s="205">
        <v>14460</v>
      </c>
      <c r="GXJ4304" s="204"/>
      <c r="GXK4304" s="204"/>
      <c r="GXM4304" s="204"/>
      <c r="GXN4304" s="204"/>
      <c r="GXO4304" s="204"/>
      <c r="GXP4304" s="185" t="s">
        <v>667</v>
      </c>
      <c r="GXQ4304" s="205">
        <v>14460</v>
      </c>
      <c r="GXR4304" s="204"/>
      <c r="GXS4304" s="204"/>
      <c r="GXU4304" s="204"/>
      <c r="GXV4304" s="204"/>
      <c r="GXW4304" s="204"/>
      <c r="GXX4304" s="185" t="s">
        <v>667</v>
      </c>
      <c r="GXY4304" s="205">
        <v>14460</v>
      </c>
      <c r="GXZ4304" s="204"/>
      <c r="GYA4304" s="204"/>
      <c r="GYC4304" s="204"/>
      <c r="GYD4304" s="204"/>
      <c r="GYE4304" s="204"/>
      <c r="GYF4304" s="185" t="s">
        <v>667</v>
      </c>
      <c r="GYG4304" s="205">
        <v>14460</v>
      </c>
      <c r="GYH4304" s="204"/>
      <c r="GYI4304" s="204"/>
      <c r="GYK4304" s="204"/>
      <c r="GYL4304" s="204"/>
      <c r="GYM4304" s="204"/>
      <c r="GYN4304" s="185" t="s">
        <v>667</v>
      </c>
      <c r="GYO4304" s="205">
        <v>14460</v>
      </c>
      <c r="GYP4304" s="204"/>
      <c r="GYQ4304" s="204"/>
      <c r="GYS4304" s="204"/>
      <c r="GYT4304" s="204"/>
      <c r="GYU4304" s="204"/>
      <c r="GYV4304" s="185" t="s">
        <v>667</v>
      </c>
      <c r="GYW4304" s="205">
        <v>14460</v>
      </c>
      <c r="GYX4304" s="204"/>
      <c r="GYY4304" s="204"/>
      <c r="GZA4304" s="204"/>
      <c r="GZB4304" s="204"/>
      <c r="GZC4304" s="204"/>
      <c r="GZD4304" s="185" t="s">
        <v>667</v>
      </c>
      <c r="GZE4304" s="205">
        <v>14460</v>
      </c>
      <c r="GZF4304" s="204"/>
      <c r="GZG4304" s="204"/>
      <c r="GZI4304" s="204"/>
      <c r="GZJ4304" s="204"/>
      <c r="GZK4304" s="204"/>
      <c r="GZL4304" s="185" t="s">
        <v>667</v>
      </c>
      <c r="GZM4304" s="205">
        <v>14460</v>
      </c>
      <c r="GZN4304" s="204"/>
      <c r="GZO4304" s="204"/>
      <c r="GZQ4304" s="204"/>
      <c r="GZR4304" s="204"/>
      <c r="GZS4304" s="204"/>
      <c r="GZT4304" s="185" t="s">
        <v>667</v>
      </c>
      <c r="GZU4304" s="205">
        <v>14460</v>
      </c>
      <c r="GZV4304" s="204"/>
      <c r="GZW4304" s="204"/>
      <c r="GZY4304" s="204"/>
      <c r="GZZ4304" s="204"/>
      <c r="HAA4304" s="204"/>
      <c r="HAB4304" s="185" t="s">
        <v>667</v>
      </c>
      <c r="HAC4304" s="205">
        <v>14460</v>
      </c>
      <c r="HAD4304" s="204"/>
      <c r="HAE4304" s="204"/>
      <c r="HAG4304" s="204"/>
      <c r="HAH4304" s="204"/>
      <c r="HAI4304" s="204"/>
      <c r="HAJ4304" s="185" t="s">
        <v>667</v>
      </c>
      <c r="HAK4304" s="205">
        <v>14460</v>
      </c>
      <c r="HAL4304" s="204"/>
      <c r="HAM4304" s="204"/>
      <c r="HAO4304" s="204"/>
      <c r="HAP4304" s="204"/>
      <c r="HAQ4304" s="204"/>
      <c r="HAR4304" s="185" t="s">
        <v>667</v>
      </c>
      <c r="HAS4304" s="205">
        <v>14460</v>
      </c>
      <c r="HAT4304" s="204"/>
      <c r="HAU4304" s="204"/>
      <c r="HAW4304" s="204"/>
      <c r="HAX4304" s="204"/>
      <c r="HAY4304" s="204"/>
      <c r="HAZ4304" s="185" t="s">
        <v>667</v>
      </c>
      <c r="HBA4304" s="205">
        <v>14460</v>
      </c>
      <c r="HBB4304" s="204"/>
      <c r="HBC4304" s="204"/>
      <c r="HBE4304" s="204"/>
      <c r="HBF4304" s="204"/>
      <c r="HBG4304" s="204"/>
      <c r="HBH4304" s="185" t="s">
        <v>667</v>
      </c>
      <c r="HBI4304" s="205">
        <v>14460</v>
      </c>
      <c r="HBJ4304" s="204"/>
      <c r="HBK4304" s="204"/>
      <c r="HBM4304" s="204"/>
      <c r="HBN4304" s="204"/>
      <c r="HBO4304" s="204"/>
      <c r="HBP4304" s="185" t="s">
        <v>667</v>
      </c>
      <c r="HBQ4304" s="205">
        <v>14460</v>
      </c>
      <c r="HBR4304" s="204"/>
      <c r="HBS4304" s="204"/>
      <c r="HBU4304" s="204"/>
      <c r="HBV4304" s="204"/>
      <c r="HBW4304" s="204"/>
      <c r="HBX4304" s="185" t="s">
        <v>667</v>
      </c>
      <c r="HBY4304" s="205">
        <v>14460</v>
      </c>
      <c r="HBZ4304" s="204"/>
      <c r="HCA4304" s="204"/>
      <c r="HCC4304" s="204"/>
      <c r="HCD4304" s="204"/>
      <c r="HCE4304" s="204"/>
      <c r="HCF4304" s="185" t="s">
        <v>667</v>
      </c>
      <c r="HCG4304" s="205">
        <v>14460</v>
      </c>
      <c r="HCH4304" s="204"/>
      <c r="HCI4304" s="204"/>
      <c r="HCK4304" s="204"/>
      <c r="HCL4304" s="204"/>
      <c r="HCM4304" s="204"/>
      <c r="HCN4304" s="185" t="s">
        <v>667</v>
      </c>
      <c r="HCO4304" s="205">
        <v>14460</v>
      </c>
      <c r="HCP4304" s="204"/>
      <c r="HCQ4304" s="204"/>
      <c r="HCS4304" s="204"/>
      <c r="HCT4304" s="204"/>
      <c r="HCU4304" s="204"/>
      <c r="HCV4304" s="185" t="s">
        <v>667</v>
      </c>
      <c r="HCW4304" s="205">
        <v>14460</v>
      </c>
      <c r="HCX4304" s="204"/>
      <c r="HCY4304" s="204"/>
      <c r="HDA4304" s="204"/>
      <c r="HDB4304" s="204"/>
      <c r="HDC4304" s="204"/>
      <c r="HDD4304" s="185" t="s">
        <v>667</v>
      </c>
      <c r="HDE4304" s="205">
        <v>14460</v>
      </c>
      <c r="HDF4304" s="204"/>
      <c r="HDG4304" s="204"/>
      <c r="HDI4304" s="204"/>
      <c r="HDJ4304" s="204"/>
      <c r="HDK4304" s="204"/>
      <c r="HDL4304" s="185" t="s">
        <v>667</v>
      </c>
      <c r="HDM4304" s="205">
        <v>14460</v>
      </c>
      <c r="HDN4304" s="204"/>
      <c r="HDO4304" s="204"/>
      <c r="HDQ4304" s="204"/>
      <c r="HDR4304" s="204"/>
      <c r="HDS4304" s="204"/>
      <c r="HDT4304" s="185" t="s">
        <v>667</v>
      </c>
      <c r="HDU4304" s="205">
        <v>14460</v>
      </c>
      <c r="HDV4304" s="204"/>
      <c r="HDW4304" s="204"/>
      <c r="HDY4304" s="204"/>
      <c r="HDZ4304" s="204"/>
      <c r="HEA4304" s="204"/>
      <c r="HEB4304" s="185" t="s">
        <v>667</v>
      </c>
      <c r="HEC4304" s="205">
        <v>14460</v>
      </c>
      <c r="HED4304" s="204"/>
      <c r="HEE4304" s="204"/>
      <c r="HEG4304" s="204"/>
      <c r="HEH4304" s="204"/>
      <c r="HEI4304" s="204"/>
      <c r="HEJ4304" s="185" t="s">
        <v>667</v>
      </c>
      <c r="HEK4304" s="205">
        <v>14460</v>
      </c>
      <c r="HEL4304" s="204"/>
      <c r="HEM4304" s="204"/>
      <c r="HEO4304" s="204"/>
      <c r="HEP4304" s="204"/>
      <c r="HEQ4304" s="204"/>
      <c r="HER4304" s="185" t="s">
        <v>667</v>
      </c>
      <c r="HES4304" s="205">
        <v>14460</v>
      </c>
      <c r="HET4304" s="204"/>
      <c r="HEU4304" s="204"/>
      <c r="HEW4304" s="204"/>
      <c r="HEX4304" s="204"/>
      <c r="HEY4304" s="204"/>
      <c r="HEZ4304" s="185" t="s">
        <v>667</v>
      </c>
      <c r="HFA4304" s="205">
        <v>14460</v>
      </c>
      <c r="HFB4304" s="204"/>
      <c r="HFC4304" s="204"/>
      <c r="HFE4304" s="204"/>
      <c r="HFF4304" s="204"/>
      <c r="HFG4304" s="204"/>
      <c r="HFH4304" s="185" t="s">
        <v>667</v>
      </c>
      <c r="HFI4304" s="205">
        <v>14460</v>
      </c>
      <c r="HFJ4304" s="204"/>
      <c r="HFK4304" s="204"/>
      <c r="HFM4304" s="204"/>
      <c r="HFN4304" s="204"/>
      <c r="HFO4304" s="204"/>
      <c r="HFP4304" s="185" t="s">
        <v>667</v>
      </c>
      <c r="HFQ4304" s="205">
        <v>14460</v>
      </c>
      <c r="HFR4304" s="204"/>
      <c r="HFS4304" s="204"/>
      <c r="HFU4304" s="204"/>
      <c r="HFV4304" s="204"/>
      <c r="HFW4304" s="204"/>
      <c r="HFX4304" s="185" t="s">
        <v>667</v>
      </c>
      <c r="HFY4304" s="205">
        <v>14460</v>
      </c>
      <c r="HFZ4304" s="204"/>
      <c r="HGA4304" s="204"/>
      <c r="HGC4304" s="204"/>
      <c r="HGD4304" s="204"/>
      <c r="HGE4304" s="204"/>
      <c r="HGF4304" s="185" t="s">
        <v>667</v>
      </c>
      <c r="HGG4304" s="205">
        <v>14460</v>
      </c>
      <c r="HGH4304" s="204"/>
      <c r="HGI4304" s="204"/>
      <c r="HGK4304" s="204"/>
      <c r="HGL4304" s="204"/>
      <c r="HGM4304" s="204"/>
      <c r="HGN4304" s="185" t="s">
        <v>667</v>
      </c>
      <c r="HGO4304" s="205">
        <v>14460</v>
      </c>
      <c r="HGP4304" s="204"/>
      <c r="HGQ4304" s="204"/>
      <c r="HGS4304" s="204"/>
      <c r="HGT4304" s="204"/>
      <c r="HGU4304" s="204"/>
      <c r="HGV4304" s="185" t="s">
        <v>667</v>
      </c>
      <c r="HGW4304" s="205">
        <v>14460</v>
      </c>
      <c r="HGX4304" s="204"/>
      <c r="HGY4304" s="204"/>
      <c r="HHA4304" s="204"/>
      <c r="HHB4304" s="204"/>
      <c r="HHC4304" s="204"/>
      <c r="HHD4304" s="185" t="s">
        <v>667</v>
      </c>
      <c r="HHE4304" s="205">
        <v>14460</v>
      </c>
      <c r="HHF4304" s="204"/>
      <c r="HHG4304" s="204"/>
      <c r="HHI4304" s="204"/>
      <c r="HHJ4304" s="204"/>
      <c r="HHK4304" s="204"/>
      <c r="HHL4304" s="185" t="s">
        <v>667</v>
      </c>
      <c r="HHM4304" s="205">
        <v>14460</v>
      </c>
      <c r="HHN4304" s="204"/>
      <c r="HHO4304" s="204"/>
      <c r="HHQ4304" s="204"/>
      <c r="HHR4304" s="204"/>
      <c r="HHS4304" s="204"/>
      <c r="HHT4304" s="185" t="s">
        <v>667</v>
      </c>
      <c r="HHU4304" s="205">
        <v>14460</v>
      </c>
      <c r="HHV4304" s="204"/>
      <c r="HHW4304" s="204"/>
      <c r="HHY4304" s="204"/>
      <c r="HHZ4304" s="204"/>
      <c r="HIA4304" s="204"/>
      <c r="HIB4304" s="185" t="s">
        <v>667</v>
      </c>
      <c r="HIC4304" s="205">
        <v>14460</v>
      </c>
      <c r="HID4304" s="204"/>
      <c r="HIE4304" s="204"/>
      <c r="HIG4304" s="204"/>
      <c r="HIH4304" s="204"/>
      <c r="HII4304" s="204"/>
      <c r="HIJ4304" s="185" t="s">
        <v>667</v>
      </c>
      <c r="HIK4304" s="205">
        <v>14460</v>
      </c>
      <c r="HIL4304" s="204"/>
      <c r="HIM4304" s="204"/>
      <c r="HIO4304" s="204"/>
      <c r="HIP4304" s="204"/>
      <c r="HIQ4304" s="204"/>
      <c r="HIR4304" s="185" t="s">
        <v>667</v>
      </c>
      <c r="HIS4304" s="205">
        <v>14460</v>
      </c>
      <c r="HIT4304" s="204"/>
      <c r="HIU4304" s="204"/>
      <c r="HIW4304" s="204"/>
      <c r="HIX4304" s="204"/>
      <c r="HIY4304" s="204"/>
      <c r="HIZ4304" s="185" t="s">
        <v>667</v>
      </c>
      <c r="HJA4304" s="205">
        <v>14460</v>
      </c>
      <c r="HJB4304" s="204"/>
      <c r="HJC4304" s="204"/>
      <c r="HJE4304" s="204"/>
      <c r="HJF4304" s="204"/>
      <c r="HJG4304" s="204"/>
      <c r="HJH4304" s="185" t="s">
        <v>667</v>
      </c>
      <c r="HJI4304" s="205">
        <v>14460</v>
      </c>
      <c r="HJJ4304" s="204"/>
      <c r="HJK4304" s="204"/>
      <c r="HJM4304" s="204"/>
      <c r="HJN4304" s="204"/>
      <c r="HJO4304" s="204"/>
      <c r="HJP4304" s="185" t="s">
        <v>667</v>
      </c>
      <c r="HJQ4304" s="205">
        <v>14460</v>
      </c>
      <c r="HJR4304" s="204"/>
      <c r="HJS4304" s="204"/>
      <c r="HJU4304" s="204"/>
      <c r="HJV4304" s="204"/>
      <c r="HJW4304" s="204"/>
      <c r="HJX4304" s="185" t="s">
        <v>667</v>
      </c>
      <c r="HJY4304" s="205">
        <v>14460</v>
      </c>
      <c r="HJZ4304" s="204"/>
      <c r="HKA4304" s="204"/>
      <c r="HKC4304" s="204"/>
      <c r="HKD4304" s="204"/>
      <c r="HKE4304" s="204"/>
      <c r="HKF4304" s="185" t="s">
        <v>667</v>
      </c>
      <c r="HKG4304" s="205">
        <v>14460</v>
      </c>
      <c r="HKH4304" s="204"/>
      <c r="HKI4304" s="204"/>
      <c r="HKK4304" s="204"/>
      <c r="HKL4304" s="204"/>
      <c r="HKM4304" s="204"/>
      <c r="HKN4304" s="185" t="s">
        <v>667</v>
      </c>
      <c r="HKO4304" s="205">
        <v>14460</v>
      </c>
      <c r="HKP4304" s="204"/>
      <c r="HKQ4304" s="204"/>
      <c r="HKS4304" s="204"/>
      <c r="HKT4304" s="204"/>
      <c r="HKU4304" s="204"/>
      <c r="HKV4304" s="185" t="s">
        <v>667</v>
      </c>
      <c r="HKW4304" s="205">
        <v>14460</v>
      </c>
      <c r="HKX4304" s="204"/>
      <c r="HKY4304" s="204"/>
      <c r="HLA4304" s="204"/>
      <c r="HLB4304" s="204"/>
      <c r="HLC4304" s="204"/>
      <c r="HLD4304" s="185" t="s">
        <v>667</v>
      </c>
      <c r="HLE4304" s="205">
        <v>14460</v>
      </c>
      <c r="HLF4304" s="204"/>
      <c r="HLG4304" s="204"/>
      <c r="HLI4304" s="204"/>
      <c r="HLJ4304" s="204"/>
      <c r="HLK4304" s="204"/>
      <c r="HLL4304" s="185" t="s">
        <v>667</v>
      </c>
      <c r="HLM4304" s="205">
        <v>14460</v>
      </c>
      <c r="HLN4304" s="204"/>
      <c r="HLO4304" s="204"/>
      <c r="HLQ4304" s="204"/>
      <c r="HLR4304" s="204"/>
      <c r="HLS4304" s="204"/>
      <c r="HLT4304" s="185" t="s">
        <v>667</v>
      </c>
      <c r="HLU4304" s="205">
        <v>14460</v>
      </c>
      <c r="HLV4304" s="204"/>
      <c r="HLW4304" s="204"/>
      <c r="HLY4304" s="204"/>
      <c r="HLZ4304" s="204"/>
      <c r="HMA4304" s="204"/>
      <c r="HMB4304" s="185" t="s">
        <v>667</v>
      </c>
      <c r="HMC4304" s="205">
        <v>14460</v>
      </c>
      <c r="HMD4304" s="204"/>
      <c r="HME4304" s="204"/>
      <c r="HMG4304" s="204"/>
      <c r="HMH4304" s="204"/>
      <c r="HMI4304" s="204"/>
      <c r="HMJ4304" s="185" t="s">
        <v>667</v>
      </c>
      <c r="HMK4304" s="205">
        <v>14460</v>
      </c>
      <c r="HML4304" s="204"/>
      <c r="HMM4304" s="204"/>
      <c r="HMO4304" s="204"/>
      <c r="HMP4304" s="204"/>
      <c r="HMQ4304" s="204"/>
      <c r="HMR4304" s="185" t="s">
        <v>667</v>
      </c>
      <c r="HMS4304" s="205">
        <v>14460</v>
      </c>
      <c r="HMT4304" s="204"/>
      <c r="HMU4304" s="204"/>
      <c r="HMW4304" s="204"/>
      <c r="HMX4304" s="204"/>
      <c r="HMY4304" s="204"/>
      <c r="HMZ4304" s="185" t="s">
        <v>667</v>
      </c>
      <c r="HNA4304" s="205">
        <v>14460</v>
      </c>
      <c r="HNB4304" s="204"/>
      <c r="HNC4304" s="204"/>
      <c r="HNE4304" s="204"/>
      <c r="HNF4304" s="204"/>
      <c r="HNG4304" s="204"/>
      <c r="HNH4304" s="185" t="s">
        <v>667</v>
      </c>
      <c r="HNI4304" s="205">
        <v>14460</v>
      </c>
      <c r="HNJ4304" s="204"/>
      <c r="HNK4304" s="204"/>
      <c r="HNM4304" s="204"/>
      <c r="HNN4304" s="204"/>
      <c r="HNO4304" s="204"/>
      <c r="HNP4304" s="185" t="s">
        <v>667</v>
      </c>
      <c r="HNQ4304" s="205">
        <v>14460</v>
      </c>
      <c r="HNR4304" s="204"/>
      <c r="HNS4304" s="204"/>
      <c r="HNU4304" s="204"/>
      <c r="HNV4304" s="204"/>
      <c r="HNW4304" s="204"/>
      <c r="HNX4304" s="185" t="s">
        <v>667</v>
      </c>
      <c r="HNY4304" s="205">
        <v>14460</v>
      </c>
      <c r="HNZ4304" s="204"/>
      <c r="HOA4304" s="204"/>
      <c r="HOC4304" s="204"/>
      <c r="HOD4304" s="204"/>
      <c r="HOE4304" s="204"/>
      <c r="HOF4304" s="185" t="s">
        <v>667</v>
      </c>
      <c r="HOG4304" s="205">
        <v>14460</v>
      </c>
      <c r="HOH4304" s="204"/>
      <c r="HOI4304" s="204"/>
      <c r="HOK4304" s="204"/>
      <c r="HOL4304" s="204"/>
      <c r="HOM4304" s="204"/>
      <c r="HON4304" s="185" t="s">
        <v>667</v>
      </c>
      <c r="HOO4304" s="205">
        <v>14460</v>
      </c>
      <c r="HOP4304" s="204"/>
      <c r="HOQ4304" s="204"/>
      <c r="HOS4304" s="204"/>
      <c r="HOT4304" s="204"/>
      <c r="HOU4304" s="204"/>
      <c r="HOV4304" s="185" t="s">
        <v>667</v>
      </c>
      <c r="HOW4304" s="205">
        <v>14460</v>
      </c>
      <c r="HOX4304" s="204"/>
      <c r="HOY4304" s="204"/>
      <c r="HPA4304" s="204"/>
      <c r="HPB4304" s="204"/>
      <c r="HPC4304" s="204"/>
      <c r="HPD4304" s="185" t="s">
        <v>667</v>
      </c>
      <c r="HPE4304" s="205">
        <v>14460</v>
      </c>
      <c r="HPF4304" s="204"/>
      <c r="HPG4304" s="204"/>
      <c r="HPI4304" s="204"/>
      <c r="HPJ4304" s="204"/>
      <c r="HPK4304" s="204"/>
      <c r="HPL4304" s="185" t="s">
        <v>667</v>
      </c>
      <c r="HPM4304" s="205">
        <v>14460</v>
      </c>
      <c r="HPN4304" s="204"/>
      <c r="HPO4304" s="204"/>
      <c r="HPQ4304" s="204"/>
      <c r="HPR4304" s="204"/>
      <c r="HPS4304" s="204"/>
      <c r="HPT4304" s="185" t="s">
        <v>667</v>
      </c>
      <c r="HPU4304" s="205">
        <v>14460</v>
      </c>
      <c r="HPV4304" s="204"/>
      <c r="HPW4304" s="204"/>
      <c r="HPY4304" s="204"/>
      <c r="HPZ4304" s="204"/>
      <c r="HQA4304" s="204"/>
      <c r="HQB4304" s="185" t="s">
        <v>667</v>
      </c>
      <c r="HQC4304" s="205">
        <v>14460</v>
      </c>
      <c r="HQD4304" s="204"/>
      <c r="HQE4304" s="204"/>
      <c r="HQG4304" s="204"/>
      <c r="HQH4304" s="204"/>
      <c r="HQI4304" s="204"/>
      <c r="HQJ4304" s="185" t="s">
        <v>667</v>
      </c>
      <c r="HQK4304" s="205">
        <v>14460</v>
      </c>
      <c r="HQL4304" s="204"/>
      <c r="HQM4304" s="204"/>
      <c r="HQO4304" s="204"/>
      <c r="HQP4304" s="204"/>
      <c r="HQQ4304" s="204"/>
      <c r="HQR4304" s="185" t="s">
        <v>667</v>
      </c>
      <c r="HQS4304" s="205">
        <v>14460</v>
      </c>
      <c r="HQT4304" s="204"/>
      <c r="HQU4304" s="204"/>
      <c r="HQW4304" s="204"/>
      <c r="HQX4304" s="204"/>
      <c r="HQY4304" s="204"/>
      <c r="HQZ4304" s="185" t="s">
        <v>667</v>
      </c>
      <c r="HRA4304" s="205">
        <v>14460</v>
      </c>
      <c r="HRB4304" s="204"/>
      <c r="HRC4304" s="204"/>
      <c r="HRE4304" s="204"/>
      <c r="HRF4304" s="204"/>
      <c r="HRG4304" s="204"/>
      <c r="HRH4304" s="185" t="s">
        <v>667</v>
      </c>
      <c r="HRI4304" s="205">
        <v>14460</v>
      </c>
      <c r="HRJ4304" s="204"/>
      <c r="HRK4304" s="204"/>
      <c r="HRM4304" s="204"/>
      <c r="HRN4304" s="204"/>
      <c r="HRO4304" s="204"/>
      <c r="HRP4304" s="185" t="s">
        <v>667</v>
      </c>
      <c r="HRQ4304" s="205">
        <v>14460</v>
      </c>
      <c r="HRR4304" s="204"/>
      <c r="HRS4304" s="204"/>
      <c r="HRU4304" s="204"/>
      <c r="HRV4304" s="204"/>
      <c r="HRW4304" s="204"/>
      <c r="HRX4304" s="185" t="s">
        <v>667</v>
      </c>
      <c r="HRY4304" s="205">
        <v>14460</v>
      </c>
      <c r="HRZ4304" s="204"/>
      <c r="HSA4304" s="204"/>
      <c r="HSC4304" s="204"/>
      <c r="HSD4304" s="204"/>
      <c r="HSE4304" s="204"/>
      <c r="HSF4304" s="185" t="s">
        <v>667</v>
      </c>
      <c r="HSG4304" s="205">
        <v>14460</v>
      </c>
      <c r="HSH4304" s="204"/>
      <c r="HSI4304" s="204"/>
      <c r="HSK4304" s="204"/>
      <c r="HSL4304" s="204"/>
      <c r="HSM4304" s="204"/>
      <c r="HSN4304" s="185" t="s">
        <v>667</v>
      </c>
      <c r="HSO4304" s="205">
        <v>14460</v>
      </c>
      <c r="HSP4304" s="204"/>
      <c r="HSQ4304" s="204"/>
      <c r="HSS4304" s="204"/>
      <c r="HST4304" s="204"/>
      <c r="HSU4304" s="204"/>
      <c r="HSV4304" s="185" t="s">
        <v>667</v>
      </c>
      <c r="HSW4304" s="205">
        <v>14460</v>
      </c>
      <c r="HSX4304" s="204"/>
      <c r="HSY4304" s="204"/>
      <c r="HTA4304" s="204"/>
      <c r="HTB4304" s="204"/>
      <c r="HTC4304" s="204"/>
      <c r="HTD4304" s="185" t="s">
        <v>667</v>
      </c>
      <c r="HTE4304" s="205">
        <v>14460</v>
      </c>
      <c r="HTF4304" s="204"/>
      <c r="HTG4304" s="204"/>
      <c r="HTI4304" s="204"/>
      <c r="HTJ4304" s="204"/>
      <c r="HTK4304" s="204"/>
      <c r="HTL4304" s="185" t="s">
        <v>667</v>
      </c>
      <c r="HTM4304" s="205">
        <v>14460</v>
      </c>
      <c r="HTN4304" s="204"/>
      <c r="HTO4304" s="204"/>
      <c r="HTQ4304" s="204"/>
      <c r="HTR4304" s="204"/>
      <c r="HTS4304" s="204"/>
      <c r="HTT4304" s="185" t="s">
        <v>667</v>
      </c>
      <c r="HTU4304" s="205">
        <v>14460</v>
      </c>
      <c r="HTV4304" s="204"/>
      <c r="HTW4304" s="204"/>
      <c r="HTY4304" s="204"/>
      <c r="HTZ4304" s="204"/>
      <c r="HUA4304" s="204"/>
      <c r="HUB4304" s="185" t="s">
        <v>667</v>
      </c>
      <c r="HUC4304" s="205">
        <v>14460</v>
      </c>
      <c r="HUD4304" s="204"/>
      <c r="HUE4304" s="204"/>
      <c r="HUG4304" s="204"/>
      <c r="HUH4304" s="204"/>
      <c r="HUI4304" s="204"/>
      <c r="HUJ4304" s="185" t="s">
        <v>667</v>
      </c>
      <c r="HUK4304" s="205">
        <v>14460</v>
      </c>
      <c r="HUL4304" s="204"/>
      <c r="HUM4304" s="204"/>
      <c r="HUO4304" s="204"/>
      <c r="HUP4304" s="204"/>
      <c r="HUQ4304" s="204"/>
      <c r="HUR4304" s="185" t="s">
        <v>667</v>
      </c>
      <c r="HUS4304" s="205">
        <v>14460</v>
      </c>
      <c r="HUT4304" s="204"/>
      <c r="HUU4304" s="204"/>
      <c r="HUW4304" s="204"/>
      <c r="HUX4304" s="204"/>
      <c r="HUY4304" s="204"/>
      <c r="HUZ4304" s="185" t="s">
        <v>667</v>
      </c>
      <c r="HVA4304" s="205">
        <v>14460</v>
      </c>
      <c r="HVB4304" s="204"/>
      <c r="HVC4304" s="204"/>
      <c r="HVE4304" s="204"/>
      <c r="HVF4304" s="204"/>
      <c r="HVG4304" s="204"/>
      <c r="HVH4304" s="185" t="s">
        <v>667</v>
      </c>
      <c r="HVI4304" s="205">
        <v>14460</v>
      </c>
      <c r="HVJ4304" s="204"/>
      <c r="HVK4304" s="204"/>
      <c r="HVM4304" s="204"/>
      <c r="HVN4304" s="204"/>
      <c r="HVO4304" s="204"/>
      <c r="HVP4304" s="185" t="s">
        <v>667</v>
      </c>
      <c r="HVQ4304" s="205">
        <v>14460</v>
      </c>
      <c r="HVR4304" s="204"/>
      <c r="HVS4304" s="204"/>
      <c r="HVU4304" s="204"/>
      <c r="HVV4304" s="204"/>
      <c r="HVW4304" s="204"/>
      <c r="HVX4304" s="185" t="s">
        <v>667</v>
      </c>
      <c r="HVY4304" s="205">
        <v>14460</v>
      </c>
      <c r="HVZ4304" s="204"/>
      <c r="HWA4304" s="204"/>
      <c r="HWC4304" s="204"/>
      <c r="HWD4304" s="204"/>
      <c r="HWE4304" s="204"/>
      <c r="HWF4304" s="185" t="s">
        <v>667</v>
      </c>
      <c r="HWG4304" s="205">
        <v>14460</v>
      </c>
      <c r="HWH4304" s="204"/>
      <c r="HWI4304" s="204"/>
      <c r="HWK4304" s="204"/>
      <c r="HWL4304" s="204"/>
      <c r="HWM4304" s="204"/>
      <c r="HWN4304" s="185" t="s">
        <v>667</v>
      </c>
      <c r="HWO4304" s="205">
        <v>14460</v>
      </c>
      <c r="HWP4304" s="204"/>
      <c r="HWQ4304" s="204"/>
      <c r="HWS4304" s="204"/>
      <c r="HWT4304" s="204"/>
      <c r="HWU4304" s="204"/>
      <c r="HWV4304" s="185" t="s">
        <v>667</v>
      </c>
      <c r="HWW4304" s="205">
        <v>14460</v>
      </c>
      <c r="HWX4304" s="204"/>
      <c r="HWY4304" s="204"/>
      <c r="HXA4304" s="204"/>
      <c r="HXB4304" s="204"/>
      <c r="HXC4304" s="204"/>
      <c r="HXD4304" s="185" t="s">
        <v>667</v>
      </c>
      <c r="HXE4304" s="205">
        <v>14460</v>
      </c>
      <c r="HXF4304" s="204"/>
      <c r="HXG4304" s="204"/>
      <c r="HXI4304" s="204"/>
      <c r="HXJ4304" s="204"/>
      <c r="HXK4304" s="204"/>
      <c r="HXL4304" s="185" t="s">
        <v>667</v>
      </c>
      <c r="HXM4304" s="205">
        <v>14460</v>
      </c>
      <c r="HXN4304" s="204"/>
      <c r="HXO4304" s="204"/>
      <c r="HXQ4304" s="204"/>
      <c r="HXR4304" s="204"/>
      <c r="HXS4304" s="204"/>
      <c r="HXT4304" s="185" t="s">
        <v>667</v>
      </c>
      <c r="HXU4304" s="205">
        <v>14460</v>
      </c>
      <c r="HXV4304" s="204"/>
      <c r="HXW4304" s="204"/>
      <c r="HXY4304" s="204"/>
      <c r="HXZ4304" s="204"/>
      <c r="HYA4304" s="204"/>
      <c r="HYB4304" s="185" t="s">
        <v>667</v>
      </c>
      <c r="HYC4304" s="205">
        <v>14460</v>
      </c>
      <c r="HYD4304" s="204"/>
      <c r="HYE4304" s="204"/>
      <c r="HYG4304" s="204"/>
      <c r="HYH4304" s="204"/>
      <c r="HYI4304" s="204"/>
      <c r="HYJ4304" s="185" t="s">
        <v>667</v>
      </c>
      <c r="HYK4304" s="205">
        <v>14460</v>
      </c>
      <c r="HYL4304" s="204"/>
      <c r="HYM4304" s="204"/>
      <c r="HYO4304" s="204"/>
      <c r="HYP4304" s="204"/>
      <c r="HYQ4304" s="204"/>
      <c r="HYR4304" s="185" t="s">
        <v>667</v>
      </c>
      <c r="HYS4304" s="205">
        <v>14460</v>
      </c>
      <c r="HYT4304" s="204"/>
      <c r="HYU4304" s="204"/>
      <c r="HYW4304" s="204"/>
      <c r="HYX4304" s="204"/>
      <c r="HYY4304" s="204"/>
      <c r="HYZ4304" s="185" t="s">
        <v>667</v>
      </c>
      <c r="HZA4304" s="205">
        <v>14460</v>
      </c>
      <c r="HZB4304" s="204"/>
      <c r="HZC4304" s="204"/>
      <c r="HZE4304" s="204"/>
      <c r="HZF4304" s="204"/>
      <c r="HZG4304" s="204"/>
      <c r="HZH4304" s="185" t="s">
        <v>667</v>
      </c>
      <c r="HZI4304" s="205">
        <v>14460</v>
      </c>
      <c r="HZJ4304" s="204"/>
      <c r="HZK4304" s="204"/>
      <c r="HZM4304" s="204"/>
      <c r="HZN4304" s="204"/>
      <c r="HZO4304" s="204"/>
      <c r="HZP4304" s="185" t="s">
        <v>667</v>
      </c>
      <c r="HZQ4304" s="205">
        <v>14460</v>
      </c>
      <c r="HZR4304" s="204"/>
      <c r="HZS4304" s="204"/>
      <c r="HZU4304" s="204"/>
      <c r="HZV4304" s="204"/>
      <c r="HZW4304" s="204"/>
      <c r="HZX4304" s="185" t="s">
        <v>667</v>
      </c>
      <c r="HZY4304" s="205">
        <v>14460</v>
      </c>
      <c r="HZZ4304" s="204"/>
      <c r="IAA4304" s="204"/>
      <c r="IAC4304" s="204"/>
      <c r="IAD4304" s="204"/>
      <c r="IAE4304" s="204"/>
      <c r="IAF4304" s="185" t="s">
        <v>667</v>
      </c>
      <c r="IAG4304" s="205">
        <v>14460</v>
      </c>
      <c r="IAH4304" s="204"/>
      <c r="IAI4304" s="204"/>
      <c r="IAK4304" s="204"/>
      <c r="IAL4304" s="204"/>
      <c r="IAM4304" s="204"/>
      <c r="IAN4304" s="185" t="s">
        <v>667</v>
      </c>
      <c r="IAO4304" s="205">
        <v>14460</v>
      </c>
      <c r="IAP4304" s="204"/>
      <c r="IAQ4304" s="204"/>
      <c r="IAS4304" s="204"/>
      <c r="IAT4304" s="204"/>
      <c r="IAU4304" s="204"/>
      <c r="IAV4304" s="185" t="s">
        <v>667</v>
      </c>
      <c r="IAW4304" s="205">
        <v>14460</v>
      </c>
      <c r="IAX4304" s="204"/>
      <c r="IAY4304" s="204"/>
      <c r="IBA4304" s="204"/>
      <c r="IBB4304" s="204"/>
      <c r="IBC4304" s="204"/>
      <c r="IBD4304" s="185" t="s">
        <v>667</v>
      </c>
      <c r="IBE4304" s="205">
        <v>14460</v>
      </c>
      <c r="IBF4304" s="204"/>
      <c r="IBG4304" s="204"/>
      <c r="IBI4304" s="204"/>
      <c r="IBJ4304" s="204"/>
      <c r="IBK4304" s="204"/>
      <c r="IBL4304" s="185" t="s">
        <v>667</v>
      </c>
      <c r="IBM4304" s="205">
        <v>14460</v>
      </c>
      <c r="IBN4304" s="204"/>
      <c r="IBO4304" s="204"/>
      <c r="IBQ4304" s="204"/>
      <c r="IBR4304" s="204"/>
      <c r="IBS4304" s="204"/>
      <c r="IBT4304" s="185" t="s">
        <v>667</v>
      </c>
      <c r="IBU4304" s="205">
        <v>14460</v>
      </c>
      <c r="IBV4304" s="204"/>
      <c r="IBW4304" s="204"/>
      <c r="IBY4304" s="204"/>
      <c r="IBZ4304" s="204"/>
      <c r="ICA4304" s="204"/>
      <c r="ICB4304" s="185" t="s">
        <v>667</v>
      </c>
      <c r="ICC4304" s="205">
        <v>14460</v>
      </c>
      <c r="ICD4304" s="204"/>
      <c r="ICE4304" s="204"/>
      <c r="ICG4304" s="204"/>
      <c r="ICH4304" s="204"/>
      <c r="ICI4304" s="204"/>
      <c r="ICJ4304" s="185" t="s">
        <v>667</v>
      </c>
      <c r="ICK4304" s="205">
        <v>14460</v>
      </c>
      <c r="ICL4304" s="204"/>
      <c r="ICM4304" s="204"/>
      <c r="ICO4304" s="204"/>
      <c r="ICP4304" s="204"/>
      <c r="ICQ4304" s="204"/>
      <c r="ICR4304" s="185" t="s">
        <v>667</v>
      </c>
      <c r="ICS4304" s="205">
        <v>14460</v>
      </c>
      <c r="ICT4304" s="204"/>
      <c r="ICU4304" s="204"/>
      <c r="ICW4304" s="204"/>
      <c r="ICX4304" s="204"/>
      <c r="ICY4304" s="204"/>
      <c r="ICZ4304" s="185" t="s">
        <v>667</v>
      </c>
      <c r="IDA4304" s="205">
        <v>14460</v>
      </c>
      <c r="IDB4304" s="204"/>
      <c r="IDC4304" s="204"/>
      <c r="IDE4304" s="204"/>
      <c r="IDF4304" s="204"/>
      <c r="IDG4304" s="204"/>
      <c r="IDH4304" s="185" t="s">
        <v>667</v>
      </c>
      <c r="IDI4304" s="205">
        <v>14460</v>
      </c>
      <c r="IDJ4304" s="204"/>
      <c r="IDK4304" s="204"/>
      <c r="IDM4304" s="204"/>
      <c r="IDN4304" s="204"/>
      <c r="IDO4304" s="204"/>
      <c r="IDP4304" s="185" t="s">
        <v>667</v>
      </c>
      <c r="IDQ4304" s="205">
        <v>14460</v>
      </c>
      <c r="IDR4304" s="204"/>
      <c r="IDS4304" s="204"/>
      <c r="IDU4304" s="204"/>
      <c r="IDV4304" s="204"/>
      <c r="IDW4304" s="204"/>
      <c r="IDX4304" s="185" t="s">
        <v>667</v>
      </c>
      <c r="IDY4304" s="205">
        <v>14460</v>
      </c>
      <c r="IDZ4304" s="204"/>
      <c r="IEA4304" s="204"/>
      <c r="IEC4304" s="204"/>
      <c r="IED4304" s="204"/>
      <c r="IEE4304" s="204"/>
      <c r="IEF4304" s="185" t="s">
        <v>667</v>
      </c>
      <c r="IEG4304" s="205">
        <v>14460</v>
      </c>
      <c r="IEH4304" s="204"/>
      <c r="IEI4304" s="204"/>
      <c r="IEK4304" s="204"/>
      <c r="IEL4304" s="204"/>
      <c r="IEM4304" s="204"/>
      <c r="IEN4304" s="185" t="s">
        <v>667</v>
      </c>
      <c r="IEO4304" s="205">
        <v>14460</v>
      </c>
      <c r="IEP4304" s="204"/>
      <c r="IEQ4304" s="204"/>
      <c r="IES4304" s="204"/>
      <c r="IET4304" s="204"/>
      <c r="IEU4304" s="204"/>
      <c r="IEV4304" s="185" t="s">
        <v>667</v>
      </c>
      <c r="IEW4304" s="205">
        <v>14460</v>
      </c>
      <c r="IEX4304" s="204"/>
      <c r="IEY4304" s="204"/>
      <c r="IFA4304" s="204"/>
      <c r="IFB4304" s="204"/>
      <c r="IFC4304" s="204"/>
      <c r="IFD4304" s="185" t="s">
        <v>667</v>
      </c>
      <c r="IFE4304" s="205">
        <v>14460</v>
      </c>
      <c r="IFF4304" s="204"/>
      <c r="IFG4304" s="204"/>
      <c r="IFI4304" s="204"/>
      <c r="IFJ4304" s="204"/>
      <c r="IFK4304" s="204"/>
      <c r="IFL4304" s="185" t="s">
        <v>667</v>
      </c>
      <c r="IFM4304" s="205">
        <v>14460</v>
      </c>
      <c r="IFN4304" s="204"/>
      <c r="IFO4304" s="204"/>
      <c r="IFQ4304" s="204"/>
      <c r="IFR4304" s="204"/>
      <c r="IFS4304" s="204"/>
      <c r="IFT4304" s="185" t="s">
        <v>667</v>
      </c>
      <c r="IFU4304" s="205">
        <v>14460</v>
      </c>
      <c r="IFV4304" s="204"/>
      <c r="IFW4304" s="204"/>
      <c r="IFY4304" s="204"/>
      <c r="IFZ4304" s="204"/>
      <c r="IGA4304" s="204"/>
      <c r="IGB4304" s="185" t="s">
        <v>667</v>
      </c>
      <c r="IGC4304" s="205">
        <v>14460</v>
      </c>
      <c r="IGD4304" s="204"/>
      <c r="IGE4304" s="204"/>
      <c r="IGG4304" s="204"/>
      <c r="IGH4304" s="204"/>
      <c r="IGI4304" s="204"/>
      <c r="IGJ4304" s="185" t="s">
        <v>667</v>
      </c>
      <c r="IGK4304" s="205">
        <v>14460</v>
      </c>
      <c r="IGL4304" s="204"/>
      <c r="IGM4304" s="204"/>
      <c r="IGO4304" s="204"/>
      <c r="IGP4304" s="204"/>
      <c r="IGQ4304" s="204"/>
      <c r="IGR4304" s="185" t="s">
        <v>667</v>
      </c>
      <c r="IGS4304" s="205">
        <v>14460</v>
      </c>
      <c r="IGT4304" s="204"/>
      <c r="IGU4304" s="204"/>
      <c r="IGW4304" s="204"/>
      <c r="IGX4304" s="204"/>
      <c r="IGY4304" s="204"/>
      <c r="IGZ4304" s="185" t="s">
        <v>667</v>
      </c>
      <c r="IHA4304" s="205">
        <v>14460</v>
      </c>
      <c r="IHB4304" s="204"/>
      <c r="IHC4304" s="204"/>
      <c r="IHE4304" s="204"/>
      <c r="IHF4304" s="204"/>
      <c r="IHG4304" s="204"/>
      <c r="IHH4304" s="185" t="s">
        <v>667</v>
      </c>
      <c r="IHI4304" s="205">
        <v>14460</v>
      </c>
      <c r="IHJ4304" s="204"/>
      <c r="IHK4304" s="204"/>
      <c r="IHM4304" s="204"/>
      <c r="IHN4304" s="204"/>
      <c r="IHO4304" s="204"/>
      <c r="IHP4304" s="185" t="s">
        <v>667</v>
      </c>
      <c r="IHQ4304" s="205">
        <v>14460</v>
      </c>
      <c r="IHR4304" s="204"/>
      <c r="IHS4304" s="204"/>
      <c r="IHU4304" s="204"/>
      <c r="IHV4304" s="204"/>
      <c r="IHW4304" s="204"/>
      <c r="IHX4304" s="185" t="s">
        <v>667</v>
      </c>
      <c r="IHY4304" s="205">
        <v>14460</v>
      </c>
      <c r="IHZ4304" s="204"/>
      <c r="IIA4304" s="204"/>
      <c r="IIC4304" s="204"/>
      <c r="IID4304" s="204"/>
      <c r="IIE4304" s="204"/>
      <c r="IIF4304" s="185" t="s">
        <v>667</v>
      </c>
      <c r="IIG4304" s="205">
        <v>14460</v>
      </c>
      <c r="IIH4304" s="204"/>
      <c r="III4304" s="204"/>
      <c r="IIK4304" s="204"/>
      <c r="IIL4304" s="204"/>
      <c r="IIM4304" s="204"/>
      <c r="IIN4304" s="185" t="s">
        <v>667</v>
      </c>
      <c r="IIO4304" s="205">
        <v>14460</v>
      </c>
      <c r="IIP4304" s="204"/>
      <c r="IIQ4304" s="204"/>
      <c r="IIS4304" s="204"/>
      <c r="IIT4304" s="204"/>
      <c r="IIU4304" s="204"/>
      <c r="IIV4304" s="185" t="s">
        <v>667</v>
      </c>
      <c r="IIW4304" s="205">
        <v>14460</v>
      </c>
      <c r="IIX4304" s="204"/>
      <c r="IIY4304" s="204"/>
      <c r="IJA4304" s="204"/>
      <c r="IJB4304" s="204"/>
      <c r="IJC4304" s="204"/>
      <c r="IJD4304" s="185" t="s">
        <v>667</v>
      </c>
      <c r="IJE4304" s="205">
        <v>14460</v>
      </c>
      <c r="IJF4304" s="204"/>
      <c r="IJG4304" s="204"/>
      <c r="IJI4304" s="204"/>
      <c r="IJJ4304" s="204"/>
      <c r="IJK4304" s="204"/>
      <c r="IJL4304" s="185" t="s">
        <v>667</v>
      </c>
      <c r="IJM4304" s="205">
        <v>14460</v>
      </c>
      <c r="IJN4304" s="204"/>
      <c r="IJO4304" s="204"/>
      <c r="IJQ4304" s="204"/>
      <c r="IJR4304" s="204"/>
      <c r="IJS4304" s="204"/>
      <c r="IJT4304" s="185" t="s">
        <v>667</v>
      </c>
      <c r="IJU4304" s="205">
        <v>14460</v>
      </c>
      <c r="IJV4304" s="204"/>
      <c r="IJW4304" s="204"/>
      <c r="IJY4304" s="204"/>
      <c r="IJZ4304" s="204"/>
      <c r="IKA4304" s="204"/>
      <c r="IKB4304" s="185" t="s">
        <v>667</v>
      </c>
      <c r="IKC4304" s="205">
        <v>14460</v>
      </c>
      <c r="IKD4304" s="204"/>
      <c r="IKE4304" s="204"/>
      <c r="IKG4304" s="204"/>
      <c r="IKH4304" s="204"/>
      <c r="IKI4304" s="204"/>
      <c r="IKJ4304" s="185" t="s">
        <v>667</v>
      </c>
      <c r="IKK4304" s="205">
        <v>14460</v>
      </c>
      <c r="IKL4304" s="204"/>
      <c r="IKM4304" s="204"/>
      <c r="IKO4304" s="204"/>
      <c r="IKP4304" s="204"/>
      <c r="IKQ4304" s="204"/>
      <c r="IKR4304" s="185" t="s">
        <v>667</v>
      </c>
      <c r="IKS4304" s="205">
        <v>14460</v>
      </c>
      <c r="IKT4304" s="204"/>
      <c r="IKU4304" s="204"/>
      <c r="IKW4304" s="204"/>
      <c r="IKX4304" s="204"/>
      <c r="IKY4304" s="204"/>
      <c r="IKZ4304" s="185" t="s">
        <v>667</v>
      </c>
      <c r="ILA4304" s="205">
        <v>14460</v>
      </c>
      <c r="ILB4304" s="204"/>
      <c r="ILC4304" s="204"/>
      <c r="ILE4304" s="204"/>
      <c r="ILF4304" s="204"/>
      <c r="ILG4304" s="204"/>
      <c r="ILH4304" s="185" t="s">
        <v>667</v>
      </c>
      <c r="ILI4304" s="205">
        <v>14460</v>
      </c>
      <c r="ILJ4304" s="204"/>
      <c r="ILK4304" s="204"/>
      <c r="ILM4304" s="204"/>
      <c r="ILN4304" s="204"/>
      <c r="ILO4304" s="204"/>
      <c r="ILP4304" s="185" t="s">
        <v>667</v>
      </c>
      <c r="ILQ4304" s="205">
        <v>14460</v>
      </c>
      <c r="ILR4304" s="204"/>
      <c r="ILS4304" s="204"/>
      <c r="ILU4304" s="204"/>
      <c r="ILV4304" s="204"/>
      <c r="ILW4304" s="204"/>
      <c r="ILX4304" s="185" t="s">
        <v>667</v>
      </c>
      <c r="ILY4304" s="205">
        <v>14460</v>
      </c>
      <c r="ILZ4304" s="204"/>
      <c r="IMA4304" s="204"/>
      <c r="IMC4304" s="204"/>
      <c r="IMD4304" s="204"/>
      <c r="IME4304" s="204"/>
      <c r="IMF4304" s="185" t="s">
        <v>667</v>
      </c>
      <c r="IMG4304" s="205">
        <v>14460</v>
      </c>
      <c r="IMH4304" s="204"/>
      <c r="IMI4304" s="204"/>
      <c r="IMK4304" s="204"/>
      <c r="IML4304" s="204"/>
      <c r="IMM4304" s="204"/>
      <c r="IMN4304" s="185" t="s">
        <v>667</v>
      </c>
      <c r="IMO4304" s="205">
        <v>14460</v>
      </c>
      <c r="IMP4304" s="204"/>
      <c r="IMQ4304" s="204"/>
      <c r="IMS4304" s="204"/>
      <c r="IMT4304" s="204"/>
      <c r="IMU4304" s="204"/>
      <c r="IMV4304" s="185" t="s">
        <v>667</v>
      </c>
      <c r="IMW4304" s="205">
        <v>14460</v>
      </c>
      <c r="IMX4304" s="204"/>
      <c r="IMY4304" s="204"/>
      <c r="INA4304" s="204"/>
      <c r="INB4304" s="204"/>
      <c r="INC4304" s="204"/>
      <c r="IND4304" s="185" t="s">
        <v>667</v>
      </c>
      <c r="INE4304" s="205">
        <v>14460</v>
      </c>
      <c r="INF4304" s="204"/>
      <c r="ING4304" s="204"/>
      <c r="INI4304" s="204"/>
      <c r="INJ4304" s="204"/>
      <c r="INK4304" s="204"/>
      <c r="INL4304" s="185" t="s">
        <v>667</v>
      </c>
      <c r="INM4304" s="205">
        <v>14460</v>
      </c>
      <c r="INN4304" s="204"/>
      <c r="INO4304" s="204"/>
      <c r="INQ4304" s="204"/>
      <c r="INR4304" s="204"/>
      <c r="INS4304" s="204"/>
      <c r="INT4304" s="185" t="s">
        <v>667</v>
      </c>
      <c r="INU4304" s="205">
        <v>14460</v>
      </c>
      <c r="INV4304" s="204"/>
      <c r="INW4304" s="204"/>
      <c r="INY4304" s="204"/>
      <c r="INZ4304" s="204"/>
      <c r="IOA4304" s="204"/>
      <c r="IOB4304" s="185" t="s">
        <v>667</v>
      </c>
      <c r="IOC4304" s="205">
        <v>14460</v>
      </c>
      <c r="IOD4304" s="204"/>
      <c r="IOE4304" s="204"/>
      <c r="IOG4304" s="204"/>
      <c r="IOH4304" s="204"/>
      <c r="IOI4304" s="204"/>
      <c r="IOJ4304" s="185" t="s">
        <v>667</v>
      </c>
      <c r="IOK4304" s="205">
        <v>14460</v>
      </c>
      <c r="IOL4304" s="204"/>
      <c r="IOM4304" s="204"/>
      <c r="IOO4304" s="204"/>
      <c r="IOP4304" s="204"/>
      <c r="IOQ4304" s="204"/>
      <c r="IOR4304" s="185" t="s">
        <v>667</v>
      </c>
      <c r="IOS4304" s="205">
        <v>14460</v>
      </c>
      <c r="IOT4304" s="204"/>
      <c r="IOU4304" s="204"/>
      <c r="IOW4304" s="204"/>
      <c r="IOX4304" s="204"/>
      <c r="IOY4304" s="204"/>
      <c r="IOZ4304" s="185" t="s">
        <v>667</v>
      </c>
      <c r="IPA4304" s="205">
        <v>14460</v>
      </c>
      <c r="IPB4304" s="204"/>
      <c r="IPC4304" s="204"/>
      <c r="IPE4304" s="204"/>
      <c r="IPF4304" s="204"/>
      <c r="IPG4304" s="204"/>
      <c r="IPH4304" s="185" t="s">
        <v>667</v>
      </c>
      <c r="IPI4304" s="205">
        <v>14460</v>
      </c>
      <c r="IPJ4304" s="204"/>
      <c r="IPK4304" s="204"/>
      <c r="IPM4304" s="204"/>
      <c r="IPN4304" s="204"/>
      <c r="IPO4304" s="204"/>
      <c r="IPP4304" s="185" t="s">
        <v>667</v>
      </c>
      <c r="IPQ4304" s="205">
        <v>14460</v>
      </c>
      <c r="IPR4304" s="204"/>
      <c r="IPS4304" s="204"/>
      <c r="IPU4304" s="204"/>
      <c r="IPV4304" s="204"/>
      <c r="IPW4304" s="204"/>
      <c r="IPX4304" s="185" t="s">
        <v>667</v>
      </c>
      <c r="IPY4304" s="205">
        <v>14460</v>
      </c>
      <c r="IPZ4304" s="204"/>
      <c r="IQA4304" s="204"/>
      <c r="IQC4304" s="204"/>
      <c r="IQD4304" s="204"/>
      <c r="IQE4304" s="204"/>
      <c r="IQF4304" s="185" t="s">
        <v>667</v>
      </c>
      <c r="IQG4304" s="205">
        <v>14460</v>
      </c>
      <c r="IQH4304" s="204"/>
      <c r="IQI4304" s="204"/>
      <c r="IQK4304" s="204"/>
      <c r="IQL4304" s="204"/>
      <c r="IQM4304" s="204"/>
      <c r="IQN4304" s="185" t="s">
        <v>667</v>
      </c>
      <c r="IQO4304" s="205">
        <v>14460</v>
      </c>
      <c r="IQP4304" s="204"/>
      <c r="IQQ4304" s="204"/>
      <c r="IQS4304" s="204"/>
      <c r="IQT4304" s="204"/>
      <c r="IQU4304" s="204"/>
      <c r="IQV4304" s="185" t="s">
        <v>667</v>
      </c>
      <c r="IQW4304" s="205">
        <v>14460</v>
      </c>
      <c r="IQX4304" s="204"/>
      <c r="IQY4304" s="204"/>
      <c r="IRA4304" s="204"/>
      <c r="IRB4304" s="204"/>
      <c r="IRC4304" s="204"/>
      <c r="IRD4304" s="185" t="s">
        <v>667</v>
      </c>
      <c r="IRE4304" s="205">
        <v>14460</v>
      </c>
      <c r="IRF4304" s="204"/>
      <c r="IRG4304" s="204"/>
      <c r="IRI4304" s="204"/>
      <c r="IRJ4304" s="204"/>
      <c r="IRK4304" s="204"/>
      <c r="IRL4304" s="185" t="s">
        <v>667</v>
      </c>
      <c r="IRM4304" s="205">
        <v>14460</v>
      </c>
      <c r="IRN4304" s="204"/>
      <c r="IRO4304" s="204"/>
      <c r="IRQ4304" s="204"/>
      <c r="IRR4304" s="204"/>
      <c r="IRS4304" s="204"/>
      <c r="IRT4304" s="185" t="s">
        <v>667</v>
      </c>
      <c r="IRU4304" s="205">
        <v>14460</v>
      </c>
      <c r="IRV4304" s="204"/>
      <c r="IRW4304" s="204"/>
      <c r="IRY4304" s="204"/>
      <c r="IRZ4304" s="204"/>
      <c r="ISA4304" s="204"/>
      <c r="ISB4304" s="185" t="s">
        <v>667</v>
      </c>
      <c r="ISC4304" s="205">
        <v>14460</v>
      </c>
      <c r="ISD4304" s="204"/>
      <c r="ISE4304" s="204"/>
      <c r="ISG4304" s="204"/>
      <c r="ISH4304" s="204"/>
      <c r="ISI4304" s="204"/>
      <c r="ISJ4304" s="185" t="s">
        <v>667</v>
      </c>
      <c r="ISK4304" s="205">
        <v>14460</v>
      </c>
      <c r="ISL4304" s="204"/>
      <c r="ISM4304" s="204"/>
      <c r="ISO4304" s="204"/>
      <c r="ISP4304" s="204"/>
      <c r="ISQ4304" s="204"/>
      <c r="ISR4304" s="185" t="s">
        <v>667</v>
      </c>
      <c r="ISS4304" s="205">
        <v>14460</v>
      </c>
      <c r="IST4304" s="204"/>
      <c r="ISU4304" s="204"/>
      <c r="ISW4304" s="204"/>
      <c r="ISX4304" s="204"/>
      <c r="ISY4304" s="204"/>
      <c r="ISZ4304" s="185" t="s">
        <v>667</v>
      </c>
      <c r="ITA4304" s="205">
        <v>14460</v>
      </c>
      <c r="ITB4304" s="204"/>
      <c r="ITC4304" s="204"/>
      <c r="ITE4304" s="204"/>
      <c r="ITF4304" s="204"/>
      <c r="ITG4304" s="204"/>
      <c r="ITH4304" s="185" t="s">
        <v>667</v>
      </c>
      <c r="ITI4304" s="205">
        <v>14460</v>
      </c>
      <c r="ITJ4304" s="204"/>
      <c r="ITK4304" s="204"/>
      <c r="ITM4304" s="204"/>
      <c r="ITN4304" s="204"/>
      <c r="ITO4304" s="204"/>
      <c r="ITP4304" s="185" t="s">
        <v>667</v>
      </c>
      <c r="ITQ4304" s="205">
        <v>14460</v>
      </c>
      <c r="ITR4304" s="204"/>
      <c r="ITS4304" s="204"/>
      <c r="ITU4304" s="204"/>
      <c r="ITV4304" s="204"/>
      <c r="ITW4304" s="204"/>
      <c r="ITX4304" s="185" t="s">
        <v>667</v>
      </c>
      <c r="ITY4304" s="205">
        <v>14460</v>
      </c>
      <c r="ITZ4304" s="204"/>
      <c r="IUA4304" s="204"/>
      <c r="IUC4304" s="204"/>
      <c r="IUD4304" s="204"/>
      <c r="IUE4304" s="204"/>
      <c r="IUF4304" s="185" t="s">
        <v>667</v>
      </c>
      <c r="IUG4304" s="205">
        <v>14460</v>
      </c>
      <c r="IUH4304" s="204"/>
      <c r="IUI4304" s="204"/>
      <c r="IUK4304" s="204"/>
      <c r="IUL4304" s="204"/>
      <c r="IUM4304" s="204"/>
      <c r="IUN4304" s="185" t="s">
        <v>667</v>
      </c>
      <c r="IUO4304" s="205">
        <v>14460</v>
      </c>
      <c r="IUP4304" s="204"/>
      <c r="IUQ4304" s="204"/>
      <c r="IUS4304" s="204"/>
      <c r="IUT4304" s="204"/>
      <c r="IUU4304" s="204"/>
      <c r="IUV4304" s="185" t="s">
        <v>667</v>
      </c>
      <c r="IUW4304" s="205">
        <v>14460</v>
      </c>
      <c r="IUX4304" s="204"/>
      <c r="IUY4304" s="204"/>
      <c r="IVA4304" s="204"/>
      <c r="IVB4304" s="204"/>
      <c r="IVC4304" s="204"/>
      <c r="IVD4304" s="185" t="s">
        <v>667</v>
      </c>
      <c r="IVE4304" s="205">
        <v>14460</v>
      </c>
      <c r="IVF4304" s="204"/>
      <c r="IVG4304" s="204"/>
      <c r="IVI4304" s="204"/>
      <c r="IVJ4304" s="204"/>
      <c r="IVK4304" s="204"/>
      <c r="IVL4304" s="185" t="s">
        <v>667</v>
      </c>
      <c r="IVM4304" s="205">
        <v>14460</v>
      </c>
      <c r="IVN4304" s="204"/>
      <c r="IVO4304" s="204"/>
      <c r="IVQ4304" s="204"/>
      <c r="IVR4304" s="204"/>
      <c r="IVS4304" s="204"/>
      <c r="IVT4304" s="185" t="s">
        <v>667</v>
      </c>
      <c r="IVU4304" s="205">
        <v>14460</v>
      </c>
      <c r="IVV4304" s="204"/>
      <c r="IVW4304" s="204"/>
      <c r="IVY4304" s="204"/>
      <c r="IVZ4304" s="204"/>
      <c r="IWA4304" s="204"/>
      <c r="IWB4304" s="185" t="s">
        <v>667</v>
      </c>
      <c r="IWC4304" s="205">
        <v>14460</v>
      </c>
      <c r="IWD4304" s="204"/>
      <c r="IWE4304" s="204"/>
      <c r="IWG4304" s="204"/>
      <c r="IWH4304" s="204"/>
      <c r="IWI4304" s="204"/>
      <c r="IWJ4304" s="185" t="s">
        <v>667</v>
      </c>
      <c r="IWK4304" s="205">
        <v>14460</v>
      </c>
      <c r="IWL4304" s="204"/>
      <c r="IWM4304" s="204"/>
      <c r="IWO4304" s="204"/>
      <c r="IWP4304" s="204"/>
      <c r="IWQ4304" s="204"/>
      <c r="IWR4304" s="185" t="s">
        <v>667</v>
      </c>
      <c r="IWS4304" s="205">
        <v>14460</v>
      </c>
      <c r="IWT4304" s="204"/>
      <c r="IWU4304" s="204"/>
      <c r="IWW4304" s="204"/>
      <c r="IWX4304" s="204"/>
      <c r="IWY4304" s="204"/>
      <c r="IWZ4304" s="185" t="s">
        <v>667</v>
      </c>
      <c r="IXA4304" s="205">
        <v>14460</v>
      </c>
      <c r="IXB4304" s="204"/>
      <c r="IXC4304" s="204"/>
      <c r="IXE4304" s="204"/>
      <c r="IXF4304" s="204"/>
      <c r="IXG4304" s="204"/>
      <c r="IXH4304" s="185" t="s">
        <v>667</v>
      </c>
      <c r="IXI4304" s="205">
        <v>14460</v>
      </c>
      <c r="IXJ4304" s="204"/>
      <c r="IXK4304" s="204"/>
      <c r="IXM4304" s="204"/>
      <c r="IXN4304" s="204"/>
      <c r="IXO4304" s="204"/>
      <c r="IXP4304" s="185" t="s">
        <v>667</v>
      </c>
      <c r="IXQ4304" s="205">
        <v>14460</v>
      </c>
      <c r="IXR4304" s="204"/>
      <c r="IXS4304" s="204"/>
      <c r="IXU4304" s="204"/>
      <c r="IXV4304" s="204"/>
      <c r="IXW4304" s="204"/>
      <c r="IXX4304" s="185" t="s">
        <v>667</v>
      </c>
      <c r="IXY4304" s="205">
        <v>14460</v>
      </c>
      <c r="IXZ4304" s="204"/>
      <c r="IYA4304" s="204"/>
      <c r="IYC4304" s="204"/>
      <c r="IYD4304" s="204"/>
      <c r="IYE4304" s="204"/>
      <c r="IYF4304" s="185" t="s">
        <v>667</v>
      </c>
      <c r="IYG4304" s="205">
        <v>14460</v>
      </c>
      <c r="IYH4304" s="204"/>
      <c r="IYI4304" s="204"/>
      <c r="IYK4304" s="204"/>
      <c r="IYL4304" s="204"/>
      <c r="IYM4304" s="204"/>
      <c r="IYN4304" s="185" t="s">
        <v>667</v>
      </c>
      <c r="IYO4304" s="205">
        <v>14460</v>
      </c>
      <c r="IYP4304" s="204"/>
      <c r="IYQ4304" s="204"/>
      <c r="IYS4304" s="204"/>
      <c r="IYT4304" s="204"/>
      <c r="IYU4304" s="204"/>
      <c r="IYV4304" s="185" t="s">
        <v>667</v>
      </c>
      <c r="IYW4304" s="205">
        <v>14460</v>
      </c>
      <c r="IYX4304" s="204"/>
      <c r="IYY4304" s="204"/>
      <c r="IZA4304" s="204"/>
      <c r="IZB4304" s="204"/>
      <c r="IZC4304" s="204"/>
      <c r="IZD4304" s="185" t="s">
        <v>667</v>
      </c>
      <c r="IZE4304" s="205">
        <v>14460</v>
      </c>
      <c r="IZF4304" s="204"/>
      <c r="IZG4304" s="204"/>
      <c r="IZI4304" s="204"/>
      <c r="IZJ4304" s="204"/>
      <c r="IZK4304" s="204"/>
      <c r="IZL4304" s="185" t="s">
        <v>667</v>
      </c>
      <c r="IZM4304" s="205">
        <v>14460</v>
      </c>
      <c r="IZN4304" s="204"/>
      <c r="IZO4304" s="204"/>
      <c r="IZQ4304" s="204"/>
      <c r="IZR4304" s="204"/>
      <c r="IZS4304" s="204"/>
      <c r="IZT4304" s="185" t="s">
        <v>667</v>
      </c>
      <c r="IZU4304" s="205">
        <v>14460</v>
      </c>
      <c r="IZV4304" s="204"/>
      <c r="IZW4304" s="204"/>
      <c r="IZY4304" s="204"/>
      <c r="IZZ4304" s="204"/>
      <c r="JAA4304" s="204"/>
      <c r="JAB4304" s="185" t="s">
        <v>667</v>
      </c>
      <c r="JAC4304" s="205">
        <v>14460</v>
      </c>
      <c r="JAD4304" s="204"/>
      <c r="JAE4304" s="204"/>
      <c r="JAG4304" s="204"/>
      <c r="JAH4304" s="204"/>
      <c r="JAI4304" s="204"/>
      <c r="JAJ4304" s="185" t="s">
        <v>667</v>
      </c>
      <c r="JAK4304" s="205">
        <v>14460</v>
      </c>
      <c r="JAL4304" s="204"/>
      <c r="JAM4304" s="204"/>
      <c r="JAO4304" s="204"/>
      <c r="JAP4304" s="204"/>
      <c r="JAQ4304" s="204"/>
      <c r="JAR4304" s="185" t="s">
        <v>667</v>
      </c>
      <c r="JAS4304" s="205">
        <v>14460</v>
      </c>
      <c r="JAT4304" s="204"/>
      <c r="JAU4304" s="204"/>
      <c r="JAW4304" s="204"/>
      <c r="JAX4304" s="204"/>
      <c r="JAY4304" s="204"/>
      <c r="JAZ4304" s="185" t="s">
        <v>667</v>
      </c>
      <c r="JBA4304" s="205">
        <v>14460</v>
      </c>
      <c r="JBB4304" s="204"/>
      <c r="JBC4304" s="204"/>
      <c r="JBE4304" s="204"/>
      <c r="JBF4304" s="204"/>
      <c r="JBG4304" s="204"/>
      <c r="JBH4304" s="185" t="s">
        <v>667</v>
      </c>
      <c r="JBI4304" s="205">
        <v>14460</v>
      </c>
      <c r="JBJ4304" s="204"/>
      <c r="JBK4304" s="204"/>
      <c r="JBM4304" s="204"/>
      <c r="JBN4304" s="204"/>
      <c r="JBO4304" s="204"/>
      <c r="JBP4304" s="185" t="s">
        <v>667</v>
      </c>
      <c r="JBQ4304" s="205">
        <v>14460</v>
      </c>
      <c r="JBR4304" s="204"/>
      <c r="JBS4304" s="204"/>
      <c r="JBU4304" s="204"/>
      <c r="JBV4304" s="204"/>
      <c r="JBW4304" s="204"/>
      <c r="JBX4304" s="185" t="s">
        <v>667</v>
      </c>
      <c r="JBY4304" s="205">
        <v>14460</v>
      </c>
      <c r="JBZ4304" s="204"/>
      <c r="JCA4304" s="204"/>
      <c r="JCC4304" s="204"/>
      <c r="JCD4304" s="204"/>
      <c r="JCE4304" s="204"/>
      <c r="JCF4304" s="185" t="s">
        <v>667</v>
      </c>
      <c r="JCG4304" s="205">
        <v>14460</v>
      </c>
      <c r="JCH4304" s="204"/>
      <c r="JCI4304" s="204"/>
      <c r="JCK4304" s="204"/>
      <c r="JCL4304" s="204"/>
      <c r="JCM4304" s="204"/>
      <c r="JCN4304" s="185" t="s">
        <v>667</v>
      </c>
      <c r="JCO4304" s="205">
        <v>14460</v>
      </c>
      <c r="JCP4304" s="204"/>
      <c r="JCQ4304" s="204"/>
      <c r="JCS4304" s="204"/>
      <c r="JCT4304" s="204"/>
      <c r="JCU4304" s="204"/>
      <c r="JCV4304" s="185" t="s">
        <v>667</v>
      </c>
      <c r="JCW4304" s="205">
        <v>14460</v>
      </c>
      <c r="JCX4304" s="204"/>
      <c r="JCY4304" s="204"/>
      <c r="JDA4304" s="204"/>
      <c r="JDB4304" s="204"/>
      <c r="JDC4304" s="204"/>
      <c r="JDD4304" s="185" t="s">
        <v>667</v>
      </c>
      <c r="JDE4304" s="205">
        <v>14460</v>
      </c>
      <c r="JDF4304" s="204"/>
      <c r="JDG4304" s="204"/>
      <c r="JDI4304" s="204"/>
      <c r="JDJ4304" s="204"/>
      <c r="JDK4304" s="204"/>
      <c r="JDL4304" s="185" t="s">
        <v>667</v>
      </c>
      <c r="JDM4304" s="205">
        <v>14460</v>
      </c>
      <c r="JDN4304" s="204"/>
      <c r="JDO4304" s="204"/>
      <c r="JDQ4304" s="204"/>
      <c r="JDR4304" s="204"/>
      <c r="JDS4304" s="204"/>
      <c r="JDT4304" s="185" t="s">
        <v>667</v>
      </c>
      <c r="JDU4304" s="205">
        <v>14460</v>
      </c>
      <c r="JDV4304" s="204"/>
      <c r="JDW4304" s="204"/>
      <c r="JDY4304" s="204"/>
      <c r="JDZ4304" s="204"/>
      <c r="JEA4304" s="204"/>
      <c r="JEB4304" s="185" t="s">
        <v>667</v>
      </c>
      <c r="JEC4304" s="205">
        <v>14460</v>
      </c>
      <c r="JED4304" s="204"/>
      <c r="JEE4304" s="204"/>
      <c r="JEG4304" s="204"/>
      <c r="JEH4304" s="204"/>
      <c r="JEI4304" s="204"/>
      <c r="JEJ4304" s="185" t="s">
        <v>667</v>
      </c>
      <c r="JEK4304" s="205">
        <v>14460</v>
      </c>
      <c r="JEL4304" s="204"/>
      <c r="JEM4304" s="204"/>
      <c r="JEO4304" s="204"/>
      <c r="JEP4304" s="204"/>
      <c r="JEQ4304" s="204"/>
      <c r="JER4304" s="185" t="s">
        <v>667</v>
      </c>
      <c r="JES4304" s="205">
        <v>14460</v>
      </c>
      <c r="JET4304" s="204"/>
      <c r="JEU4304" s="204"/>
      <c r="JEW4304" s="204"/>
      <c r="JEX4304" s="204"/>
      <c r="JEY4304" s="204"/>
      <c r="JEZ4304" s="185" t="s">
        <v>667</v>
      </c>
      <c r="JFA4304" s="205">
        <v>14460</v>
      </c>
      <c r="JFB4304" s="204"/>
      <c r="JFC4304" s="204"/>
      <c r="JFE4304" s="204"/>
      <c r="JFF4304" s="204"/>
      <c r="JFG4304" s="204"/>
      <c r="JFH4304" s="185" t="s">
        <v>667</v>
      </c>
      <c r="JFI4304" s="205">
        <v>14460</v>
      </c>
      <c r="JFJ4304" s="204"/>
      <c r="JFK4304" s="204"/>
      <c r="JFM4304" s="204"/>
      <c r="JFN4304" s="204"/>
      <c r="JFO4304" s="204"/>
      <c r="JFP4304" s="185" t="s">
        <v>667</v>
      </c>
      <c r="JFQ4304" s="205">
        <v>14460</v>
      </c>
      <c r="JFR4304" s="204"/>
      <c r="JFS4304" s="204"/>
      <c r="JFU4304" s="204"/>
      <c r="JFV4304" s="204"/>
      <c r="JFW4304" s="204"/>
      <c r="JFX4304" s="185" t="s">
        <v>667</v>
      </c>
      <c r="JFY4304" s="205">
        <v>14460</v>
      </c>
      <c r="JFZ4304" s="204"/>
      <c r="JGA4304" s="204"/>
      <c r="JGC4304" s="204"/>
      <c r="JGD4304" s="204"/>
      <c r="JGE4304" s="204"/>
      <c r="JGF4304" s="185" t="s">
        <v>667</v>
      </c>
      <c r="JGG4304" s="205">
        <v>14460</v>
      </c>
      <c r="JGH4304" s="204"/>
      <c r="JGI4304" s="204"/>
      <c r="JGK4304" s="204"/>
      <c r="JGL4304" s="204"/>
      <c r="JGM4304" s="204"/>
      <c r="JGN4304" s="185" t="s">
        <v>667</v>
      </c>
      <c r="JGO4304" s="205">
        <v>14460</v>
      </c>
      <c r="JGP4304" s="204"/>
      <c r="JGQ4304" s="204"/>
      <c r="JGS4304" s="204"/>
      <c r="JGT4304" s="204"/>
      <c r="JGU4304" s="204"/>
      <c r="JGV4304" s="185" t="s">
        <v>667</v>
      </c>
      <c r="JGW4304" s="205">
        <v>14460</v>
      </c>
      <c r="JGX4304" s="204"/>
      <c r="JGY4304" s="204"/>
      <c r="JHA4304" s="204"/>
      <c r="JHB4304" s="204"/>
      <c r="JHC4304" s="204"/>
      <c r="JHD4304" s="185" t="s">
        <v>667</v>
      </c>
      <c r="JHE4304" s="205">
        <v>14460</v>
      </c>
      <c r="JHF4304" s="204"/>
      <c r="JHG4304" s="204"/>
      <c r="JHI4304" s="204"/>
      <c r="JHJ4304" s="204"/>
      <c r="JHK4304" s="204"/>
      <c r="JHL4304" s="185" t="s">
        <v>667</v>
      </c>
      <c r="JHM4304" s="205">
        <v>14460</v>
      </c>
      <c r="JHN4304" s="204"/>
      <c r="JHO4304" s="204"/>
      <c r="JHQ4304" s="204"/>
      <c r="JHR4304" s="204"/>
      <c r="JHS4304" s="204"/>
      <c r="JHT4304" s="185" t="s">
        <v>667</v>
      </c>
      <c r="JHU4304" s="205">
        <v>14460</v>
      </c>
      <c r="JHV4304" s="204"/>
      <c r="JHW4304" s="204"/>
      <c r="JHY4304" s="204"/>
      <c r="JHZ4304" s="204"/>
      <c r="JIA4304" s="204"/>
      <c r="JIB4304" s="185" t="s">
        <v>667</v>
      </c>
      <c r="JIC4304" s="205">
        <v>14460</v>
      </c>
      <c r="JID4304" s="204"/>
      <c r="JIE4304" s="204"/>
      <c r="JIG4304" s="204"/>
      <c r="JIH4304" s="204"/>
      <c r="JII4304" s="204"/>
      <c r="JIJ4304" s="185" t="s">
        <v>667</v>
      </c>
      <c r="JIK4304" s="205">
        <v>14460</v>
      </c>
      <c r="JIL4304" s="204"/>
      <c r="JIM4304" s="204"/>
      <c r="JIO4304" s="204"/>
      <c r="JIP4304" s="204"/>
      <c r="JIQ4304" s="204"/>
      <c r="JIR4304" s="185" t="s">
        <v>667</v>
      </c>
      <c r="JIS4304" s="205">
        <v>14460</v>
      </c>
      <c r="JIT4304" s="204"/>
      <c r="JIU4304" s="204"/>
      <c r="JIW4304" s="204"/>
      <c r="JIX4304" s="204"/>
      <c r="JIY4304" s="204"/>
      <c r="JIZ4304" s="185" t="s">
        <v>667</v>
      </c>
      <c r="JJA4304" s="205">
        <v>14460</v>
      </c>
      <c r="JJB4304" s="204"/>
      <c r="JJC4304" s="204"/>
      <c r="JJE4304" s="204"/>
      <c r="JJF4304" s="204"/>
      <c r="JJG4304" s="204"/>
      <c r="JJH4304" s="185" t="s">
        <v>667</v>
      </c>
      <c r="JJI4304" s="205">
        <v>14460</v>
      </c>
      <c r="JJJ4304" s="204"/>
      <c r="JJK4304" s="204"/>
      <c r="JJM4304" s="204"/>
      <c r="JJN4304" s="204"/>
      <c r="JJO4304" s="204"/>
      <c r="JJP4304" s="185" t="s">
        <v>667</v>
      </c>
      <c r="JJQ4304" s="205">
        <v>14460</v>
      </c>
      <c r="JJR4304" s="204"/>
      <c r="JJS4304" s="204"/>
      <c r="JJU4304" s="204"/>
      <c r="JJV4304" s="204"/>
      <c r="JJW4304" s="204"/>
      <c r="JJX4304" s="185" t="s">
        <v>667</v>
      </c>
      <c r="JJY4304" s="205">
        <v>14460</v>
      </c>
      <c r="JJZ4304" s="204"/>
      <c r="JKA4304" s="204"/>
      <c r="JKC4304" s="204"/>
      <c r="JKD4304" s="204"/>
      <c r="JKE4304" s="204"/>
      <c r="JKF4304" s="185" t="s">
        <v>667</v>
      </c>
      <c r="JKG4304" s="205">
        <v>14460</v>
      </c>
      <c r="JKH4304" s="204"/>
      <c r="JKI4304" s="204"/>
      <c r="JKK4304" s="204"/>
      <c r="JKL4304" s="204"/>
      <c r="JKM4304" s="204"/>
      <c r="JKN4304" s="185" t="s">
        <v>667</v>
      </c>
      <c r="JKO4304" s="205">
        <v>14460</v>
      </c>
      <c r="JKP4304" s="204"/>
      <c r="JKQ4304" s="204"/>
      <c r="JKS4304" s="204"/>
      <c r="JKT4304" s="204"/>
      <c r="JKU4304" s="204"/>
      <c r="JKV4304" s="185" t="s">
        <v>667</v>
      </c>
      <c r="JKW4304" s="205">
        <v>14460</v>
      </c>
      <c r="JKX4304" s="204"/>
      <c r="JKY4304" s="204"/>
      <c r="JLA4304" s="204"/>
      <c r="JLB4304" s="204"/>
      <c r="JLC4304" s="204"/>
      <c r="JLD4304" s="185" t="s">
        <v>667</v>
      </c>
      <c r="JLE4304" s="205">
        <v>14460</v>
      </c>
      <c r="JLF4304" s="204"/>
      <c r="JLG4304" s="204"/>
      <c r="JLI4304" s="204"/>
      <c r="JLJ4304" s="204"/>
      <c r="JLK4304" s="204"/>
      <c r="JLL4304" s="185" t="s">
        <v>667</v>
      </c>
      <c r="JLM4304" s="205">
        <v>14460</v>
      </c>
      <c r="JLN4304" s="204"/>
      <c r="JLO4304" s="204"/>
      <c r="JLQ4304" s="204"/>
      <c r="JLR4304" s="204"/>
      <c r="JLS4304" s="204"/>
      <c r="JLT4304" s="185" t="s">
        <v>667</v>
      </c>
      <c r="JLU4304" s="205">
        <v>14460</v>
      </c>
      <c r="JLV4304" s="204"/>
      <c r="JLW4304" s="204"/>
      <c r="JLY4304" s="204"/>
      <c r="JLZ4304" s="204"/>
      <c r="JMA4304" s="204"/>
      <c r="JMB4304" s="185" t="s">
        <v>667</v>
      </c>
      <c r="JMC4304" s="205">
        <v>14460</v>
      </c>
      <c r="JMD4304" s="204"/>
      <c r="JME4304" s="204"/>
      <c r="JMG4304" s="204"/>
      <c r="JMH4304" s="204"/>
      <c r="JMI4304" s="204"/>
      <c r="JMJ4304" s="185" t="s">
        <v>667</v>
      </c>
      <c r="JMK4304" s="205">
        <v>14460</v>
      </c>
      <c r="JML4304" s="204"/>
      <c r="JMM4304" s="204"/>
      <c r="JMO4304" s="204"/>
      <c r="JMP4304" s="204"/>
      <c r="JMQ4304" s="204"/>
      <c r="JMR4304" s="185" t="s">
        <v>667</v>
      </c>
      <c r="JMS4304" s="205">
        <v>14460</v>
      </c>
      <c r="JMT4304" s="204"/>
      <c r="JMU4304" s="204"/>
      <c r="JMW4304" s="204"/>
      <c r="JMX4304" s="204"/>
      <c r="JMY4304" s="204"/>
      <c r="JMZ4304" s="185" t="s">
        <v>667</v>
      </c>
      <c r="JNA4304" s="205">
        <v>14460</v>
      </c>
      <c r="JNB4304" s="204"/>
      <c r="JNC4304" s="204"/>
      <c r="JNE4304" s="204"/>
      <c r="JNF4304" s="204"/>
      <c r="JNG4304" s="204"/>
      <c r="JNH4304" s="185" t="s">
        <v>667</v>
      </c>
      <c r="JNI4304" s="205">
        <v>14460</v>
      </c>
      <c r="JNJ4304" s="204"/>
      <c r="JNK4304" s="204"/>
      <c r="JNM4304" s="204"/>
      <c r="JNN4304" s="204"/>
      <c r="JNO4304" s="204"/>
      <c r="JNP4304" s="185" t="s">
        <v>667</v>
      </c>
      <c r="JNQ4304" s="205">
        <v>14460</v>
      </c>
      <c r="JNR4304" s="204"/>
      <c r="JNS4304" s="204"/>
      <c r="JNU4304" s="204"/>
      <c r="JNV4304" s="204"/>
      <c r="JNW4304" s="204"/>
      <c r="JNX4304" s="185" t="s">
        <v>667</v>
      </c>
      <c r="JNY4304" s="205">
        <v>14460</v>
      </c>
      <c r="JNZ4304" s="204"/>
      <c r="JOA4304" s="204"/>
      <c r="JOC4304" s="204"/>
      <c r="JOD4304" s="204"/>
      <c r="JOE4304" s="204"/>
      <c r="JOF4304" s="185" t="s">
        <v>667</v>
      </c>
      <c r="JOG4304" s="205">
        <v>14460</v>
      </c>
      <c r="JOH4304" s="204"/>
      <c r="JOI4304" s="204"/>
      <c r="JOK4304" s="204"/>
      <c r="JOL4304" s="204"/>
      <c r="JOM4304" s="204"/>
      <c r="JON4304" s="185" t="s">
        <v>667</v>
      </c>
      <c r="JOO4304" s="205">
        <v>14460</v>
      </c>
      <c r="JOP4304" s="204"/>
      <c r="JOQ4304" s="204"/>
      <c r="JOS4304" s="204"/>
      <c r="JOT4304" s="204"/>
      <c r="JOU4304" s="204"/>
      <c r="JOV4304" s="185" t="s">
        <v>667</v>
      </c>
      <c r="JOW4304" s="205">
        <v>14460</v>
      </c>
      <c r="JOX4304" s="204"/>
      <c r="JOY4304" s="204"/>
      <c r="JPA4304" s="204"/>
      <c r="JPB4304" s="204"/>
      <c r="JPC4304" s="204"/>
      <c r="JPD4304" s="185" t="s">
        <v>667</v>
      </c>
      <c r="JPE4304" s="205">
        <v>14460</v>
      </c>
      <c r="JPF4304" s="204"/>
      <c r="JPG4304" s="204"/>
      <c r="JPI4304" s="204"/>
      <c r="JPJ4304" s="204"/>
      <c r="JPK4304" s="204"/>
      <c r="JPL4304" s="185" t="s">
        <v>667</v>
      </c>
      <c r="JPM4304" s="205">
        <v>14460</v>
      </c>
      <c r="JPN4304" s="204"/>
      <c r="JPO4304" s="204"/>
      <c r="JPQ4304" s="204"/>
      <c r="JPR4304" s="204"/>
      <c r="JPS4304" s="204"/>
      <c r="JPT4304" s="185" t="s">
        <v>667</v>
      </c>
      <c r="JPU4304" s="205">
        <v>14460</v>
      </c>
      <c r="JPV4304" s="204"/>
      <c r="JPW4304" s="204"/>
      <c r="JPY4304" s="204"/>
      <c r="JPZ4304" s="204"/>
      <c r="JQA4304" s="204"/>
      <c r="JQB4304" s="185" t="s">
        <v>667</v>
      </c>
      <c r="JQC4304" s="205">
        <v>14460</v>
      </c>
      <c r="JQD4304" s="204"/>
      <c r="JQE4304" s="204"/>
      <c r="JQG4304" s="204"/>
      <c r="JQH4304" s="204"/>
      <c r="JQI4304" s="204"/>
      <c r="JQJ4304" s="185" t="s">
        <v>667</v>
      </c>
      <c r="JQK4304" s="205">
        <v>14460</v>
      </c>
      <c r="JQL4304" s="204"/>
      <c r="JQM4304" s="204"/>
      <c r="JQO4304" s="204"/>
      <c r="JQP4304" s="204"/>
      <c r="JQQ4304" s="204"/>
      <c r="JQR4304" s="185" t="s">
        <v>667</v>
      </c>
      <c r="JQS4304" s="205">
        <v>14460</v>
      </c>
      <c r="JQT4304" s="204"/>
      <c r="JQU4304" s="204"/>
      <c r="JQW4304" s="204"/>
      <c r="JQX4304" s="204"/>
      <c r="JQY4304" s="204"/>
      <c r="JQZ4304" s="185" t="s">
        <v>667</v>
      </c>
      <c r="JRA4304" s="205">
        <v>14460</v>
      </c>
      <c r="JRB4304" s="204"/>
      <c r="JRC4304" s="204"/>
      <c r="JRE4304" s="204"/>
      <c r="JRF4304" s="204"/>
      <c r="JRG4304" s="204"/>
      <c r="JRH4304" s="185" t="s">
        <v>667</v>
      </c>
      <c r="JRI4304" s="205">
        <v>14460</v>
      </c>
      <c r="JRJ4304" s="204"/>
      <c r="JRK4304" s="204"/>
      <c r="JRM4304" s="204"/>
      <c r="JRN4304" s="204"/>
      <c r="JRO4304" s="204"/>
      <c r="JRP4304" s="185" t="s">
        <v>667</v>
      </c>
      <c r="JRQ4304" s="205">
        <v>14460</v>
      </c>
      <c r="JRR4304" s="204"/>
      <c r="JRS4304" s="204"/>
      <c r="JRU4304" s="204"/>
      <c r="JRV4304" s="204"/>
      <c r="JRW4304" s="204"/>
      <c r="JRX4304" s="185" t="s">
        <v>667</v>
      </c>
      <c r="JRY4304" s="205">
        <v>14460</v>
      </c>
      <c r="JRZ4304" s="204"/>
      <c r="JSA4304" s="204"/>
      <c r="JSC4304" s="204"/>
      <c r="JSD4304" s="204"/>
      <c r="JSE4304" s="204"/>
      <c r="JSF4304" s="185" t="s">
        <v>667</v>
      </c>
      <c r="JSG4304" s="205">
        <v>14460</v>
      </c>
      <c r="JSH4304" s="204"/>
      <c r="JSI4304" s="204"/>
      <c r="JSK4304" s="204"/>
      <c r="JSL4304" s="204"/>
      <c r="JSM4304" s="204"/>
      <c r="JSN4304" s="185" t="s">
        <v>667</v>
      </c>
      <c r="JSO4304" s="205">
        <v>14460</v>
      </c>
      <c r="JSP4304" s="204"/>
      <c r="JSQ4304" s="204"/>
      <c r="JSS4304" s="204"/>
      <c r="JST4304" s="204"/>
      <c r="JSU4304" s="204"/>
      <c r="JSV4304" s="185" t="s">
        <v>667</v>
      </c>
      <c r="JSW4304" s="205">
        <v>14460</v>
      </c>
      <c r="JSX4304" s="204"/>
      <c r="JSY4304" s="204"/>
      <c r="JTA4304" s="204"/>
      <c r="JTB4304" s="204"/>
      <c r="JTC4304" s="204"/>
      <c r="JTD4304" s="185" t="s">
        <v>667</v>
      </c>
      <c r="JTE4304" s="205">
        <v>14460</v>
      </c>
      <c r="JTF4304" s="204"/>
      <c r="JTG4304" s="204"/>
      <c r="JTI4304" s="204"/>
      <c r="JTJ4304" s="204"/>
      <c r="JTK4304" s="204"/>
      <c r="JTL4304" s="185" t="s">
        <v>667</v>
      </c>
      <c r="JTM4304" s="205">
        <v>14460</v>
      </c>
      <c r="JTN4304" s="204"/>
      <c r="JTO4304" s="204"/>
      <c r="JTQ4304" s="204"/>
      <c r="JTR4304" s="204"/>
      <c r="JTS4304" s="204"/>
      <c r="JTT4304" s="185" t="s">
        <v>667</v>
      </c>
      <c r="JTU4304" s="205">
        <v>14460</v>
      </c>
      <c r="JTV4304" s="204"/>
      <c r="JTW4304" s="204"/>
      <c r="JTY4304" s="204"/>
      <c r="JTZ4304" s="204"/>
      <c r="JUA4304" s="204"/>
      <c r="JUB4304" s="185" t="s">
        <v>667</v>
      </c>
      <c r="JUC4304" s="205">
        <v>14460</v>
      </c>
      <c r="JUD4304" s="204"/>
      <c r="JUE4304" s="204"/>
      <c r="JUG4304" s="204"/>
      <c r="JUH4304" s="204"/>
      <c r="JUI4304" s="204"/>
      <c r="JUJ4304" s="185" t="s">
        <v>667</v>
      </c>
      <c r="JUK4304" s="205">
        <v>14460</v>
      </c>
      <c r="JUL4304" s="204"/>
      <c r="JUM4304" s="204"/>
      <c r="JUO4304" s="204"/>
      <c r="JUP4304" s="204"/>
      <c r="JUQ4304" s="204"/>
      <c r="JUR4304" s="185" t="s">
        <v>667</v>
      </c>
      <c r="JUS4304" s="205">
        <v>14460</v>
      </c>
      <c r="JUT4304" s="204"/>
      <c r="JUU4304" s="204"/>
      <c r="JUW4304" s="204"/>
      <c r="JUX4304" s="204"/>
      <c r="JUY4304" s="204"/>
      <c r="JUZ4304" s="185" t="s">
        <v>667</v>
      </c>
      <c r="JVA4304" s="205">
        <v>14460</v>
      </c>
      <c r="JVB4304" s="204"/>
      <c r="JVC4304" s="204"/>
      <c r="JVE4304" s="204"/>
      <c r="JVF4304" s="204"/>
      <c r="JVG4304" s="204"/>
      <c r="JVH4304" s="185" t="s">
        <v>667</v>
      </c>
      <c r="JVI4304" s="205">
        <v>14460</v>
      </c>
      <c r="JVJ4304" s="204"/>
      <c r="JVK4304" s="204"/>
      <c r="JVM4304" s="204"/>
      <c r="JVN4304" s="204"/>
      <c r="JVO4304" s="204"/>
      <c r="JVP4304" s="185" t="s">
        <v>667</v>
      </c>
      <c r="JVQ4304" s="205">
        <v>14460</v>
      </c>
      <c r="JVR4304" s="204"/>
      <c r="JVS4304" s="204"/>
      <c r="JVU4304" s="204"/>
      <c r="JVV4304" s="204"/>
      <c r="JVW4304" s="204"/>
      <c r="JVX4304" s="185" t="s">
        <v>667</v>
      </c>
      <c r="JVY4304" s="205">
        <v>14460</v>
      </c>
      <c r="JVZ4304" s="204"/>
      <c r="JWA4304" s="204"/>
      <c r="JWC4304" s="204"/>
      <c r="JWD4304" s="204"/>
      <c r="JWE4304" s="204"/>
      <c r="JWF4304" s="185" t="s">
        <v>667</v>
      </c>
      <c r="JWG4304" s="205">
        <v>14460</v>
      </c>
      <c r="JWH4304" s="204"/>
      <c r="JWI4304" s="204"/>
      <c r="JWK4304" s="204"/>
      <c r="JWL4304" s="204"/>
      <c r="JWM4304" s="204"/>
      <c r="JWN4304" s="185" t="s">
        <v>667</v>
      </c>
      <c r="JWO4304" s="205">
        <v>14460</v>
      </c>
      <c r="JWP4304" s="204"/>
      <c r="JWQ4304" s="204"/>
      <c r="JWS4304" s="204"/>
      <c r="JWT4304" s="204"/>
      <c r="JWU4304" s="204"/>
      <c r="JWV4304" s="185" t="s">
        <v>667</v>
      </c>
      <c r="JWW4304" s="205">
        <v>14460</v>
      </c>
      <c r="JWX4304" s="204"/>
      <c r="JWY4304" s="204"/>
      <c r="JXA4304" s="204"/>
      <c r="JXB4304" s="204"/>
      <c r="JXC4304" s="204"/>
      <c r="JXD4304" s="185" t="s">
        <v>667</v>
      </c>
      <c r="JXE4304" s="205">
        <v>14460</v>
      </c>
      <c r="JXF4304" s="204"/>
      <c r="JXG4304" s="204"/>
      <c r="JXI4304" s="204"/>
      <c r="JXJ4304" s="204"/>
      <c r="JXK4304" s="204"/>
      <c r="JXL4304" s="185" t="s">
        <v>667</v>
      </c>
      <c r="JXM4304" s="205">
        <v>14460</v>
      </c>
      <c r="JXN4304" s="204"/>
      <c r="JXO4304" s="204"/>
      <c r="JXQ4304" s="204"/>
      <c r="JXR4304" s="204"/>
      <c r="JXS4304" s="204"/>
      <c r="JXT4304" s="185" t="s">
        <v>667</v>
      </c>
      <c r="JXU4304" s="205">
        <v>14460</v>
      </c>
      <c r="JXV4304" s="204"/>
      <c r="JXW4304" s="204"/>
      <c r="JXY4304" s="204"/>
      <c r="JXZ4304" s="204"/>
      <c r="JYA4304" s="204"/>
      <c r="JYB4304" s="185" t="s">
        <v>667</v>
      </c>
      <c r="JYC4304" s="205">
        <v>14460</v>
      </c>
      <c r="JYD4304" s="204"/>
      <c r="JYE4304" s="204"/>
      <c r="JYG4304" s="204"/>
      <c r="JYH4304" s="204"/>
      <c r="JYI4304" s="204"/>
      <c r="JYJ4304" s="185" t="s">
        <v>667</v>
      </c>
      <c r="JYK4304" s="205">
        <v>14460</v>
      </c>
      <c r="JYL4304" s="204"/>
      <c r="JYM4304" s="204"/>
      <c r="JYO4304" s="204"/>
      <c r="JYP4304" s="204"/>
      <c r="JYQ4304" s="204"/>
      <c r="JYR4304" s="185" t="s">
        <v>667</v>
      </c>
      <c r="JYS4304" s="205">
        <v>14460</v>
      </c>
      <c r="JYT4304" s="204"/>
      <c r="JYU4304" s="204"/>
      <c r="JYW4304" s="204"/>
      <c r="JYX4304" s="204"/>
      <c r="JYY4304" s="204"/>
      <c r="JYZ4304" s="185" t="s">
        <v>667</v>
      </c>
      <c r="JZA4304" s="205">
        <v>14460</v>
      </c>
      <c r="JZB4304" s="204"/>
      <c r="JZC4304" s="204"/>
      <c r="JZE4304" s="204"/>
      <c r="JZF4304" s="204"/>
      <c r="JZG4304" s="204"/>
      <c r="JZH4304" s="185" t="s">
        <v>667</v>
      </c>
      <c r="JZI4304" s="205">
        <v>14460</v>
      </c>
      <c r="JZJ4304" s="204"/>
      <c r="JZK4304" s="204"/>
      <c r="JZM4304" s="204"/>
      <c r="JZN4304" s="204"/>
      <c r="JZO4304" s="204"/>
      <c r="JZP4304" s="185" t="s">
        <v>667</v>
      </c>
      <c r="JZQ4304" s="205">
        <v>14460</v>
      </c>
      <c r="JZR4304" s="204"/>
      <c r="JZS4304" s="204"/>
      <c r="JZU4304" s="204"/>
      <c r="JZV4304" s="204"/>
      <c r="JZW4304" s="204"/>
      <c r="JZX4304" s="185" t="s">
        <v>667</v>
      </c>
      <c r="JZY4304" s="205">
        <v>14460</v>
      </c>
      <c r="JZZ4304" s="204"/>
      <c r="KAA4304" s="204"/>
      <c r="KAC4304" s="204"/>
      <c r="KAD4304" s="204"/>
      <c r="KAE4304" s="204"/>
      <c r="KAF4304" s="185" t="s">
        <v>667</v>
      </c>
      <c r="KAG4304" s="205">
        <v>14460</v>
      </c>
      <c r="KAH4304" s="204"/>
      <c r="KAI4304" s="204"/>
      <c r="KAK4304" s="204"/>
      <c r="KAL4304" s="204"/>
      <c r="KAM4304" s="204"/>
      <c r="KAN4304" s="185" t="s">
        <v>667</v>
      </c>
      <c r="KAO4304" s="205">
        <v>14460</v>
      </c>
      <c r="KAP4304" s="204"/>
      <c r="KAQ4304" s="204"/>
      <c r="KAS4304" s="204"/>
      <c r="KAT4304" s="204"/>
      <c r="KAU4304" s="204"/>
      <c r="KAV4304" s="185" t="s">
        <v>667</v>
      </c>
      <c r="KAW4304" s="205">
        <v>14460</v>
      </c>
      <c r="KAX4304" s="204"/>
      <c r="KAY4304" s="204"/>
      <c r="KBA4304" s="204"/>
      <c r="KBB4304" s="204"/>
      <c r="KBC4304" s="204"/>
      <c r="KBD4304" s="185" t="s">
        <v>667</v>
      </c>
      <c r="KBE4304" s="205">
        <v>14460</v>
      </c>
      <c r="KBF4304" s="204"/>
      <c r="KBG4304" s="204"/>
      <c r="KBI4304" s="204"/>
      <c r="KBJ4304" s="204"/>
      <c r="KBK4304" s="204"/>
      <c r="KBL4304" s="185" t="s">
        <v>667</v>
      </c>
      <c r="KBM4304" s="205">
        <v>14460</v>
      </c>
      <c r="KBN4304" s="204"/>
      <c r="KBO4304" s="204"/>
      <c r="KBQ4304" s="204"/>
      <c r="KBR4304" s="204"/>
      <c r="KBS4304" s="204"/>
      <c r="KBT4304" s="185" t="s">
        <v>667</v>
      </c>
      <c r="KBU4304" s="205">
        <v>14460</v>
      </c>
      <c r="KBV4304" s="204"/>
      <c r="KBW4304" s="204"/>
      <c r="KBY4304" s="204"/>
      <c r="KBZ4304" s="204"/>
      <c r="KCA4304" s="204"/>
      <c r="KCB4304" s="185" t="s">
        <v>667</v>
      </c>
      <c r="KCC4304" s="205">
        <v>14460</v>
      </c>
      <c r="KCD4304" s="204"/>
      <c r="KCE4304" s="204"/>
      <c r="KCG4304" s="204"/>
      <c r="KCH4304" s="204"/>
      <c r="KCI4304" s="204"/>
      <c r="KCJ4304" s="185" t="s">
        <v>667</v>
      </c>
      <c r="KCK4304" s="205">
        <v>14460</v>
      </c>
      <c r="KCL4304" s="204"/>
      <c r="KCM4304" s="204"/>
      <c r="KCO4304" s="204"/>
      <c r="KCP4304" s="204"/>
      <c r="KCQ4304" s="204"/>
      <c r="KCR4304" s="185" t="s">
        <v>667</v>
      </c>
      <c r="KCS4304" s="205">
        <v>14460</v>
      </c>
      <c r="KCT4304" s="204"/>
      <c r="KCU4304" s="204"/>
      <c r="KCW4304" s="204"/>
      <c r="KCX4304" s="204"/>
      <c r="KCY4304" s="204"/>
      <c r="KCZ4304" s="185" t="s">
        <v>667</v>
      </c>
      <c r="KDA4304" s="205">
        <v>14460</v>
      </c>
      <c r="KDB4304" s="204"/>
      <c r="KDC4304" s="204"/>
      <c r="KDE4304" s="204"/>
      <c r="KDF4304" s="204"/>
      <c r="KDG4304" s="204"/>
      <c r="KDH4304" s="185" t="s">
        <v>667</v>
      </c>
      <c r="KDI4304" s="205">
        <v>14460</v>
      </c>
      <c r="KDJ4304" s="204"/>
      <c r="KDK4304" s="204"/>
      <c r="KDM4304" s="204"/>
      <c r="KDN4304" s="204"/>
      <c r="KDO4304" s="204"/>
      <c r="KDP4304" s="185" t="s">
        <v>667</v>
      </c>
      <c r="KDQ4304" s="205">
        <v>14460</v>
      </c>
      <c r="KDR4304" s="204"/>
      <c r="KDS4304" s="204"/>
      <c r="KDU4304" s="204"/>
      <c r="KDV4304" s="204"/>
      <c r="KDW4304" s="204"/>
      <c r="KDX4304" s="185" t="s">
        <v>667</v>
      </c>
      <c r="KDY4304" s="205">
        <v>14460</v>
      </c>
      <c r="KDZ4304" s="204"/>
      <c r="KEA4304" s="204"/>
      <c r="KEC4304" s="204"/>
      <c r="KED4304" s="204"/>
      <c r="KEE4304" s="204"/>
      <c r="KEF4304" s="185" t="s">
        <v>667</v>
      </c>
      <c r="KEG4304" s="205">
        <v>14460</v>
      </c>
      <c r="KEH4304" s="204"/>
      <c r="KEI4304" s="204"/>
      <c r="KEK4304" s="204"/>
      <c r="KEL4304" s="204"/>
      <c r="KEM4304" s="204"/>
      <c r="KEN4304" s="185" t="s">
        <v>667</v>
      </c>
      <c r="KEO4304" s="205">
        <v>14460</v>
      </c>
      <c r="KEP4304" s="204"/>
      <c r="KEQ4304" s="204"/>
      <c r="KES4304" s="204"/>
      <c r="KET4304" s="204"/>
      <c r="KEU4304" s="204"/>
      <c r="KEV4304" s="185" t="s">
        <v>667</v>
      </c>
      <c r="KEW4304" s="205">
        <v>14460</v>
      </c>
      <c r="KEX4304" s="204"/>
      <c r="KEY4304" s="204"/>
      <c r="KFA4304" s="204"/>
      <c r="KFB4304" s="204"/>
      <c r="KFC4304" s="204"/>
      <c r="KFD4304" s="185" t="s">
        <v>667</v>
      </c>
      <c r="KFE4304" s="205">
        <v>14460</v>
      </c>
      <c r="KFF4304" s="204"/>
      <c r="KFG4304" s="204"/>
      <c r="KFI4304" s="204"/>
      <c r="KFJ4304" s="204"/>
      <c r="KFK4304" s="204"/>
      <c r="KFL4304" s="185" t="s">
        <v>667</v>
      </c>
      <c r="KFM4304" s="205">
        <v>14460</v>
      </c>
      <c r="KFN4304" s="204"/>
      <c r="KFO4304" s="204"/>
      <c r="KFQ4304" s="204"/>
      <c r="KFR4304" s="204"/>
      <c r="KFS4304" s="204"/>
      <c r="KFT4304" s="185" t="s">
        <v>667</v>
      </c>
      <c r="KFU4304" s="205">
        <v>14460</v>
      </c>
      <c r="KFV4304" s="204"/>
      <c r="KFW4304" s="204"/>
      <c r="KFY4304" s="204"/>
      <c r="KFZ4304" s="204"/>
      <c r="KGA4304" s="204"/>
      <c r="KGB4304" s="185" t="s">
        <v>667</v>
      </c>
      <c r="KGC4304" s="205">
        <v>14460</v>
      </c>
      <c r="KGD4304" s="204"/>
      <c r="KGE4304" s="204"/>
      <c r="KGG4304" s="204"/>
      <c r="KGH4304" s="204"/>
      <c r="KGI4304" s="204"/>
      <c r="KGJ4304" s="185" t="s">
        <v>667</v>
      </c>
      <c r="KGK4304" s="205">
        <v>14460</v>
      </c>
      <c r="KGL4304" s="204"/>
      <c r="KGM4304" s="204"/>
      <c r="KGO4304" s="204"/>
      <c r="KGP4304" s="204"/>
      <c r="KGQ4304" s="204"/>
      <c r="KGR4304" s="185" t="s">
        <v>667</v>
      </c>
      <c r="KGS4304" s="205">
        <v>14460</v>
      </c>
      <c r="KGT4304" s="204"/>
      <c r="KGU4304" s="204"/>
      <c r="KGW4304" s="204"/>
      <c r="KGX4304" s="204"/>
      <c r="KGY4304" s="204"/>
      <c r="KGZ4304" s="185" t="s">
        <v>667</v>
      </c>
      <c r="KHA4304" s="205">
        <v>14460</v>
      </c>
      <c r="KHB4304" s="204"/>
      <c r="KHC4304" s="204"/>
      <c r="KHE4304" s="204"/>
      <c r="KHF4304" s="204"/>
      <c r="KHG4304" s="204"/>
      <c r="KHH4304" s="185" t="s">
        <v>667</v>
      </c>
      <c r="KHI4304" s="205">
        <v>14460</v>
      </c>
      <c r="KHJ4304" s="204"/>
      <c r="KHK4304" s="204"/>
      <c r="KHM4304" s="204"/>
      <c r="KHN4304" s="204"/>
      <c r="KHO4304" s="204"/>
      <c r="KHP4304" s="185" t="s">
        <v>667</v>
      </c>
      <c r="KHQ4304" s="205">
        <v>14460</v>
      </c>
      <c r="KHR4304" s="204"/>
      <c r="KHS4304" s="204"/>
      <c r="KHU4304" s="204"/>
      <c r="KHV4304" s="204"/>
      <c r="KHW4304" s="204"/>
      <c r="KHX4304" s="185" t="s">
        <v>667</v>
      </c>
      <c r="KHY4304" s="205">
        <v>14460</v>
      </c>
      <c r="KHZ4304" s="204"/>
      <c r="KIA4304" s="204"/>
      <c r="KIC4304" s="204"/>
      <c r="KID4304" s="204"/>
      <c r="KIE4304" s="204"/>
      <c r="KIF4304" s="185" t="s">
        <v>667</v>
      </c>
      <c r="KIG4304" s="205">
        <v>14460</v>
      </c>
      <c r="KIH4304" s="204"/>
      <c r="KII4304" s="204"/>
      <c r="KIK4304" s="204"/>
      <c r="KIL4304" s="204"/>
      <c r="KIM4304" s="204"/>
      <c r="KIN4304" s="185" t="s">
        <v>667</v>
      </c>
      <c r="KIO4304" s="205">
        <v>14460</v>
      </c>
      <c r="KIP4304" s="204"/>
      <c r="KIQ4304" s="204"/>
      <c r="KIS4304" s="204"/>
      <c r="KIT4304" s="204"/>
      <c r="KIU4304" s="204"/>
      <c r="KIV4304" s="185" t="s">
        <v>667</v>
      </c>
      <c r="KIW4304" s="205">
        <v>14460</v>
      </c>
      <c r="KIX4304" s="204"/>
      <c r="KIY4304" s="204"/>
      <c r="KJA4304" s="204"/>
      <c r="KJB4304" s="204"/>
      <c r="KJC4304" s="204"/>
      <c r="KJD4304" s="185" t="s">
        <v>667</v>
      </c>
      <c r="KJE4304" s="205">
        <v>14460</v>
      </c>
      <c r="KJF4304" s="204"/>
      <c r="KJG4304" s="204"/>
      <c r="KJI4304" s="204"/>
      <c r="KJJ4304" s="204"/>
      <c r="KJK4304" s="204"/>
      <c r="KJL4304" s="185" t="s">
        <v>667</v>
      </c>
      <c r="KJM4304" s="205">
        <v>14460</v>
      </c>
      <c r="KJN4304" s="204"/>
      <c r="KJO4304" s="204"/>
      <c r="KJQ4304" s="204"/>
      <c r="KJR4304" s="204"/>
      <c r="KJS4304" s="204"/>
      <c r="KJT4304" s="185" t="s">
        <v>667</v>
      </c>
      <c r="KJU4304" s="205">
        <v>14460</v>
      </c>
      <c r="KJV4304" s="204"/>
      <c r="KJW4304" s="204"/>
      <c r="KJY4304" s="204"/>
      <c r="KJZ4304" s="204"/>
      <c r="KKA4304" s="204"/>
      <c r="KKB4304" s="185" t="s">
        <v>667</v>
      </c>
      <c r="KKC4304" s="205">
        <v>14460</v>
      </c>
      <c r="KKD4304" s="204"/>
      <c r="KKE4304" s="204"/>
      <c r="KKG4304" s="204"/>
      <c r="KKH4304" s="204"/>
      <c r="KKI4304" s="204"/>
      <c r="KKJ4304" s="185" t="s">
        <v>667</v>
      </c>
      <c r="KKK4304" s="205">
        <v>14460</v>
      </c>
      <c r="KKL4304" s="204"/>
      <c r="KKM4304" s="204"/>
      <c r="KKO4304" s="204"/>
      <c r="KKP4304" s="204"/>
      <c r="KKQ4304" s="204"/>
      <c r="KKR4304" s="185" t="s">
        <v>667</v>
      </c>
      <c r="KKS4304" s="205">
        <v>14460</v>
      </c>
      <c r="KKT4304" s="204"/>
      <c r="KKU4304" s="204"/>
      <c r="KKW4304" s="204"/>
      <c r="KKX4304" s="204"/>
      <c r="KKY4304" s="204"/>
      <c r="KKZ4304" s="185" t="s">
        <v>667</v>
      </c>
      <c r="KLA4304" s="205">
        <v>14460</v>
      </c>
      <c r="KLB4304" s="204"/>
      <c r="KLC4304" s="204"/>
      <c r="KLE4304" s="204"/>
      <c r="KLF4304" s="204"/>
      <c r="KLG4304" s="204"/>
      <c r="KLH4304" s="185" t="s">
        <v>667</v>
      </c>
      <c r="KLI4304" s="205">
        <v>14460</v>
      </c>
      <c r="KLJ4304" s="204"/>
      <c r="KLK4304" s="204"/>
      <c r="KLM4304" s="204"/>
      <c r="KLN4304" s="204"/>
      <c r="KLO4304" s="204"/>
      <c r="KLP4304" s="185" t="s">
        <v>667</v>
      </c>
      <c r="KLQ4304" s="205">
        <v>14460</v>
      </c>
      <c r="KLR4304" s="204"/>
      <c r="KLS4304" s="204"/>
      <c r="KLU4304" s="204"/>
      <c r="KLV4304" s="204"/>
      <c r="KLW4304" s="204"/>
      <c r="KLX4304" s="185" t="s">
        <v>667</v>
      </c>
      <c r="KLY4304" s="205">
        <v>14460</v>
      </c>
      <c r="KLZ4304" s="204"/>
      <c r="KMA4304" s="204"/>
      <c r="KMC4304" s="204"/>
      <c r="KMD4304" s="204"/>
      <c r="KME4304" s="204"/>
      <c r="KMF4304" s="185" t="s">
        <v>667</v>
      </c>
      <c r="KMG4304" s="205">
        <v>14460</v>
      </c>
      <c r="KMH4304" s="204"/>
      <c r="KMI4304" s="204"/>
      <c r="KMK4304" s="204"/>
      <c r="KML4304" s="204"/>
      <c r="KMM4304" s="204"/>
      <c r="KMN4304" s="185" t="s">
        <v>667</v>
      </c>
      <c r="KMO4304" s="205">
        <v>14460</v>
      </c>
      <c r="KMP4304" s="204"/>
      <c r="KMQ4304" s="204"/>
      <c r="KMS4304" s="204"/>
      <c r="KMT4304" s="204"/>
      <c r="KMU4304" s="204"/>
      <c r="KMV4304" s="185" t="s">
        <v>667</v>
      </c>
      <c r="KMW4304" s="205">
        <v>14460</v>
      </c>
      <c r="KMX4304" s="204"/>
      <c r="KMY4304" s="204"/>
      <c r="KNA4304" s="204"/>
      <c r="KNB4304" s="204"/>
      <c r="KNC4304" s="204"/>
      <c r="KND4304" s="185" t="s">
        <v>667</v>
      </c>
      <c r="KNE4304" s="205">
        <v>14460</v>
      </c>
      <c r="KNF4304" s="204"/>
      <c r="KNG4304" s="204"/>
      <c r="KNI4304" s="204"/>
      <c r="KNJ4304" s="204"/>
      <c r="KNK4304" s="204"/>
      <c r="KNL4304" s="185" t="s">
        <v>667</v>
      </c>
      <c r="KNM4304" s="205">
        <v>14460</v>
      </c>
      <c r="KNN4304" s="204"/>
      <c r="KNO4304" s="204"/>
      <c r="KNQ4304" s="204"/>
      <c r="KNR4304" s="204"/>
      <c r="KNS4304" s="204"/>
      <c r="KNT4304" s="185" t="s">
        <v>667</v>
      </c>
      <c r="KNU4304" s="205">
        <v>14460</v>
      </c>
      <c r="KNV4304" s="204"/>
      <c r="KNW4304" s="204"/>
      <c r="KNY4304" s="204"/>
      <c r="KNZ4304" s="204"/>
      <c r="KOA4304" s="204"/>
      <c r="KOB4304" s="185" t="s">
        <v>667</v>
      </c>
      <c r="KOC4304" s="205">
        <v>14460</v>
      </c>
      <c r="KOD4304" s="204"/>
      <c r="KOE4304" s="204"/>
      <c r="KOG4304" s="204"/>
      <c r="KOH4304" s="204"/>
      <c r="KOI4304" s="204"/>
      <c r="KOJ4304" s="185" t="s">
        <v>667</v>
      </c>
      <c r="KOK4304" s="205">
        <v>14460</v>
      </c>
      <c r="KOL4304" s="204"/>
      <c r="KOM4304" s="204"/>
      <c r="KOO4304" s="204"/>
      <c r="KOP4304" s="204"/>
      <c r="KOQ4304" s="204"/>
      <c r="KOR4304" s="185" t="s">
        <v>667</v>
      </c>
      <c r="KOS4304" s="205">
        <v>14460</v>
      </c>
      <c r="KOT4304" s="204"/>
      <c r="KOU4304" s="204"/>
      <c r="KOW4304" s="204"/>
      <c r="KOX4304" s="204"/>
      <c r="KOY4304" s="204"/>
      <c r="KOZ4304" s="185" t="s">
        <v>667</v>
      </c>
      <c r="KPA4304" s="205">
        <v>14460</v>
      </c>
      <c r="KPB4304" s="204"/>
      <c r="KPC4304" s="204"/>
      <c r="KPE4304" s="204"/>
      <c r="KPF4304" s="204"/>
      <c r="KPG4304" s="204"/>
      <c r="KPH4304" s="185" t="s">
        <v>667</v>
      </c>
      <c r="KPI4304" s="205">
        <v>14460</v>
      </c>
      <c r="KPJ4304" s="204"/>
      <c r="KPK4304" s="204"/>
      <c r="KPM4304" s="204"/>
      <c r="KPN4304" s="204"/>
      <c r="KPO4304" s="204"/>
      <c r="KPP4304" s="185" t="s">
        <v>667</v>
      </c>
      <c r="KPQ4304" s="205">
        <v>14460</v>
      </c>
      <c r="KPR4304" s="204"/>
      <c r="KPS4304" s="204"/>
      <c r="KPU4304" s="204"/>
      <c r="KPV4304" s="204"/>
      <c r="KPW4304" s="204"/>
      <c r="KPX4304" s="185" t="s">
        <v>667</v>
      </c>
      <c r="KPY4304" s="205">
        <v>14460</v>
      </c>
      <c r="KPZ4304" s="204"/>
      <c r="KQA4304" s="204"/>
      <c r="KQC4304" s="204"/>
      <c r="KQD4304" s="204"/>
      <c r="KQE4304" s="204"/>
      <c r="KQF4304" s="185" t="s">
        <v>667</v>
      </c>
      <c r="KQG4304" s="205">
        <v>14460</v>
      </c>
      <c r="KQH4304" s="204"/>
      <c r="KQI4304" s="204"/>
      <c r="KQK4304" s="204"/>
      <c r="KQL4304" s="204"/>
      <c r="KQM4304" s="204"/>
      <c r="KQN4304" s="185" t="s">
        <v>667</v>
      </c>
      <c r="KQO4304" s="205">
        <v>14460</v>
      </c>
      <c r="KQP4304" s="204"/>
      <c r="KQQ4304" s="204"/>
      <c r="KQS4304" s="204"/>
      <c r="KQT4304" s="204"/>
      <c r="KQU4304" s="204"/>
      <c r="KQV4304" s="185" t="s">
        <v>667</v>
      </c>
      <c r="KQW4304" s="205">
        <v>14460</v>
      </c>
      <c r="KQX4304" s="204"/>
      <c r="KQY4304" s="204"/>
      <c r="KRA4304" s="204"/>
      <c r="KRB4304" s="204"/>
      <c r="KRC4304" s="204"/>
      <c r="KRD4304" s="185" t="s">
        <v>667</v>
      </c>
      <c r="KRE4304" s="205">
        <v>14460</v>
      </c>
      <c r="KRF4304" s="204"/>
      <c r="KRG4304" s="204"/>
      <c r="KRI4304" s="204"/>
      <c r="KRJ4304" s="204"/>
      <c r="KRK4304" s="204"/>
      <c r="KRL4304" s="185" t="s">
        <v>667</v>
      </c>
      <c r="KRM4304" s="205">
        <v>14460</v>
      </c>
      <c r="KRN4304" s="204"/>
      <c r="KRO4304" s="204"/>
      <c r="KRQ4304" s="204"/>
      <c r="KRR4304" s="204"/>
      <c r="KRS4304" s="204"/>
      <c r="KRT4304" s="185" t="s">
        <v>667</v>
      </c>
      <c r="KRU4304" s="205">
        <v>14460</v>
      </c>
      <c r="KRV4304" s="204"/>
      <c r="KRW4304" s="204"/>
      <c r="KRY4304" s="204"/>
      <c r="KRZ4304" s="204"/>
      <c r="KSA4304" s="204"/>
      <c r="KSB4304" s="185" t="s">
        <v>667</v>
      </c>
      <c r="KSC4304" s="205">
        <v>14460</v>
      </c>
      <c r="KSD4304" s="204"/>
      <c r="KSE4304" s="204"/>
      <c r="KSG4304" s="204"/>
      <c r="KSH4304" s="204"/>
      <c r="KSI4304" s="204"/>
      <c r="KSJ4304" s="185" t="s">
        <v>667</v>
      </c>
      <c r="KSK4304" s="205">
        <v>14460</v>
      </c>
      <c r="KSL4304" s="204"/>
      <c r="KSM4304" s="204"/>
      <c r="KSO4304" s="204"/>
      <c r="KSP4304" s="204"/>
      <c r="KSQ4304" s="204"/>
      <c r="KSR4304" s="185" t="s">
        <v>667</v>
      </c>
      <c r="KSS4304" s="205">
        <v>14460</v>
      </c>
      <c r="KST4304" s="204"/>
      <c r="KSU4304" s="204"/>
      <c r="KSW4304" s="204"/>
      <c r="KSX4304" s="204"/>
      <c r="KSY4304" s="204"/>
      <c r="KSZ4304" s="185" t="s">
        <v>667</v>
      </c>
      <c r="KTA4304" s="205">
        <v>14460</v>
      </c>
      <c r="KTB4304" s="204"/>
      <c r="KTC4304" s="204"/>
      <c r="KTE4304" s="204"/>
      <c r="KTF4304" s="204"/>
      <c r="KTG4304" s="204"/>
      <c r="KTH4304" s="185" t="s">
        <v>667</v>
      </c>
      <c r="KTI4304" s="205">
        <v>14460</v>
      </c>
      <c r="KTJ4304" s="204"/>
      <c r="KTK4304" s="204"/>
      <c r="KTM4304" s="204"/>
      <c r="KTN4304" s="204"/>
      <c r="KTO4304" s="204"/>
      <c r="KTP4304" s="185" t="s">
        <v>667</v>
      </c>
      <c r="KTQ4304" s="205">
        <v>14460</v>
      </c>
      <c r="KTR4304" s="204"/>
      <c r="KTS4304" s="204"/>
      <c r="KTU4304" s="204"/>
      <c r="KTV4304" s="204"/>
      <c r="KTW4304" s="204"/>
      <c r="KTX4304" s="185" t="s">
        <v>667</v>
      </c>
      <c r="KTY4304" s="205">
        <v>14460</v>
      </c>
      <c r="KTZ4304" s="204"/>
      <c r="KUA4304" s="204"/>
      <c r="KUC4304" s="204"/>
      <c r="KUD4304" s="204"/>
      <c r="KUE4304" s="204"/>
      <c r="KUF4304" s="185" t="s">
        <v>667</v>
      </c>
      <c r="KUG4304" s="205">
        <v>14460</v>
      </c>
      <c r="KUH4304" s="204"/>
      <c r="KUI4304" s="204"/>
      <c r="KUK4304" s="204"/>
      <c r="KUL4304" s="204"/>
      <c r="KUM4304" s="204"/>
      <c r="KUN4304" s="185" t="s">
        <v>667</v>
      </c>
      <c r="KUO4304" s="205">
        <v>14460</v>
      </c>
      <c r="KUP4304" s="204"/>
      <c r="KUQ4304" s="204"/>
      <c r="KUS4304" s="204"/>
      <c r="KUT4304" s="204"/>
      <c r="KUU4304" s="204"/>
      <c r="KUV4304" s="185" t="s">
        <v>667</v>
      </c>
      <c r="KUW4304" s="205">
        <v>14460</v>
      </c>
      <c r="KUX4304" s="204"/>
      <c r="KUY4304" s="204"/>
      <c r="KVA4304" s="204"/>
      <c r="KVB4304" s="204"/>
      <c r="KVC4304" s="204"/>
      <c r="KVD4304" s="185" t="s">
        <v>667</v>
      </c>
      <c r="KVE4304" s="205">
        <v>14460</v>
      </c>
      <c r="KVF4304" s="204"/>
      <c r="KVG4304" s="204"/>
      <c r="KVI4304" s="204"/>
      <c r="KVJ4304" s="204"/>
      <c r="KVK4304" s="204"/>
      <c r="KVL4304" s="185" t="s">
        <v>667</v>
      </c>
      <c r="KVM4304" s="205">
        <v>14460</v>
      </c>
      <c r="KVN4304" s="204"/>
      <c r="KVO4304" s="204"/>
      <c r="KVQ4304" s="204"/>
      <c r="KVR4304" s="204"/>
      <c r="KVS4304" s="204"/>
      <c r="KVT4304" s="185" t="s">
        <v>667</v>
      </c>
      <c r="KVU4304" s="205">
        <v>14460</v>
      </c>
      <c r="KVV4304" s="204"/>
      <c r="KVW4304" s="204"/>
      <c r="KVY4304" s="204"/>
      <c r="KVZ4304" s="204"/>
      <c r="KWA4304" s="204"/>
      <c r="KWB4304" s="185" t="s">
        <v>667</v>
      </c>
      <c r="KWC4304" s="205">
        <v>14460</v>
      </c>
      <c r="KWD4304" s="204"/>
      <c r="KWE4304" s="204"/>
      <c r="KWG4304" s="204"/>
      <c r="KWH4304" s="204"/>
      <c r="KWI4304" s="204"/>
      <c r="KWJ4304" s="185" t="s">
        <v>667</v>
      </c>
      <c r="KWK4304" s="205">
        <v>14460</v>
      </c>
      <c r="KWL4304" s="204"/>
      <c r="KWM4304" s="204"/>
      <c r="KWO4304" s="204"/>
      <c r="KWP4304" s="204"/>
      <c r="KWQ4304" s="204"/>
      <c r="KWR4304" s="185" t="s">
        <v>667</v>
      </c>
      <c r="KWS4304" s="205">
        <v>14460</v>
      </c>
      <c r="KWT4304" s="204"/>
      <c r="KWU4304" s="204"/>
      <c r="KWW4304" s="204"/>
      <c r="KWX4304" s="204"/>
      <c r="KWY4304" s="204"/>
      <c r="KWZ4304" s="185" t="s">
        <v>667</v>
      </c>
      <c r="KXA4304" s="205">
        <v>14460</v>
      </c>
      <c r="KXB4304" s="204"/>
      <c r="KXC4304" s="204"/>
      <c r="KXE4304" s="204"/>
      <c r="KXF4304" s="204"/>
      <c r="KXG4304" s="204"/>
      <c r="KXH4304" s="185" t="s">
        <v>667</v>
      </c>
      <c r="KXI4304" s="205">
        <v>14460</v>
      </c>
      <c r="KXJ4304" s="204"/>
      <c r="KXK4304" s="204"/>
      <c r="KXM4304" s="204"/>
      <c r="KXN4304" s="204"/>
      <c r="KXO4304" s="204"/>
      <c r="KXP4304" s="185" t="s">
        <v>667</v>
      </c>
      <c r="KXQ4304" s="205">
        <v>14460</v>
      </c>
      <c r="KXR4304" s="204"/>
      <c r="KXS4304" s="204"/>
      <c r="KXU4304" s="204"/>
      <c r="KXV4304" s="204"/>
      <c r="KXW4304" s="204"/>
      <c r="KXX4304" s="185" t="s">
        <v>667</v>
      </c>
      <c r="KXY4304" s="205">
        <v>14460</v>
      </c>
      <c r="KXZ4304" s="204"/>
      <c r="KYA4304" s="204"/>
      <c r="KYC4304" s="204"/>
      <c r="KYD4304" s="204"/>
      <c r="KYE4304" s="204"/>
      <c r="KYF4304" s="185" t="s">
        <v>667</v>
      </c>
      <c r="KYG4304" s="205">
        <v>14460</v>
      </c>
      <c r="KYH4304" s="204"/>
      <c r="KYI4304" s="204"/>
      <c r="KYK4304" s="204"/>
      <c r="KYL4304" s="204"/>
      <c r="KYM4304" s="204"/>
      <c r="KYN4304" s="185" t="s">
        <v>667</v>
      </c>
      <c r="KYO4304" s="205">
        <v>14460</v>
      </c>
      <c r="KYP4304" s="204"/>
      <c r="KYQ4304" s="204"/>
      <c r="KYS4304" s="204"/>
      <c r="KYT4304" s="204"/>
      <c r="KYU4304" s="204"/>
      <c r="KYV4304" s="185" t="s">
        <v>667</v>
      </c>
      <c r="KYW4304" s="205">
        <v>14460</v>
      </c>
      <c r="KYX4304" s="204"/>
      <c r="KYY4304" s="204"/>
      <c r="KZA4304" s="204"/>
      <c r="KZB4304" s="204"/>
      <c r="KZC4304" s="204"/>
      <c r="KZD4304" s="185" t="s">
        <v>667</v>
      </c>
      <c r="KZE4304" s="205">
        <v>14460</v>
      </c>
      <c r="KZF4304" s="204"/>
      <c r="KZG4304" s="204"/>
      <c r="KZI4304" s="204"/>
      <c r="KZJ4304" s="204"/>
      <c r="KZK4304" s="204"/>
      <c r="KZL4304" s="185" t="s">
        <v>667</v>
      </c>
      <c r="KZM4304" s="205">
        <v>14460</v>
      </c>
      <c r="KZN4304" s="204"/>
      <c r="KZO4304" s="204"/>
      <c r="KZQ4304" s="204"/>
      <c r="KZR4304" s="204"/>
      <c r="KZS4304" s="204"/>
      <c r="KZT4304" s="185" t="s">
        <v>667</v>
      </c>
      <c r="KZU4304" s="205">
        <v>14460</v>
      </c>
      <c r="KZV4304" s="204"/>
      <c r="KZW4304" s="204"/>
      <c r="KZY4304" s="204"/>
      <c r="KZZ4304" s="204"/>
      <c r="LAA4304" s="204"/>
      <c r="LAB4304" s="185" t="s">
        <v>667</v>
      </c>
      <c r="LAC4304" s="205">
        <v>14460</v>
      </c>
      <c r="LAD4304" s="204"/>
      <c r="LAE4304" s="204"/>
      <c r="LAG4304" s="204"/>
      <c r="LAH4304" s="204"/>
      <c r="LAI4304" s="204"/>
      <c r="LAJ4304" s="185" t="s">
        <v>667</v>
      </c>
      <c r="LAK4304" s="205">
        <v>14460</v>
      </c>
      <c r="LAL4304" s="204"/>
      <c r="LAM4304" s="204"/>
      <c r="LAO4304" s="204"/>
      <c r="LAP4304" s="204"/>
      <c r="LAQ4304" s="204"/>
      <c r="LAR4304" s="185" t="s">
        <v>667</v>
      </c>
      <c r="LAS4304" s="205">
        <v>14460</v>
      </c>
      <c r="LAT4304" s="204"/>
      <c r="LAU4304" s="204"/>
      <c r="LAW4304" s="204"/>
      <c r="LAX4304" s="204"/>
      <c r="LAY4304" s="204"/>
      <c r="LAZ4304" s="185" t="s">
        <v>667</v>
      </c>
      <c r="LBA4304" s="205">
        <v>14460</v>
      </c>
      <c r="LBB4304" s="204"/>
      <c r="LBC4304" s="204"/>
      <c r="LBE4304" s="204"/>
      <c r="LBF4304" s="204"/>
      <c r="LBG4304" s="204"/>
      <c r="LBH4304" s="185" t="s">
        <v>667</v>
      </c>
      <c r="LBI4304" s="205">
        <v>14460</v>
      </c>
      <c r="LBJ4304" s="204"/>
      <c r="LBK4304" s="204"/>
      <c r="LBM4304" s="204"/>
      <c r="LBN4304" s="204"/>
      <c r="LBO4304" s="204"/>
      <c r="LBP4304" s="185" t="s">
        <v>667</v>
      </c>
      <c r="LBQ4304" s="205">
        <v>14460</v>
      </c>
      <c r="LBR4304" s="204"/>
      <c r="LBS4304" s="204"/>
      <c r="LBU4304" s="204"/>
      <c r="LBV4304" s="204"/>
      <c r="LBW4304" s="204"/>
      <c r="LBX4304" s="185" t="s">
        <v>667</v>
      </c>
      <c r="LBY4304" s="205">
        <v>14460</v>
      </c>
      <c r="LBZ4304" s="204"/>
      <c r="LCA4304" s="204"/>
      <c r="LCC4304" s="204"/>
      <c r="LCD4304" s="204"/>
      <c r="LCE4304" s="204"/>
      <c r="LCF4304" s="185" t="s">
        <v>667</v>
      </c>
      <c r="LCG4304" s="205">
        <v>14460</v>
      </c>
      <c r="LCH4304" s="204"/>
      <c r="LCI4304" s="204"/>
      <c r="LCK4304" s="204"/>
      <c r="LCL4304" s="204"/>
      <c r="LCM4304" s="204"/>
      <c r="LCN4304" s="185" t="s">
        <v>667</v>
      </c>
      <c r="LCO4304" s="205">
        <v>14460</v>
      </c>
      <c r="LCP4304" s="204"/>
      <c r="LCQ4304" s="204"/>
      <c r="LCS4304" s="204"/>
      <c r="LCT4304" s="204"/>
      <c r="LCU4304" s="204"/>
      <c r="LCV4304" s="185" t="s">
        <v>667</v>
      </c>
      <c r="LCW4304" s="205">
        <v>14460</v>
      </c>
      <c r="LCX4304" s="204"/>
      <c r="LCY4304" s="204"/>
      <c r="LDA4304" s="204"/>
      <c r="LDB4304" s="204"/>
      <c r="LDC4304" s="204"/>
      <c r="LDD4304" s="185" t="s">
        <v>667</v>
      </c>
      <c r="LDE4304" s="205">
        <v>14460</v>
      </c>
      <c r="LDF4304" s="204"/>
      <c r="LDG4304" s="204"/>
      <c r="LDI4304" s="204"/>
      <c r="LDJ4304" s="204"/>
      <c r="LDK4304" s="204"/>
      <c r="LDL4304" s="185" t="s">
        <v>667</v>
      </c>
      <c r="LDM4304" s="205">
        <v>14460</v>
      </c>
      <c r="LDN4304" s="204"/>
      <c r="LDO4304" s="204"/>
      <c r="LDQ4304" s="204"/>
      <c r="LDR4304" s="204"/>
      <c r="LDS4304" s="204"/>
      <c r="LDT4304" s="185" t="s">
        <v>667</v>
      </c>
      <c r="LDU4304" s="205">
        <v>14460</v>
      </c>
      <c r="LDV4304" s="204"/>
      <c r="LDW4304" s="204"/>
      <c r="LDY4304" s="204"/>
      <c r="LDZ4304" s="204"/>
      <c r="LEA4304" s="204"/>
      <c r="LEB4304" s="185" t="s">
        <v>667</v>
      </c>
      <c r="LEC4304" s="205">
        <v>14460</v>
      </c>
      <c r="LED4304" s="204"/>
      <c r="LEE4304" s="204"/>
      <c r="LEG4304" s="204"/>
      <c r="LEH4304" s="204"/>
      <c r="LEI4304" s="204"/>
      <c r="LEJ4304" s="185" t="s">
        <v>667</v>
      </c>
      <c r="LEK4304" s="205">
        <v>14460</v>
      </c>
      <c r="LEL4304" s="204"/>
      <c r="LEM4304" s="204"/>
      <c r="LEO4304" s="204"/>
      <c r="LEP4304" s="204"/>
      <c r="LEQ4304" s="204"/>
      <c r="LER4304" s="185" t="s">
        <v>667</v>
      </c>
      <c r="LES4304" s="205">
        <v>14460</v>
      </c>
      <c r="LET4304" s="204"/>
      <c r="LEU4304" s="204"/>
      <c r="LEW4304" s="204"/>
      <c r="LEX4304" s="204"/>
      <c r="LEY4304" s="204"/>
      <c r="LEZ4304" s="185" t="s">
        <v>667</v>
      </c>
      <c r="LFA4304" s="205">
        <v>14460</v>
      </c>
      <c r="LFB4304" s="204"/>
      <c r="LFC4304" s="204"/>
      <c r="LFE4304" s="204"/>
      <c r="LFF4304" s="204"/>
      <c r="LFG4304" s="204"/>
      <c r="LFH4304" s="185" t="s">
        <v>667</v>
      </c>
      <c r="LFI4304" s="205">
        <v>14460</v>
      </c>
      <c r="LFJ4304" s="204"/>
      <c r="LFK4304" s="204"/>
      <c r="LFM4304" s="204"/>
      <c r="LFN4304" s="204"/>
      <c r="LFO4304" s="204"/>
      <c r="LFP4304" s="185" t="s">
        <v>667</v>
      </c>
      <c r="LFQ4304" s="205">
        <v>14460</v>
      </c>
      <c r="LFR4304" s="204"/>
      <c r="LFS4304" s="204"/>
      <c r="LFU4304" s="204"/>
      <c r="LFV4304" s="204"/>
      <c r="LFW4304" s="204"/>
      <c r="LFX4304" s="185" t="s">
        <v>667</v>
      </c>
      <c r="LFY4304" s="205">
        <v>14460</v>
      </c>
      <c r="LFZ4304" s="204"/>
      <c r="LGA4304" s="204"/>
      <c r="LGC4304" s="204"/>
      <c r="LGD4304" s="204"/>
      <c r="LGE4304" s="204"/>
      <c r="LGF4304" s="185" t="s">
        <v>667</v>
      </c>
      <c r="LGG4304" s="205">
        <v>14460</v>
      </c>
      <c r="LGH4304" s="204"/>
      <c r="LGI4304" s="204"/>
      <c r="LGK4304" s="204"/>
      <c r="LGL4304" s="204"/>
      <c r="LGM4304" s="204"/>
      <c r="LGN4304" s="185" t="s">
        <v>667</v>
      </c>
      <c r="LGO4304" s="205">
        <v>14460</v>
      </c>
      <c r="LGP4304" s="204"/>
      <c r="LGQ4304" s="204"/>
      <c r="LGS4304" s="204"/>
      <c r="LGT4304" s="204"/>
      <c r="LGU4304" s="204"/>
      <c r="LGV4304" s="185" t="s">
        <v>667</v>
      </c>
      <c r="LGW4304" s="205">
        <v>14460</v>
      </c>
      <c r="LGX4304" s="204"/>
      <c r="LGY4304" s="204"/>
      <c r="LHA4304" s="204"/>
      <c r="LHB4304" s="204"/>
      <c r="LHC4304" s="204"/>
      <c r="LHD4304" s="185" t="s">
        <v>667</v>
      </c>
      <c r="LHE4304" s="205">
        <v>14460</v>
      </c>
      <c r="LHF4304" s="204"/>
      <c r="LHG4304" s="204"/>
      <c r="LHI4304" s="204"/>
      <c r="LHJ4304" s="204"/>
      <c r="LHK4304" s="204"/>
      <c r="LHL4304" s="185" t="s">
        <v>667</v>
      </c>
      <c r="LHM4304" s="205">
        <v>14460</v>
      </c>
      <c r="LHN4304" s="204"/>
      <c r="LHO4304" s="204"/>
      <c r="LHQ4304" s="204"/>
      <c r="LHR4304" s="204"/>
      <c r="LHS4304" s="204"/>
      <c r="LHT4304" s="185" t="s">
        <v>667</v>
      </c>
      <c r="LHU4304" s="205">
        <v>14460</v>
      </c>
      <c r="LHV4304" s="204"/>
      <c r="LHW4304" s="204"/>
      <c r="LHY4304" s="204"/>
      <c r="LHZ4304" s="204"/>
      <c r="LIA4304" s="204"/>
      <c r="LIB4304" s="185" t="s">
        <v>667</v>
      </c>
      <c r="LIC4304" s="205">
        <v>14460</v>
      </c>
      <c r="LID4304" s="204"/>
      <c r="LIE4304" s="204"/>
      <c r="LIG4304" s="204"/>
      <c r="LIH4304" s="204"/>
      <c r="LII4304" s="204"/>
      <c r="LIJ4304" s="185" t="s">
        <v>667</v>
      </c>
      <c r="LIK4304" s="205">
        <v>14460</v>
      </c>
      <c r="LIL4304" s="204"/>
      <c r="LIM4304" s="204"/>
      <c r="LIO4304" s="204"/>
      <c r="LIP4304" s="204"/>
      <c r="LIQ4304" s="204"/>
      <c r="LIR4304" s="185" t="s">
        <v>667</v>
      </c>
      <c r="LIS4304" s="205">
        <v>14460</v>
      </c>
      <c r="LIT4304" s="204"/>
      <c r="LIU4304" s="204"/>
      <c r="LIW4304" s="204"/>
      <c r="LIX4304" s="204"/>
      <c r="LIY4304" s="204"/>
      <c r="LIZ4304" s="185" t="s">
        <v>667</v>
      </c>
      <c r="LJA4304" s="205">
        <v>14460</v>
      </c>
      <c r="LJB4304" s="204"/>
      <c r="LJC4304" s="204"/>
      <c r="LJE4304" s="204"/>
      <c r="LJF4304" s="204"/>
      <c r="LJG4304" s="204"/>
      <c r="LJH4304" s="185" t="s">
        <v>667</v>
      </c>
      <c r="LJI4304" s="205">
        <v>14460</v>
      </c>
      <c r="LJJ4304" s="204"/>
      <c r="LJK4304" s="204"/>
      <c r="LJM4304" s="204"/>
      <c r="LJN4304" s="204"/>
      <c r="LJO4304" s="204"/>
      <c r="LJP4304" s="185" t="s">
        <v>667</v>
      </c>
      <c r="LJQ4304" s="205">
        <v>14460</v>
      </c>
      <c r="LJR4304" s="204"/>
      <c r="LJS4304" s="204"/>
      <c r="LJU4304" s="204"/>
      <c r="LJV4304" s="204"/>
      <c r="LJW4304" s="204"/>
      <c r="LJX4304" s="185" t="s">
        <v>667</v>
      </c>
      <c r="LJY4304" s="205">
        <v>14460</v>
      </c>
      <c r="LJZ4304" s="204"/>
      <c r="LKA4304" s="204"/>
      <c r="LKC4304" s="204"/>
      <c r="LKD4304" s="204"/>
      <c r="LKE4304" s="204"/>
      <c r="LKF4304" s="185" t="s">
        <v>667</v>
      </c>
      <c r="LKG4304" s="205">
        <v>14460</v>
      </c>
      <c r="LKH4304" s="204"/>
      <c r="LKI4304" s="204"/>
      <c r="LKK4304" s="204"/>
      <c r="LKL4304" s="204"/>
      <c r="LKM4304" s="204"/>
      <c r="LKN4304" s="185" t="s">
        <v>667</v>
      </c>
      <c r="LKO4304" s="205">
        <v>14460</v>
      </c>
      <c r="LKP4304" s="204"/>
      <c r="LKQ4304" s="204"/>
      <c r="LKS4304" s="204"/>
      <c r="LKT4304" s="204"/>
      <c r="LKU4304" s="204"/>
      <c r="LKV4304" s="185" t="s">
        <v>667</v>
      </c>
      <c r="LKW4304" s="205">
        <v>14460</v>
      </c>
      <c r="LKX4304" s="204"/>
      <c r="LKY4304" s="204"/>
      <c r="LLA4304" s="204"/>
      <c r="LLB4304" s="204"/>
      <c r="LLC4304" s="204"/>
      <c r="LLD4304" s="185" t="s">
        <v>667</v>
      </c>
      <c r="LLE4304" s="205">
        <v>14460</v>
      </c>
      <c r="LLF4304" s="204"/>
      <c r="LLG4304" s="204"/>
      <c r="LLI4304" s="204"/>
      <c r="LLJ4304" s="204"/>
      <c r="LLK4304" s="204"/>
      <c r="LLL4304" s="185" t="s">
        <v>667</v>
      </c>
      <c r="LLM4304" s="205">
        <v>14460</v>
      </c>
      <c r="LLN4304" s="204"/>
      <c r="LLO4304" s="204"/>
      <c r="LLQ4304" s="204"/>
      <c r="LLR4304" s="204"/>
      <c r="LLS4304" s="204"/>
      <c r="LLT4304" s="185" t="s">
        <v>667</v>
      </c>
      <c r="LLU4304" s="205">
        <v>14460</v>
      </c>
      <c r="LLV4304" s="204"/>
      <c r="LLW4304" s="204"/>
      <c r="LLY4304" s="204"/>
      <c r="LLZ4304" s="204"/>
      <c r="LMA4304" s="204"/>
      <c r="LMB4304" s="185" t="s">
        <v>667</v>
      </c>
      <c r="LMC4304" s="205">
        <v>14460</v>
      </c>
      <c r="LMD4304" s="204"/>
      <c r="LME4304" s="204"/>
      <c r="LMG4304" s="204"/>
      <c r="LMH4304" s="204"/>
      <c r="LMI4304" s="204"/>
      <c r="LMJ4304" s="185" t="s">
        <v>667</v>
      </c>
      <c r="LMK4304" s="205">
        <v>14460</v>
      </c>
      <c r="LML4304" s="204"/>
      <c r="LMM4304" s="204"/>
      <c r="LMO4304" s="204"/>
      <c r="LMP4304" s="204"/>
      <c r="LMQ4304" s="204"/>
      <c r="LMR4304" s="185" t="s">
        <v>667</v>
      </c>
      <c r="LMS4304" s="205">
        <v>14460</v>
      </c>
      <c r="LMT4304" s="204"/>
      <c r="LMU4304" s="204"/>
      <c r="LMW4304" s="204"/>
      <c r="LMX4304" s="204"/>
      <c r="LMY4304" s="204"/>
      <c r="LMZ4304" s="185" t="s">
        <v>667</v>
      </c>
      <c r="LNA4304" s="205">
        <v>14460</v>
      </c>
      <c r="LNB4304" s="204"/>
      <c r="LNC4304" s="204"/>
      <c r="LNE4304" s="204"/>
      <c r="LNF4304" s="204"/>
      <c r="LNG4304" s="204"/>
      <c r="LNH4304" s="185" t="s">
        <v>667</v>
      </c>
      <c r="LNI4304" s="205">
        <v>14460</v>
      </c>
      <c r="LNJ4304" s="204"/>
      <c r="LNK4304" s="204"/>
      <c r="LNM4304" s="204"/>
      <c r="LNN4304" s="204"/>
      <c r="LNO4304" s="204"/>
      <c r="LNP4304" s="185" t="s">
        <v>667</v>
      </c>
      <c r="LNQ4304" s="205">
        <v>14460</v>
      </c>
      <c r="LNR4304" s="204"/>
      <c r="LNS4304" s="204"/>
      <c r="LNU4304" s="204"/>
      <c r="LNV4304" s="204"/>
      <c r="LNW4304" s="204"/>
      <c r="LNX4304" s="185" t="s">
        <v>667</v>
      </c>
      <c r="LNY4304" s="205">
        <v>14460</v>
      </c>
      <c r="LNZ4304" s="204"/>
      <c r="LOA4304" s="204"/>
      <c r="LOC4304" s="204"/>
      <c r="LOD4304" s="204"/>
      <c r="LOE4304" s="204"/>
      <c r="LOF4304" s="185" t="s">
        <v>667</v>
      </c>
      <c r="LOG4304" s="205">
        <v>14460</v>
      </c>
      <c r="LOH4304" s="204"/>
      <c r="LOI4304" s="204"/>
      <c r="LOK4304" s="204"/>
      <c r="LOL4304" s="204"/>
      <c r="LOM4304" s="204"/>
      <c r="LON4304" s="185" t="s">
        <v>667</v>
      </c>
      <c r="LOO4304" s="205">
        <v>14460</v>
      </c>
      <c r="LOP4304" s="204"/>
      <c r="LOQ4304" s="204"/>
      <c r="LOS4304" s="204"/>
      <c r="LOT4304" s="204"/>
      <c r="LOU4304" s="204"/>
      <c r="LOV4304" s="185" t="s">
        <v>667</v>
      </c>
      <c r="LOW4304" s="205">
        <v>14460</v>
      </c>
      <c r="LOX4304" s="204"/>
      <c r="LOY4304" s="204"/>
      <c r="LPA4304" s="204"/>
      <c r="LPB4304" s="204"/>
      <c r="LPC4304" s="204"/>
      <c r="LPD4304" s="185" t="s">
        <v>667</v>
      </c>
      <c r="LPE4304" s="205">
        <v>14460</v>
      </c>
      <c r="LPF4304" s="204"/>
      <c r="LPG4304" s="204"/>
      <c r="LPI4304" s="204"/>
      <c r="LPJ4304" s="204"/>
      <c r="LPK4304" s="204"/>
      <c r="LPL4304" s="185" t="s">
        <v>667</v>
      </c>
      <c r="LPM4304" s="205">
        <v>14460</v>
      </c>
      <c r="LPN4304" s="204"/>
      <c r="LPO4304" s="204"/>
      <c r="LPQ4304" s="204"/>
      <c r="LPR4304" s="204"/>
      <c r="LPS4304" s="204"/>
      <c r="LPT4304" s="185" t="s">
        <v>667</v>
      </c>
      <c r="LPU4304" s="205">
        <v>14460</v>
      </c>
      <c r="LPV4304" s="204"/>
      <c r="LPW4304" s="204"/>
      <c r="LPY4304" s="204"/>
      <c r="LPZ4304" s="204"/>
      <c r="LQA4304" s="204"/>
      <c r="LQB4304" s="185" t="s">
        <v>667</v>
      </c>
      <c r="LQC4304" s="205">
        <v>14460</v>
      </c>
      <c r="LQD4304" s="204"/>
      <c r="LQE4304" s="204"/>
      <c r="LQG4304" s="204"/>
      <c r="LQH4304" s="204"/>
      <c r="LQI4304" s="204"/>
      <c r="LQJ4304" s="185" t="s">
        <v>667</v>
      </c>
      <c r="LQK4304" s="205">
        <v>14460</v>
      </c>
      <c r="LQL4304" s="204"/>
      <c r="LQM4304" s="204"/>
      <c r="LQO4304" s="204"/>
      <c r="LQP4304" s="204"/>
      <c r="LQQ4304" s="204"/>
      <c r="LQR4304" s="185" t="s">
        <v>667</v>
      </c>
      <c r="LQS4304" s="205">
        <v>14460</v>
      </c>
      <c r="LQT4304" s="204"/>
      <c r="LQU4304" s="204"/>
      <c r="LQW4304" s="204"/>
      <c r="LQX4304" s="204"/>
      <c r="LQY4304" s="204"/>
      <c r="LQZ4304" s="185" t="s">
        <v>667</v>
      </c>
      <c r="LRA4304" s="205">
        <v>14460</v>
      </c>
      <c r="LRB4304" s="204"/>
      <c r="LRC4304" s="204"/>
      <c r="LRE4304" s="204"/>
      <c r="LRF4304" s="204"/>
      <c r="LRG4304" s="204"/>
      <c r="LRH4304" s="185" t="s">
        <v>667</v>
      </c>
      <c r="LRI4304" s="205">
        <v>14460</v>
      </c>
      <c r="LRJ4304" s="204"/>
      <c r="LRK4304" s="204"/>
      <c r="LRM4304" s="204"/>
      <c r="LRN4304" s="204"/>
      <c r="LRO4304" s="204"/>
      <c r="LRP4304" s="185" t="s">
        <v>667</v>
      </c>
      <c r="LRQ4304" s="205">
        <v>14460</v>
      </c>
      <c r="LRR4304" s="204"/>
      <c r="LRS4304" s="204"/>
      <c r="LRU4304" s="204"/>
      <c r="LRV4304" s="204"/>
      <c r="LRW4304" s="204"/>
      <c r="LRX4304" s="185" t="s">
        <v>667</v>
      </c>
      <c r="LRY4304" s="205">
        <v>14460</v>
      </c>
      <c r="LRZ4304" s="204"/>
      <c r="LSA4304" s="204"/>
      <c r="LSC4304" s="204"/>
      <c r="LSD4304" s="204"/>
      <c r="LSE4304" s="204"/>
      <c r="LSF4304" s="185" t="s">
        <v>667</v>
      </c>
      <c r="LSG4304" s="205">
        <v>14460</v>
      </c>
      <c r="LSH4304" s="204"/>
      <c r="LSI4304" s="204"/>
      <c r="LSK4304" s="204"/>
      <c r="LSL4304" s="204"/>
      <c r="LSM4304" s="204"/>
      <c r="LSN4304" s="185" t="s">
        <v>667</v>
      </c>
      <c r="LSO4304" s="205">
        <v>14460</v>
      </c>
      <c r="LSP4304" s="204"/>
      <c r="LSQ4304" s="204"/>
      <c r="LSS4304" s="204"/>
      <c r="LST4304" s="204"/>
      <c r="LSU4304" s="204"/>
      <c r="LSV4304" s="185" t="s">
        <v>667</v>
      </c>
      <c r="LSW4304" s="205">
        <v>14460</v>
      </c>
      <c r="LSX4304" s="204"/>
      <c r="LSY4304" s="204"/>
      <c r="LTA4304" s="204"/>
      <c r="LTB4304" s="204"/>
      <c r="LTC4304" s="204"/>
      <c r="LTD4304" s="185" t="s">
        <v>667</v>
      </c>
      <c r="LTE4304" s="205">
        <v>14460</v>
      </c>
      <c r="LTF4304" s="204"/>
      <c r="LTG4304" s="204"/>
      <c r="LTI4304" s="204"/>
      <c r="LTJ4304" s="204"/>
      <c r="LTK4304" s="204"/>
      <c r="LTL4304" s="185" t="s">
        <v>667</v>
      </c>
      <c r="LTM4304" s="205">
        <v>14460</v>
      </c>
      <c r="LTN4304" s="204"/>
      <c r="LTO4304" s="204"/>
      <c r="LTQ4304" s="204"/>
      <c r="LTR4304" s="204"/>
      <c r="LTS4304" s="204"/>
      <c r="LTT4304" s="185" t="s">
        <v>667</v>
      </c>
      <c r="LTU4304" s="205">
        <v>14460</v>
      </c>
      <c r="LTV4304" s="204"/>
      <c r="LTW4304" s="204"/>
      <c r="LTY4304" s="204"/>
      <c r="LTZ4304" s="204"/>
      <c r="LUA4304" s="204"/>
      <c r="LUB4304" s="185" t="s">
        <v>667</v>
      </c>
      <c r="LUC4304" s="205">
        <v>14460</v>
      </c>
      <c r="LUD4304" s="204"/>
      <c r="LUE4304" s="204"/>
      <c r="LUG4304" s="204"/>
      <c r="LUH4304" s="204"/>
      <c r="LUI4304" s="204"/>
      <c r="LUJ4304" s="185" t="s">
        <v>667</v>
      </c>
      <c r="LUK4304" s="205">
        <v>14460</v>
      </c>
      <c r="LUL4304" s="204"/>
      <c r="LUM4304" s="204"/>
      <c r="LUO4304" s="204"/>
      <c r="LUP4304" s="204"/>
      <c r="LUQ4304" s="204"/>
      <c r="LUR4304" s="185" t="s">
        <v>667</v>
      </c>
      <c r="LUS4304" s="205">
        <v>14460</v>
      </c>
      <c r="LUT4304" s="204"/>
      <c r="LUU4304" s="204"/>
      <c r="LUW4304" s="204"/>
      <c r="LUX4304" s="204"/>
      <c r="LUY4304" s="204"/>
      <c r="LUZ4304" s="185" t="s">
        <v>667</v>
      </c>
      <c r="LVA4304" s="205">
        <v>14460</v>
      </c>
      <c r="LVB4304" s="204"/>
      <c r="LVC4304" s="204"/>
      <c r="LVE4304" s="204"/>
      <c r="LVF4304" s="204"/>
      <c r="LVG4304" s="204"/>
      <c r="LVH4304" s="185" t="s">
        <v>667</v>
      </c>
      <c r="LVI4304" s="205">
        <v>14460</v>
      </c>
      <c r="LVJ4304" s="204"/>
      <c r="LVK4304" s="204"/>
      <c r="LVM4304" s="204"/>
      <c r="LVN4304" s="204"/>
      <c r="LVO4304" s="204"/>
      <c r="LVP4304" s="185" t="s">
        <v>667</v>
      </c>
      <c r="LVQ4304" s="205">
        <v>14460</v>
      </c>
      <c r="LVR4304" s="204"/>
      <c r="LVS4304" s="204"/>
      <c r="LVU4304" s="204"/>
      <c r="LVV4304" s="204"/>
      <c r="LVW4304" s="204"/>
      <c r="LVX4304" s="185" t="s">
        <v>667</v>
      </c>
      <c r="LVY4304" s="205">
        <v>14460</v>
      </c>
      <c r="LVZ4304" s="204"/>
      <c r="LWA4304" s="204"/>
      <c r="LWC4304" s="204"/>
      <c r="LWD4304" s="204"/>
      <c r="LWE4304" s="204"/>
      <c r="LWF4304" s="185" t="s">
        <v>667</v>
      </c>
      <c r="LWG4304" s="205">
        <v>14460</v>
      </c>
      <c r="LWH4304" s="204"/>
      <c r="LWI4304" s="204"/>
      <c r="LWK4304" s="204"/>
      <c r="LWL4304" s="204"/>
      <c r="LWM4304" s="204"/>
      <c r="LWN4304" s="185" t="s">
        <v>667</v>
      </c>
      <c r="LWO4304" s="205">
        <v>14460</v>
      </c>
      <c r="LWP4304" s="204"/>
      <c r="LWQ4304" s="204"/>
      <c r="LWS4304" s="204"/>
      <c r="LWT4304" s="204"/>
      <c r="LWU4304" s="204"/>
      <c r="LWV4304" s="185" t="s">
        <v>667</v>
      </c>
      <c r="LWW4304" s="205">
        <v>14460</v>
      </c>
      <c r="LWX4304" s="204"/>
      <c r="LWY4304" s="204"/>
      <c r="LXA4304" s="204"/>
      <c r="LXB4304" s="204"/>
      <c r="LXC4304" s="204"/>
      <c r="LXD4304" s="185" t="s">
        <v>667</v>
      </c>
      <c r="LXE4304" s="205">
        <v>14460</v>
      </c>
      <c r="LXF4304" s="204"/>
      <c r="LXG4304" s="204"/>
      <c r="LXI4304" s="204"/>
      <c r="LXJ4304" s="204"/>
      <c r="LXK4304" s="204"/>
      <c r="LXL4304" s="185" t="s">
        <v>667</v>
      </c>
      <c r="LXM4304" s="205">
        <v>14460</v>
      </c>
      <c r="LXN4304" s="204"/>
      <c r="LXO4304" s="204"/>
      <c r="LXQ4304" s="204"/>
      <c r="LXR4304" s="204"/>
      <c r="LXS4304" s="204"/>
      <c r="LXT4304" s="185" t="s">
        <v>667</v>
      </c>
      <c r="LXU4304" s="205">
        <v>14460</v>
      </c>
      <c r="LXV4304" s="204"/>
      <c r="LXW4304" s="204"/>
      <c r="LXY4304" s="204"/>
      <c r="LXZ4304" s="204"/>
      <c r="LYA4304" s="204"/>
      <c r="LYB4304" s="185" t="s">
        <v>667</v>
      </c>
      <c r="LYC4304" s="205">
        <v>14460</v>
      </c>
      <c r="LYD4304" s="204"/>
      <c r="LYE4304" s="204"/>
      <c r="LYG4304" s="204"/>
      <c r="LYH4304" s="204"/>
      <c r="LYI4304" s="204"/>
      <c r="LYJ4304" s="185" t="s">
        <v>667</v>
      </c>
      <c r="LYK4304" s="205">
        <v>14460</v>
      </c>
      <c r="LYL4304" s="204"/>
      <c r="LYM4304" s="204"/>
      <c r="LYO4304" s="204"/>
      <c r="LYP4304" s="204"/>
      <c r="LYQ4304" s="204"/>
      <c r="LYR4304" s="185" t="s">
        <v>667</v>
      </c>
      <c r="LYS4304" s="205">
        <v>14460</v>
      </c>
      <c r="LYT4304" s="204"/>
      <c r="LYU4304" s="204"/>
      <c r="LYW4304" s="204"/>
      <c r="LYX4304" s="204"/>
      <c r="LYY4304" s="204"/>
      <c r="LYZ4304" s="185" t="s">
        <v>667</v>
      </c>
      <c r="LZA4304" s="205">
        <v>14460</v>
      </c>
      <c r="LZB4304" s="204"/>
      <c r="LZC4304" s="204"/>
      <c r="LZE4304" s="204"/>
      <c r="LZF4304" s="204"/>
      <c r="LZG4304" s="204"/>
      <c r="LZH4304" s="185" t="s">
        <v>667</v>
      </c>
      <c r="LZI4304" s="205">
        <v>14460</v>
      </c>
      <c r="LZJ4304" s="204"/>
      <c r="LZK4304" s="204"/>
      <c r="LZM4304" s="204"/>
      <c r="LZN4304" s="204"/>
      <c r="LZO4304" s="204"/>
      <c r="LZP4304" s="185" t="s">
        <v>667</v>
      </c>
      <c r="LZQ4304" s="205">
        <v>14460</v>
      </c>
      <c r="LZR4304" s="204"/>
      <c r="LZS4304" s="204"/>
      <c r="LZU4304" s="204"/>
      <c r="LZV4304" s="204"/>
      <c r="LZW4304" s="204"/>
      <c r="LZX4304" s="185" t="s">
        <v>667</v>
      </c>
      <c r="LZY4304" s="205">
        <v>14460</v>
      </c>
      <c r="LZZ4304" s="204"/>
      <c r="MAA4304" s="204"/>
      <c r="MAC4304" s="204"/>
      <c r="MAD4304" s="204"/>
      <c r="MAE4304" s="204"/>
      <c r="MAF4304" s="185" t="s">
        <v>667</v>
      </c>
      <c r="MAG4304" s="205">
        <v>14460</v>
      </c>
      <c r="MAH4304" s="204"/>
      <c r="MAI4304" s="204"/>
      <c r="MAK4304" s="204"/>
      <c r="MAL4304" s="204"/>
      <c r="MAM4304" s="204"/>
      <c r="MAN4304" s="185" t="s">
        <v>667</v>
      </c>
      <c r="MAO4304" s="205">
        <v>14460</v>
      </c>
      <c r="MAP4304" s="204"/>
      <c r="MAQ4304" s="204"/>
      <c r="MAS4304" s="204"/>
      <c r="MAT4304" s="204"/>
      <c r="MAU4304" s="204"/>
      <c r="MAV4304" s="185" t="s">
        <v>667</v>
      </c>
      <c r="MAW4304" s="205">
        <v>14460</v>
      </c>
      <c r="MAX4304" s="204"/>
      <c r="MAY4304" s="204"/>
      <c r="MBA4304" s="204"/>
      <c r="MBB4304" s="204"/>
      <c r="MBC4304" s="204"/>
      <c r="MBD4304" s="185" t="s">
        <v>667</v>
      </c>
      <c r="MBE4304" s="205">
        <v>14460</v>
      </c>
      <c r="MBF4304" s="204"/>
      <c r="MBG4304" s="204"/>
      <c r="MBI4304" s="204"/>
      <c r="MBJ4304" s="204"/>
      <c r="MBK4304" s="204"/>
      <c r="MBL4304" s="185" t="s">
        <v>667</v>
      </c>
      <c r="MBM4304" s="205">
        <v>14460</v>
      </c>
      <c r="MBN4304" s="204"/>
      <c r="MBO4304" s="204"/>
      <c r="MBQ4304" s="204"/>
      <c r="MBR4304" s="204"/>
      <c r="MBS4304" s="204"/>
      <c r="MBT4304" s="185" t="s">
        <v>667</v>
      </c>
      <c r="MBU4304" s="205">
        <v>14460</v>
      </c>
      <c r="MBV4304" s="204"/>
      <c r="MBW4304" s="204"/>
      <c r="MBY4304" s="204"/>
      <c r="MBZ4304" s="204"/>
      <c r="MCA4304" s="204"/>
      <c r="MCB4304" s="185" t="s">
        <v>667</v>
      </c>
      <c r="MCC4304" s="205">
        <v>14460</v>
      </c>
      <c r="MCD4304" s="204"/>
      <c r="MCE4304" s="204"/>
      <c r="MCG4304" s="204"/>
      <c r="MCH4304" s="204"/>
      <c r="MCI4304" s="204"/>
      <c r="MCJ4304" s="185" t="s">
        <v>667</v>
      </c>
      <c r="MCK4304" s="205">
        <v>14460</v>
      </c>
      <c r="MCL4304" s="204"/>
      <c r="MCM4304" s="204"/>
      <c r="MCO4304" s="204"/>
      <c r="MCP4304" s="204"/>
      <c r="MCQ4304" s="204"/>
      <c r="MCR4304" s="185" t="s">
        <v>667</v>
      </c>
      <c r="MCS4304" s="205">
        <v>14460</v>
      </c>
      <c r="MCT4304" s="204"/>
      <c r="MCU4304" s="204"/>
      <c r="MCW4304" s="204"/>
      <c r="MCX4304" s="204"/>
      <c r="MCY4304" s="204"/>
      <c r="MCZ4304" s="185" t="s">
        <v>667</v>
      </c>
      <c r="MDA4304" s="205">
        <v>14460</v>
      </c>
      <c r="MDB4304" s="204"/>
      <c r="MDC4304" s="204"/>
      <c r="MDE4304" s="204"/>
      <c r="MDF4304" s="204"/>
      <c r="MDG4304" s="204"/>
      <c r="MDH4304" s="185" t="s">
        <v>667</v>
      </c>
      <c r="MDI4304" s="205">
        <v>14460</v>
      </c>
      <c r="MDJ4304" s="204"/>
      <c r="MDK4304" s="204"/>
      <c r="MDM4304" s="204"/>
      <c r="MDN4304" s="204"/>
      <c r="MDO4304" s="204"/>
      <c r="MDP4304" s="185" t="s">
        <v>667</v>
      </c>
      <c r="MDQ4304" s="205">
        <v>14460</v>
      </c>
      <c r="MDR4304" s="204"/>
      <c r="MDS4304" s="204"/>
      <c r="MDU4304" s="204"/>
      <c r="MDV4304" s="204"/>
      <c r="MDW4304" s="204"/>
      <c r="MDX4304" s="185" t="s">
        <v>667</v>
      </c>
      <c r="MDY4304" s="205">
        <v>14460</v>
      </c>
      <c r="MDZ4304" s="204"/>
      <c r="MEA4304" s="204"/>
      <c r="MEC4304" s="204"/>
      <c r="MED4304" s="204"/>
      <c r="MEE4304" s="204"/>
      <c r="MEF4304" s="185" t="s">
        <v>667</v>
      </c>
      <c r="MEG4304" s="205">
        <v>14460</v>
      </c>
      <c r="MEH4304" s="204"/>
      <c r="MEI4304" s="204"/>
      <c r="MEK4304" s="204"/>
      <c r="MEL4304" s="204"/>
      <c r="MEM4304" s="204"/>
      <c r="MEN4304" s="185" t="s">
        <v>667</v>
      </c>
      <c r="MEO4304" s="205">
        <v>14460</v>
      </c>
      <c r="MEP4304" s="204"/>
      <c r="MEQ4304" s="204"/>
      <c r="MES4304" s="204"/>
      <c r="MET4304" s="204"/>
      <c r="MEU4304" s="204"/>
      <c r="MEV4304" s="185" t="s">
        <v>667</v>
      </c>
      <c r="MEW4304" s="205">
        <v>14460</v>
      </c>
      <c r="MEX4304" s="204"/>
      <c r="MEY4304" s="204"/>
      <c r="MFA4304" s="204"/>
      <c r="MFB4304" s="204"/>
      <c r="MFC4304" s="204"/>
      <c r="MFD4304" s="185" t="s">
        <v>667</v>
      </c>
      <c r="MFE4304" s="205">
        <v>14460</v>
      </c>
      <c r="MFF4304" s="204"/>
      <c r="MFG4304" s="204"/>
      <c r="MFI4304" s="204"/>
      <c r="MFJ4304" s="204"/>
      <c r="MFK4304" s="204"/>
      <c r="MFL4304" s="185" t="s">
        <v>667</v>
      </c>
      <c r="MFM4304" s="205">
        <v>14460</v>
      </c>
      <c r="MFN4304" s="204"/>
      <c r="MFO4304" s="204"/>
      <c r="MFQ4304" s="204"/>
      <c r="MFR4304" s="204"/>
      <c r="MFS4304" s="204"/>
      <c r="MFT4304" s="185" t="s">
        <v>667</v>
      </c>
      <c r="MFU4304" s="205">
        <v>14460</v>
      </c>
      <c r="MFV4304" s="204"/>
      <c r="MFW4304" s="204"/>
      <c r="MFY4304" s="204"/>
      <c r="MFZ4304" s="204"/>
      <c r="MGA4304" s="204"/>
      <c r="MGB4304" s="185" t="s">
        <v>667</v>
      </c>
      <c r="MGC4304" s="205">
        <v>14460</v>
      </c>
      <c r="MGD4304" s="204"/>
      <c r="MGE4304" s="204"/>
      <c r="MGG4304" s="204"/>
      <c r="MGH4304" s="204"/>
      <c r="MGI4304" s="204"/>
      <c r="MGJ4304" s="185" t="s">
        <v>667</v>
      </c>
      <c r="MGK4304" s="205">
        <v>14460</v>
      </c>
      <c r="MGL4304" s="204"/>
      <c r="MGM4304" s="204"/>
      <c r="MGO4304" s="204"/>
      <c r="MGP4304" s="204"/>
      <c r="MGQ4304" s="204"/>
      <c r="MGR4304" s="185" t="s">
        <v>667</v>
      </c>
      <c r="MGS4304" s="205">
        <v>14460</v>
      </c>
      <c r="MGT4304" s="204"/>
      <c r="MGU4304" s="204"/>
      <c r="MGW4304" s="204"/>
      <c r="MGX4304" s="204"/>
      <c r="MGY4304" s="204"/>
      <c r="MGZ4304" s="185" t="s">
        <v>667</v>
      </c>
      <c r="MHA4304" s="205">
        <v>14460</v>
      </c>
      <c r="MHB4304" s="204"/>
      <c r="MHC4304" s="204"/>
      <c r="MHE4304" s="204"/>
      <c r="MHF4304" s="204"/>
      <c r="MHG4304" s="204"/>
      <c r="MHH4304" s="185" t="s">
        <v>667</v>
      </c>
      <c r="MHI4304" s="205">
        <v>14460</v>
      </c>
      <c r="MHJ4304" s="204"/>
      <c r="MHK4304" s="204"/>
      <c r="MHM4304" s="204"/>
      <c r="MHN4304" s="204"/>
      <c r="MHO4304" s="204"/>
      <c r="MHP4304" s="185" t="s">
        <v>667</v>
      </c>
      <c r="MHQ4304" s="205">
        <v>14460</v>
      </c>
      <c r="MHR4304" s="204"/>
      <c r="MHS4304" s="204"/>
      <c r="MHU4304" s="204"/>
      <c r="MHV4304" s="204"/>
      <c r="MHW4304" s="204"/>
      <c r="MHX4304" s="185" t="s">
        <v>667</v>
      </c>
      <c r="MHY4304" s="205">
        <v>14460</v>
      </c>
      <c r="MHZ4304" s="204"/>
      <c r="MIA4304" s="204"/>
      <c r="MIC4304" s="204"/>
      <c r="MID4304" s="204"/>
      <c r="MIE4304" s="204"/>
      <c r="MIF4304" s="185" t="s">
        <v>667</v>
      </c>
      <c r="MIG4304" s="205">
        <v>14460</v>
      </c>
      <c r="MIH4304" s="204"/>
      <c r="MII4304" s="204"/>
      <c r="MIK4304" s="204"/>
      <c r="MIL4304" s="204"/>
      <c r="MIM4304" s="204"/>
      <c r="MIN4304" s="185" t="s">
        <v>667</v>
      </c>
      <c r="MIO4304" s="205">
        <v>14460</v>
      </c>
      <c r="MIP4304" s="204"/>
      <c r="MIQ4304" s="204"/>
      <c r="MIS4304" s="204"/>
      <c r="MIT4304" s="204"/>
      <c r="MIU4304" s="204"/>
      <c r="MIV4304" s="185" t="s">
        <v>667</v>
      </c>
      <c r="MIW4304" s="205">
        <v>14460</v>
      </c>
      <c r="MIX4304" s="204"/>
      <c r="MIY4304" s="204"/>
      <c r="MJA4304" s="204"/>
      <c r="MJB4304" s="204"/>
      <c r="MJC4304" s="204"/>
      <c r="MJD4304" s="185" t="s">
        <v>667</v>
      </c>
      <c r="MJE4304" s="205">
        <v>14460</v>
      </c>
      <c r="MJF4304" s="204"/>
      <c r="MJG4304" s="204"/>
      <c r="MJI4304" s="204"/>
      <c r="MJJ4304" s="204"/>
      <c r="MJK4304" s="204"/>
      <c r="MJL4304" s="185" t="s">
        <v>667</v>
      </c>
      <c r="MJM4304" s="205">
        <v>14460</v>
      </c>
      <c r="MJN4304" s="204"/>
      <c r="MJO4304" s="204"/>
      <c r="MJQ4304" s="204"/>
      <c r="MJR4304" s="204"/>
      <c r="MJS4304" s="204"/>
      <c r="MJT4304" s="185" t="s">
        <v>667</v>
      </c>
      <c r="MJU4304" s="205">
        <v>14460</v>
      </c>
      <c r="MJV4304" s="204"/>
      <c r="MJW4304" s="204"/>
      <c r="MJY4304" s="204"/>
      <c r="MJZ4304" s="204"/>
      <c r="MKA4304" s="204"/>
      <c r="MKB4304" s="185" t="s">
        <v>667</v>
      </c>
      <c r="MKC4304" s="205">
        <v>14460</v>
      </c>
      <c r="MKD4304" s="204"/>
      <c r="MKE4304" s="204"/>
      <c r="MKG4304" s="204"/>
      <c r="MKH4304" s="204"/>
      <c r="MKI4304" s="204"/>
      <c r="MKJ4304" s="185" t="s">
        <v>667</v>
      </c>
      <c r="MKK4304" s="205">
        <v>14460</v>
      </c>
      <c r="MKL4304" s="204"/>
      <c r="MKM4304" s="204"/>
      <c r="MKO4304" s="204"/>
      <c r="MKP4304" s="204"/>
      <c r="MKQ4304" s="204"/>
      <c r="MKR4304" s="185" t="s">
        <v>667</v>
      </c>
      <c r="MKS4304" s="205">
        <v>14460</v>
      </c>
      <c r="MKT4304" s="204"/>
      <c r="MKU4304" s="204"/>
      <c r="MKW4304" s="204"/>
      <c r="MKX4304" s="204"/>
      <c r="MKY4304" s="204"/>
      <c r="MKZ4304" s="185" t="s">
        <v>667</v>
      </c>
      <c r="MLA4304" s="205">
        <v>14460</v>
      </c>
      <c r="MLB4304" s="204"/>
      <c r="MLC4304" s="204"/>
      <c r="MLE4304" s="204"/>
      <c r="MLF4304" s="204"/>
      <c r="MLG4304" s="204"/>
      <c r="MLH4304" s="185" t="s">
        <v>667</v>
      </c>
      <c r="MLI4304" s="205">
        <v>14460</v>
      </c>
      <c r="MLJ4304" s="204"/>
      <c r="MLK4304" s="204"/>
      <c r="MLM4304" s="204"/>
      <c r="MLN4304" s="204"/>
      <c r="MLO4304" s="204"/>
      <c r="MLP4304" s="185" t="s">
        <v>667</v>
      </c>
      <c r="MLQ4304" s="205">
        <v>14460</v>
      </c>
      <c r="MLR4304" s="204"/>
      <c r="MLS4304" s="204"/>
      <c r="MLU4304" s="204"/>
      <c r="MLV4304" s="204"/>
      <c r="MLW4304" s="204"/>
      <c r="MLX4304" s="185" t="s">
        <v>667</v>
      </c>
      <c r="MLY4304" s="205">
        <v>14460</v>
      </c>
      <c r="MLZ4304" s="204"/>
      <c r="MMA4304" s="204"/>
      <c r="MMC4304" s="204"/>
      <c r="MMD4304" s="204"/>
      <c r="MME4304" s="204"/>
      <c r="MMF4304" s="185" t="s">
        <v>667</v>
      </c>
      <c r="MMG4304" s="205">
        <v>14460</v>
      </c>
      <c r="MMH4304" s="204"/>
      <c r="MMI4304" s="204"/>
      <c r="MMK4304" s="204"/>
      <c r="MML4304" s="204"/>
      <c r="MMM4304" s="204"/>
      <c r="MMN4304" s="185" t="s">
        <v>667</v>
      </c>
      <c r="MMO4304" s="205">
        <v>14460</v>
      </c>
      <c r="MMP4304" s="204"/>
      <c r="MMQ4304" s="204"/>
      <c r="MMS4304" s="204"/>
      <c r="MMT4304" s="204"/>
      <c r="MMU4304" s="204"/>
      <c r="MMV4304" s="185" t="s">
        <v>667</v>
      </c>
      <c r="MMW4304" s="205">
        <v>14460</v>
      </c>
      <c r="MMX4304" s="204"/>
      <c r="MMY4304" s="204"/>
      <c r="MNA4304" s="204"/>
      <c r="MNB4304" s="204"/>
      <c r="MNC4304" s="204"/>
      <c r="MND4304" s="185" t="s">
        <v>667</v>
      </c>
      <c r="MNE4304" s="205">
        <v>14460</v>
      </c>
      <c r="MNF4304" s="204"/>
      <c r="MNG4304" s="204"/>
      <c r="MNI4304" s="204"/>
      <c r="MNJ4304" s="204"/>
      <c r="MNK4304" s="204"/>
      <c r="MNL4304" s="185" t="s">
        <v>667</v>
      </c>
      <c r="MNM4304" s="205">
        <v>14460</v>
      </c>
      <c r="MNN4304" s="204"/>
      <c r="MNO4304" s="204"/>
      <c r="MNQ4304" s="204"/>
      <c r="MNR4304" s="204"/>
      <c r="MNS4304" s="204"/>
      <c r="MNT4304" s="185" t="s">
        <v>667</v>
      </c>
      <c r="MNU4304" s="205">
        <v>14460</v>
      </c>
      <c r="MNV4304" s="204"/>
      <c r="MNW4304" s="204"/>
      <c r="MNY4304" s="204"/>
      <c r="MNZ4304" s="204"/>
      <c r="MOA4304" s="204"/>
      <c r="MOB4304" s="185" t="s">
        <v>667</v>
      </c>
      <c r="MOC4304" s="205">
        <v>14460</v>
      </c>
      <c r="MOD4304" s="204"/>
      <c r="MOE4304" s="204"/>
      <c r="MOG4304" s="204"/>
      <c r="MOH4304" s="204"/>
      <c r="MOI4304" s="204"/>
      <c r="MOJ4304" s="185" t="s">
        <v>667</v>
      </c>
      <c r="MOK4304" s="205">
        <v>14460</v>
      </c>
      <c r="MOL4304" s="204"/>
      <c r="MOM4304" s="204"/>
      <c r="MOO4304" s="204"/>
      <c r="MOP4304" s="204"/>
      <c r="MOQ4304" s="204"/>
      <c r="MOR4304" s="185" t="s">
        <v>667</v>
      </c>
      <c r="MOS4304" s="205">
        <v>14460</v>
      </c>
      <c r="MOT4304" s="204"/>
      <c r="MOU4304" s="204"/>
      <c r="MOW4304" s="204"/>
      <c r="MOX4304" s="204"/>
      <c r="MOY4304" s="204"/>
      <c r="MOZ4304" s="185" t="s">
        <v>667</v>
      </c>
      <c r="MPA4304" s="205">
        <v>14460</v>
      </c>
      <c r="MPB4304" s="204"/>
      <c r="MPC4304" s="204"/>
      <c r="MPE4304" s="204"/>
      <c r="MPF4304" s="204"/>
      <c r="MPG4304" s="204"/>
      <c r="MPH4304" s="185" t="s">
        <v>667</v>
      </c>
      <c r="MPI4304" s="205">
        <v>14460</v>
      </c>
      <c r="MPJ4304" s="204"/>
      <c r="MPK4304" s="204"/>
      <c r="MPM4304" s="204"/>
      <c r="MPN4304" s="204"/>
      <c r="MPO4304" s="204"/>
      <c r="MPP4304" s="185" t="s">
        <v>667</v>
      </c>
      <c r="MPQ4304" s="205">
        <v>14460</v>
      </c>
      <c r="MPR4304" s="204"/>
      <c r="MPS4304" s="204"/>
      <c r="MPU4304" s="204"/>
      <c r="MPV4304" s="204"/>
      <c r="MPW4304" s="204"/>
      <c r="MPX4304" s="185" t="s">
        <v>667</v>
      </c>
      <c r="MPY4304" s="205">
        <v>14460</v>
      </c>
      <c r="MPZ4304" s="204"/>
      <c r="MQA4304" s="204"/>
      <c r="MQC4304" s="204"/>
      <c r="MQD4304" s="204"/>
      <c r="MQE4304" s="204"/>
      <c r="MQF4304" s="185" t="s">
        <v>667</v>
      </c>
      <c r="MQG4304" s="205">
        <v>14460</v>
      </c>
      <c r="MQH4304" s="204"/>
      <c r="MQI4304" s="204"/>
      <c r="MQK4304" s="204"/>
      <c r="MQL4304" s="204"/>
      <c r="MQM4304" s="204"/>
      <c r="MQN4304" s="185" t="s">
        <v>667</v>
      </c>
      <c r="MQO4304" s="205">
        <v>14460</v>
      </c>
      <c r="MQP4304" s="204"/>
      <c r="MQQ4304" s="204"/>
      <c r="MQS4304" s="204"/>
      <c r="MQT4304" s="204"/>
      <c r="MQU4304" s="204"/>
      <c r="MQV4304" s="185" t="s">
        <v>667</v>
      </c>
      <c r="MQW4304" s="205">
        <v>14460</v>
      </c>
      <c r="MQX4304" s="204"/>
      <c r="MQY4304" s="204"/>
      <c r="MRA4304" s="204"/>
      <c r="MRB4304" s="204"/>
      <c r="MRC4304" s="204"/>
      <c r="MRD4304" s="185" t="s">
        <v>667</v>
      </c>
      <c r="MRE4304" s="205">
        <v>14460</v>
      </c>
      <c r="MRF4304" s="204"/>
      <c r="MRG4304" s="204"/>
      <c r="MRI4304" s="204"/>
      <c r="MRJ4304" s="204"/>
      <c r="MRK4304" s="204"/>
      <c r="MRL4304" s="185" t="s">
        <v>667</v>
      </c>
      <c r="MRM4304" s="205">
        <v>14460</v>
      </c>
      <c r="MRN4304" s="204"/>
      <c r="MRO4304" s="204"/>
      <c r="MRQ4304" s="204"/>
      <c r="MRR4304" s="204"/>
      <c r="MRS4304" s="204"/>
      <c r="MRT4304" s="185" t="s">
        <v>667</v>
      </c>
      <c r="MRU4304" s="205">
        <v>14460</v>
      </c>
      <c r="MRV4304" s="204"/>
      <c r="MRW4304" s="204"/>
      <c r="MRY4304" s="204"/>
      <c r="MRZ4304" s="204"/>
      <c r="MSA4304" s="204"/>
      <c r="MSB4304" s="185" t="s">
        <v>667</v>
      </c>
      <c r="MSC4304" s="205">
        <v>14460</v>
      </c>
      <c r="MSD4304" s="204"/>
      <c r="MSE4304" s="204"/>
      <c r="MSG4304" s="204"/>
      <c r="MSH4304" s="204"/>
      <c r="MSI4304" s="204"/>
      <c r="MSJ4304" s="185" t="s">
        <v>667</v>
      </c>
      <c r="MSK4304" s="205">
        <v>14460</v>
      </c>
      <c r="MSL4304" s="204"/>
      <c r="MSM4304" s="204"/>
      <c r="MSO4304" s="204"/>
      <c r="MSP4304" s="204"/>
      <c r="MSQ4304" s="204"/>
      <c r="MSR4304" s="185" t="s">
        <v>667</v>
      </c>
      <c r="MSS4304" s="205">
        <v>14460</v>
      </c>
      <c r="MST4304" s="204"/>
      <c r="MSU4304" s="204"/>
      <c r="MSW4304" s="204"/>
      <c r="MSX4304" s="204"/>
      <c r="MSY4304" s="204"/>
      <c r="MSZ4304" s="185" t="s">
        <v>667</v>
      </c>
      <c r="MTA4304" s="205">
        <v>14460</v>
      </c>
      <c r="MTB4304" s="204"/>
      <c r="MTC4304" s="204"/>
      <c r="MTE4304" s="204"/>
      <c r="MTF4304" s="204"/>
      <c r="MTG4304" s="204"/>
      <c r="MTH4304" s="185" t="s">
        <v>667</v>
      </c>
      <c r="MTI4304" s="205">
        <v>14460</v>
      </c>
      <c r="MTJ4304" s="204"/>
      <c r="MTK4304" s="204"/>
      <c r="MTM4304" s="204"/>
      <c r="MTN4304" s="204"/>
      <c r="MTO4304" s="204"/>
      <c r="MTP4304" s="185" t="s">
        <v>667</v>
      </c>
      <c r="MTQ4304" s="205">
        <v>14460</v>
      </c>
      <c r="MTR4304" s="204"/>
      <c r="MTS4304" s="204"/>
      <c r="MTU4304" s="204"/>
      <c r="MTV4304" s="204"/>
      <c r="MTW4304" s="204"/>
      <c r="MTX4304" s="185" t="s">
        <v>667</v>
      </c>
      <c r="MTY4304" s="205">
        <v>14460</v>
      </c>
      <c r="MTZ4304" s="204"/>
      <c r="MUA4304" s="204"/>
      <c r="MUC4304" s="204"/>
      <c r="MUD4304" s="204"/>
      <c r="MUE4304" s="204"/>
      <c r="MUF4304" s="185" t="s">
        <v>667</v>
      </c>
      <c r="MUG4304" s="205">
        <v>14460</v>
      </c>
      <c r="MUH4304" s="204"/>
      <c r="MUI4304" s="204"/>
      <c r="MUK4304" s="204"/>
      <c r="MUL4304" s="204"/>
      <c r="MUM4304" s="204"/>
      <c r="MUN4304" s="185" t="s">
        <v>667</v>
      </c>
      <c r="MUO4304" s="205">
        <v>14460</v>
      </c>
      <c r="MUP4304" s="204"/>
      <c r="MUQ4304" s="204"/>
      <c r="MUS4304" s="204"/>
      <c r="MUT4304" s="204"/>
      <c r="MUU4304" s="204"/>
      <c r="MUV4304" s="185" t="s">
        <v>667</v>
      </c>
      <c r="MUW4304" s="205">
        <v>14460</v>
      </c>
      <c r="MUX4304" s="204"/>
      <c r="MUY4304" s="204"/>
      <c r="MVA4304" s="204"/>
      <c r="MVB4304" s="204"/>
      <c r="MVC4304" s="204"/>
      <c r="MVD4304" s="185" t="s">
        <v>667</v>
      </c>
      <c r="MVE4304" s="205">
        <v>14460</v>
      </c>
      <c r="MVF4304" s="204"/>
      <c r="MVG4304" s="204"/>
      <c r="MVI4304" s="204"/>
      <c r="MVJ4304" s="204"/>
      <c r="MVK4304" s="204"/>
      <c r="MVL4304" s="185" t="s">
        <v>667</v>
      </c>
      <c r="MVM4304" s="205">
        <v>14460</v>
      </c>
      <c r="MVN4304" s="204"/>
      <c r="MVO4304" s="204"/>
      <c r="MVQ4304" s="204"/>
      <c r="MVR4304" s="204"/>
      <c r="MVS4304" s="204"/>
      <c r="MVT4304" s="185" t="s">
        <v>667</v>
      </c>
      <c r="MVU4304" s="205">
        <v>14460</v>
      </c>
      <c r="MVV4304" s="204"/>
      <c r="MVW4304" s="204"/>
      <c r="MVY4304" s="204"/>
      <c r="MVZ4304" s="204"/>
      <c r="MWA4304" s="204"/>
      <c r="MWB4304" s="185" t="s">
        <v>667</v>
      </c>
      <c r="MWC4304" s="205">
        <v>14460</v>
      </c>
      <c r="MWD4304" s="204"/>
      <c r="MWE4304" s="204"/>
      <c r="MWG4304" s="204"/>
      <c r="MWH4304" s="204"/>
      <c r="MWI4304" s="204"/>
      <c r="MWJ4304" s="185" t="s">
        <v>667</v>
      </c>
      <c r="MWK4304" s="205">
        <v>14460</v>
      </c>
      <c r="MWL4304" s="204"/>
      <c r="MWM4304" s="204"/>
      <c r="MWO4304" s="204"/>
      <c r="MWP4304" s="204"/>
      <c r="MWQ4304" s="204"/>
      <c r="MWR4304" s="185" t="s">
        <v>667</v>
      </c>
      <c r="MWS4304" s="205">
        <v>14460</v>
      </c>
      <c r="MWT4304" s="204"/>
      <c r="MWU4304" s="204"/>
      <c r="MWW4304" s="204"/>
      <c r="MWX4304" s="204"/>
      <c r="MWY4304" s="204"/>
      <c r="MWZ4304" s="185" t="s">
        <v>667</v>
      </c>
      <c r="MXA4304" s="205">
        <v>14460</v>
      </c>
      <c r="MXB4304" s="204"/>
      <c r="MXC4304" s="204"/>
      <c r="MXE4304" s="204"/>
      <c r="MXF4304" s="204"/>
      <c r="MXG4304" s="204"/>
      <c r="MXH4304" s="185" t="s">
        <v>667</v>
      </c>
      <c r="MXI4304" s="205">
        <v>14460</v>
      </c>
      <c r="MXJ4304" s="204"/>
      <c r="MXK4304" s="204"/>
      <c r="MXM4304" s="204"/>
      <c r="MXN4304" s="204"/>
      <c r="MXO4304" s="204"/>
      <c r="MXP4304" s="185" t="s">
        <v>667</v>
      </c>
      <c r="MXQ4304" s="205">
        <v>14460</v>
      </c>
      <c r="MXR4304" s="204"/>
      <c r="MXS4304" s="204"/>
      <c r="MXU4304" s="204"/>
      <c r="MXV4304" s="204"/>
      <c r="MXW4304" s="204"/>
      <c r="MXX4304" s="185" t="s">
        <v>667</v>
      </c>
      <c r="MXY4304" s="205">
        <v>14460</v>
      </c>
      <c r="MXZ4304" s="204"/>
      <c r="MYA4304" s="204"/>
      <c r="MYC4304" s="204"/>
      <c r="MYD4304" s="204"/>
      <c r="MYE4304" s="204"/>
      <c r="MYF4304" s="185" t="s">
        <v>667</v>
      </c>
      <c r="MYG4304" s="205">
        <v>14460</v>
      </c>
      <c r="MYH4304" s="204"/>
      <c r="MYI4304" s="204"/>
      <c r="MYK4304" s="204"/>
      <c r="MYL4304" s="204"/>
      <c r="MYM4304" s="204"/>
      <c r="MYN4304" s="185" t="s">
        <v>667</v>
      </c>
      <c r="MYO4304" s="205">
        <v>14460</v>
      </c>
      <c r="MYP4304" s="204"/>
      <c r="MYQ4304" s="204"/>
      <c r="MYS4304" s="204"/>
      <c r="MYT4304" s="204"/>
      <c r="MYU4304" s="204"/>
      <c r="MYV4304" s="185" t="s">
        <v>667</v>
      </c>
      <c r="MYW4304" s="205">
        <v>14460</v>
      </c>
      <c r="MYX4304" s="204"/>
      <c r="MYY4304" s="204"/>
      <c r="MZA4304" s="204"/>
      <c r="MZB4304" s="204"/>
      <c r="MZC4304" s="204"/>
      <c r="MZD4304" s="185" t="s">
        <v>667</v>
      </c>
      <c r="MZE4304" s="205">
        <v>14460</v>
      </c>
      <c r="MZF4304" s="204"/>
      <c r="MZG4304" s="204"/>
      <c r="MZI4304" s="204"/>
      <c r="MZJ4304" s="204"/>
      <c r="MZK4304" s="204"/>
      <c r="MZL4304" s="185" t="s">
        <v>667</v>
      </c>
      <c r="MZM4304" s="205">
        <v>14460</v>
      </c>
      <c r="MZN4304" s="204"/>
      <c r="MZO4304" s="204"/>
      <c r="MZQ4304" s="204"/>
      <c r="MZR4304" s="204"/>
      <c r="MZS4304" s="204"/>
      <c r="MZT4304" s="185" t="s">
        <v>667</v>
      </c>
      <c r="MZU4304" s="205">
        <v>14460</v>
      </c>
      <c r="MZV4304" s="204"/>
      <c r="MZW4304" s="204"/>
      <c r="MZY4304" s="204"/>
      <c r="MZZ4304" s="204"/>
      <c r="NAA4304" s="204"/>
      <c r="NAB4304" s="185" t="s">
        <v>667</v>
      </c>
      <c r="NAC4304" s="205">
        <v>14460</v>
      </c>
      <c r="NAD4304" s="204"/>
      <c r="NAE4304" s="204"/>
      <c r="NAG4304" s="204"/>
      <c r="NAH4304" s="204"/>
      <c r="NAI4304" s="204"/>
      <c r="NAJ4304" s="185" t="s">
        <v>667</v>
      </c>
      <c r="NAK4304" s="205">
        <v>14460</v>
      </c>
      <c r="NAL4304" s="204"/>
      <c r="NAM4304" s="204"/>
      <c r="NAO4304" s="204"/>
      <c r="NAP4304" s="204"/>
      <c r="NAQ4304" s="204"/>
      <c r="NAR4304" s="185" t="s">
        <v>667</v>
      </c>
      <c r="NAS4304" s="205">
        <v>14460</v>
      </c>
      <c r="NAT4304" s="204"/>
      <c r="NAU4304" s="204"/>
      <c r="NAW4304" s="204"/>
      <c r="NAX4304" s="204"/>
      <c r="NAY4304" s="204"/>
      <c r="NAZ4304" s="185" t="s">
        <v>667</v>
      </c>
      <c r="NBA4304" s="205">
        <v>14460</v>
      </c>
      <c r="NBB4304" s="204"/>
      <c r="NBC4304" s="204"/>
      <c r="NBE4304" s="204"/>
      <c r="NBF4304" s="204"/>
      <c r="NBG4304" s="204"/>
      <c r="NBH4304" s="185" t="s">
        <v>667</v>
      </c>
      <c r="NBI4304" s="205">
        <v>14460</v>
      </c>
      <c r="NBJ4304" s="204"/>
      <c r="NBK4304" s="204"/>
      <c r="NBM4304" s="204"/>
      <c r="NBN4304" s="204"/>
      <c r="NBO4304" s="204"/>
      <c r="NBP4304" s="185" t="s">
        <v>667</v>
      </c>
      <c r="NBQ4304" s="205">
        <v>14460</v>
      </c>
      <c r="NBR4304" s="204"/>
      <c r="NBS4304" s="204"/>
      <c r="NBU4304" s="204"/>
      <c r="NBV4304" s="204"/>
      <c r="NBW4304" s="204"/>
      <c r="NBX4304" s="185" t="s">
        <v>667</v>
      </c>
      <c r="NBY4304" s="205">
        <v>14460</v>
      </c>
      <c r="NBZ4304" s="204"/>
      <c r="NCA4304" s="204"/>
      <c r="NCC4304" s="204"/>
      <c r="NCD4304" s="204"/>
      <c r="NCE4304" s="204"/>
      <c r="NCF4304" s="185" t="s">
        <v>667</v>
      </c>
      <c r="NCG4304" s="205">
        <v>14460</v>
      </c>
      <c r="NCH4304" s="204"/>
      <c r="NCI4304" s="204"/>
      <c r="NCK4304" s="204"/>
      <c r="NCL4304" s="204"/>
      <c r="NCM4304" s="204"/>
      <c r="NCN4304" s="185" t="s">
        <v>667</v>
      </c>
      <c r="NCO4304" s="205">
        <v>14460</v>
      </c>
      <c r="NCP4304" s="204"/>
      <c r="NCQ4304" s="204"/>
      <c r="NCS4304" s="204"/>
      <c r="NCT4304" s="204"/>
      <c r="NCU4304" s="204"/>
      <c r="NCV4304" s="185" t="s">
        <v>667</v>
      </c>
      <c r="NCW4304" s="205">
        <v>14460</v>
      </c>
      <c r="NCX4304" s="204"/>
      <c r="NCY4304" s="204"/>
      <c r="NDA4304" s="204"/>
      <c r="NDB4304" s="204"/>
      <c r="NDC4304" s="204"/>
      <c r="NDD4304" s="185" t="s">
        <v>667</v>
      </c>
      <c r="NDE4304" s="205">
        <v>14460</v>
      </c>
      <c r="NDF4304" s="204"/>
      <c r="NDG4304" s="204"/>
      <c r="NDI4304" s="204"/>
      <c r="NDJ4304" s="204"/>
      <c r="NDK4304" s="204"/>
      <c r="NDL4304" s="185" t="s">
        <v>667</v>
      </c>
      <c r="NDM4304" s="205">
        <v>14460</v>
      </c>
      <c r="NDN4304" s="204"/>
      <c r="NDO4304" s="204"/>
      <c r="NDQ4304" s="204"/>
      <c r="NDR4304" s="204"/>
      <c r="NDS4304" s="204"/>
      <c r="NDT4304" s="185" t="s">
        <v>667</v>
      </c>
      <c r="NDU4304" s="205">
        <v>14460</v>
      </c>
      <c r="NDV4304" s="204"/>
      <c r="NDW4304" s="204"/>
      <c r="NDY4304" s="204"/>
      <c r="NDZ4304" s="204"/>
      <c r="NEA4304" s="204"/>
      <c r="NEB4304" s="185" t="s">
        <v>667</v>
      </c>
      <c r="NEC4304" s="205">
        <v>14460</v>
      </c>
      <c r="NED4304" s="204"/>
      <c r="NEE4304" s="204"/>
      <c r="NEG4304" s="204"/>
      <c r="NEH4304" s="204"/>
      <c r="NEI4304" s="204"/>
      <c r="NEJ4304" s="185" t="s">
        <v>667</v>
      </c>
      <c r="NEK4304" s="205">
        <v>14460</v>
      </c>
      <c r="NEL4304" s="204"/>
      <c r="NEM4304" s="204"/>
      <c r="NEO4304" s="204"/>
      <c r="NEP4304" s="204"/>
      <c r="NEQ4304" s="204"/>
      <c r="NER4304" s="185" t="s">
        <v>667</v>
      </c>
      <c r="NES4304" s="205">
        <v>14460</v>
      </c>
      <c r="NET4304" s="204"/>
      <c r="NEU4304" s="204"/>
      <c r="NEW4304" s="204"/>
      <c r="NEX4304" s="204"/>
      <c r="NEY4304" s="204"/>
      <c r="NEZ4304" s="185" t="s">
        <v>667</v>
      </c>
      <c r="NFA4304" s="205">
        <v>14460</v>
      </c>
      <c r="NFB4304" s="204"/>
      <c r="NFC4304" s="204"/>
      <c r="NFE4304" s="204"/>
      <c r="NFF4304" s="204"/>
      <c r="NFG4304" s="204"/>
      <c r="NFH4304" s="185" t="s">
        <v>667</v>
      </c>
      <c r="NFI4304" s="205">
        <v>14460</v>
      </c>
      <c r="NFJ4304" s="204"/>
      <c r="NFK4304" s="204"/>
      <c r="NFM4304" s="204"/>
      <c r="NFN4304" s="204"/>
      <c r="NFO4304" s="204"/>
      <c r="NFP4304" s="185" t="s">
        <v>667</v>
      </c>
      <c r="NFQ4304" s="205">
        <v>14460</v>
      </c>
      <c r="NFR4304" s="204"/>
      <c r="NFS4304" s="204"/>
      <c r="NFU4304" s="204"/>
      <c r="NFV4304" s="204"/>
      <c r="NFW4304" s="204"/>
      <c r="NFX4304" s="185" t="s">
        <v>667</v>
      </c>
      <c r="NFY4304" s="205">
        <v>14460</v>
      </c>
      <c r="NFZ4304" s="204"/>
      <c r="NGA4304" s="204"/>
      <c r="NGC4304" s="204"/>
      <c r="NGD4304" s="204"/>
      <c r="NGE4304" s="204"/>
      <c r="NGF4304" s="185" t="s">
        <v>667</v>
      </c>
      <c r="NGG4304" s="205">
        <v>14460</v>
      </c>
      <c r="NGH4304" s="204"/>
      <c r="NGI4304" s="204"/>
      <c r="NGK4304" s="204"/>
      <c r="NGL4304" s="204"/>
      <c r="NGM4304" s="204"/>
      <c r="NGN4304" s="185" t="s">
        <v>667</v>
      </c>
      <c r="NGO4304" s="205">
        <v>14460</v>
      </c>
      <c r="NGP4304" s="204"/>
      <c r="NGQ4304" s="204"/>
      <c r="NGS4304" s="204"/>
      <c r="NGT4304" s="204"/>
      <c r="NGU4304" s="204"/>
      <c r="NGV4304" s="185" t="s">
        <v>667</v>
      </c>
      <c r="NGW4304" s="205">
        <v>14460</v>
      </c>
      <c r="NGX4304" s="204"/>
      <c r="NGY4304" s="204"/>
      <c r="NHA4304" s="204"/>
      <c r="NHB4304" s="204"/>
      <c r="NHC4304" s="204"/>
      <c r="NHD4304" s="185" t="s">
        <v>667</v>
      </c>
      <c r="NHE4304" s="205">
        <v>14460</v>
      </c>
      <c r="NHF4304" s="204"/>
      <c r="NHG4304" s="204"/>
      <c r="NHI4304" s="204"/>
      <c r="NHJ4304" s="204"/>
      <c r="NHK4304" s="204"/>
      <c r="NHL4304" s="185" t="s">
        <v>667</v>
      </c>
      <c r="NHM4304" s="205">
        <v>14460</v>
      </c>
      <c r="NHN4304" s="204"/>
      <c r="NHO4304" s="204"/>
      <c r="NHQ4304" s="204"/>
      <c r="NHR4304" s="204"/>
      <c r="NHS4304" s="204"/>
      <c r="NHT4304" s="185" t="s">
        <v>667</v>
      </c>
      <c r="NHU4304" s="205">
        <v>14460</v>
      </c>
      <c r="NHV4304" s="204"/>
      <c r="NHW4304" s="204"/>
      <c r="NHY4304" s="204"/>
      <c r="NHZ4304" s="204"/>
      <c r="NIA4304" s="204"/>
      <c r="NIB4304" s="185" t="s">
        <v>667</v>
      </c>
      <c r="NIC4304" s="205">
        <v>14460</v>
      </c>
      <c r="NID4304" s="204"/>
      <c r="NIE4304" s="204"/>
      <c r="NIG4304" s="204"/>
      <c r="NIH4304" s="204"/>
      <c r="NII4304" s="204"/>
      <c r="NIJ4304" s="185" t="s">
        <v>667</v>
      </c>
      <c r="NIK4304" s="205">
        <v>14460</v>
      </c>
      <c r="NIL4304" s="204"/>
      <c r="NIM4304" s="204"/>
      <c r="NIO4304" s="204"/>
      <c r="NIP4304" s="204"/>
      <c r="NIQ4304" s="204"/>
      <c r="NIR4304" s="185" t="s">
        <v>667</v>
      </c>
      <c r="NIS4304" s="205">
        <v>14460</v>
      </c>
      <c r="NIT4304" s="204"/>
      <c r="NIU4304" s="204"/>
      <c r="NIW4304" s="204"/>
      <c r="NIX4304" s="204"/>
      <c r="NIY4304" s="204"/>
      <c r="NIZ4304" s="185" t="s">
        <v>667</v>
      </c>
      <c r="NJA4304" s="205">
        <v>14460</v>
      </c>
      <c r="NJB4304" s="204"/>
      <c r="NJC4304" s="204"/>
      <c r="NJE4304" s="204"/>
      <c r="NJF4304" s="204"/>
      <c r="NJG4304" s="204"/>
      <c r="NJH4304" s="185" t="s">
        <v>667</v>
      </c>
      <c r="NJI4304" s="205">
        <v>14460</v>
      </c>
      <c r="NJJ4304" s="204"/>
      <c r="NJK4304" s="204"/>
      <c r="NJM4304" s="204"/>
      <c r="NJN4304" s="204"/>
      <c r="NJO4304" s="204"/>
      <c r="NJP4304" s="185" t="s">
        <v>667</v>
      </c>
      <c r="NJQ4304" s="205">
        <v>14460</v>
      </c>
      <c r="NJR4304" s="204"/>
      <c r="NJS4304" s="204"/>
      <c r="NJU4304" s="204"/>
      <c r="NJV4304" s="204"/>
      <c r="NJW4304" s="204"/>
      <c r="NJX4304" s="185" t="s">
        <v>667</v>
      </c>
      <c r="NJY4304" s="205">
        <v>14460</v>
      </c>
      <c r="NJZ4304" s="204"/>
      <c r="NKA4304" s="204"/>
      <c r="NKC4304" s="204"/>
      <c r="NKD4304" s="204"/>
      <c r="NKE4304" s="204"/>
      <c r="NKF4304" s="185" t="s">
        <v>667</v>
      </c>
      <c r="NKG4304" s="205">
        <v>14460</v>
      </c>
      <c r="NKH4304" s="204"/>
      <c r="NKI4304" s="204"/>
      <c r="NKK4304" s="204"/>
      <c r="NKL4304" s="204"/>
      <c r="NKM4304" s="204"/>
      <c r="NKN4304" s="185" t="s">
        <v>667</v>
      </c>
      <c r="NKO4304" s="205">
        <v>14460</v>
      </c>
      <c r="NKP4304" s="204"/>
      <c r="NKQ4304" s="204"/>
      <c r="NKS4304" s="204"/>
      <c r="NKT4304" s="204"/>
      <c r="NKU4304" s="204"/>
      <c r="NKV4304" s="185" t="s">
        <v>667</v>
      </c>
      <c r="NKW4304" s="205">
        <v>14460</v>
      </c>
      <c r="NKX4304" s="204"/>
      <c r="NKY4304" s="204"/>
      <c r="NLA4304" s="204"/>
      <c r="NLB4304" s="204"/>
      <c r="NLC4304" s="204"/>
      <c r="NLD4304" s="185" t="s">
        <v>667</v>
      </c>
      <c r="NLE4304" s="205">
        <v>14460</v>
      </c>
      <c r="NLF4304" s="204"/>
      <c r="NLG4304" s="204"/>
      <c r="NLI4304" s="204"/>
      <c r="NLJ4304" s="204"/>
      <c r="NLK4304" s="204"/>
      <c r="NLL4304" s="185" t="s">
        <v>667</v>
      </c>
      <c r="NLM4304" s="205">
        <v>14460</v>
      </c>
      <c r="NLN4304" s="204"/>
      <c r="NLO4304" s="204"/>
      <c r="NLQ4304" s="204"/>
      <c r="NLR4304" s="204"/>
      <c r="NLS4304" s="204"/>
      <c r="NLT4304" s="185" t="s">
        <v>667</v>
      </c>
      <c r="NLU4304" s="205">
        <v>14460</v>
      </c>
      <c r="NLV4304" s="204"/>
      <c r="NLW4304" s="204"/>
      <c r="NLY4304" s="204"/>
      <c r="NLZ4304" s="204"/>
      <c r="NMA4304" s="204"/>
      <c r="NMB4304" s="185" t="s">
        <v>667</v>
      </c>
      <c r="NMC4304" s="205">
        <v>14460</v>
      </c>
      <c r="NMD4304" s="204"/>
      <c r="NME4304" s="204"/>
      <c r="NMG4304" s="204"/>
      <c r="NMH4304" s="204"/>
      <c r="NMI4304" s="204"/>
      <c r="NMJ4304" s="185" t="s">
        <v>667</v>
      </c>
      <c r="NMK4304" s="205">
        <v>14460</v>
      </c>
      <c r="NML4304" s="204"/>
      <c r="NMM4304" s="204"/>
      <c r="NMO4304" s="204"/>
      <c r="NMP4304" s="204"/>
      <c r="NMQ4304" s="204"/>
      <c r="NMR4304" s="185" t="s">
        <v>667</v>
      </c>
      <c r="NMS4304" s="205">
        <v>14460</v>
      </c>
      <c r="NMT4304" s="204"/>
      <c r="NMU4304" s="204"/>
      <c r="NMW4304" s="204"/>
      <c r="NMX4304" s="204"/>
      <c r="NMY4304" s="204"/>
      <c r="NMZ4304" s="185" t="s">
        <v>667</v>
      </c>
      <c r="NNA4304" s="205">
        <v>14460</v>
      </c>
      <c r="NNB4304" s="204"/>
      <c r="NNC4304" s="204"/>
      <c r="NNE4304" s="204"/>
      <c r="NNF4304" s="204"/>
      <c r="NNG4304" s="204"/>
      <c r="NNH4304" s="185" t="s">
        <v>667</v>
      </c>
      <c r="NNI4304" s="205">
        <v>14460</v>
      </c>
      <c r="NNJ4304" s="204"/>
      <c r="NNK4304" s="204"/>
      <c r="NNM4304" s="204"/>
      <c r="NNN4304" s="204"/>
      <c r="NNO4304" s="204"/>
      <c r="NNP4304" s="185" t="s">
        <v>667</v>
      </c>
      <c r="NNQ4304" s="205">
        <v>14460</v>
      </c>
      <c r="NNR4304" s="204"/>
      <c r="NNS4304" s="204"/>
      <c r="NNU4304" s="204"/>
      <c r="NNV4304" s="204"/>
      <c r="NNW4304" s="204"/>
      <c r="NNX4304" s="185" t="s">
        <v>667</v>
      </c>
      <c r="NNY4304" s="205">
        <v>14460</v>
      </c>
      <c r="NNZ4304" s="204"/>
      <c r="NOA4304" s="204"/>
      <c r="NOC4304" s="204"/>
      <c r="NOD4304" s="204"/>
      <c r="NOE4304" s="204"/>
      <c r="NOF4304" s="185" t="s">
        <v>667</v>
      </c>
      <c r="NOG4304" s="205">
        <v>14460</v>
      </c>
      <c r="NOH4304" s="204"/>
      <c r="NOI4304" s="204"/>
      <c r="NOK4304" s="204"/>
      <c r="NOL4304" s="204"/>
      <c r="NOM4304" s="204"/>
      <c r="NON4304" s="185" t="s">
        <v>667</v>
      </c>
      <c r="NOO4304" s="205">
        <v>14460</v>
      </c>
      <c r="NOP4304" s="204"/>
      <c r="NOQ4304" s="204"/>
      <c r="NOS4304" s="204"/>
      <c r="NOT4304" s="204"/>
      <c r="NOU4304" s="204"/>
      <c r="NOV4304" s="185" t="s">
        <v>667</v>
      </c>
      <c r="NOW4304" s="205">
        <v>14460</v>
      </c>
      <c r="NOX4304" s="204"/>
      <c r="NOY4304" s="204"/>
      <c r="NPA4304" s="204"/>
      <c r="NPB4304" s="204"/>
      <c r="NPC4304" s="204"/>
      <c r="NPD4304" s="185" t="s">
        <v>667</v>
      </c>
      <c r="NPE4304" s="205">
        <v>14460</v>
      </c>
      <c r="NPF4304" s="204"/>
      <c r="NPG4304" s="204"/>
      <c r="NPI4304" s="204"/>
      <c r="NPJ4304" s="204"/>
      <c r="NPK4304" s="204"/>
      <c r="NPL4304" s="185" t="s">
        <v>667</v>
      </c>
      <c r="NPM4304" s="205">
        <v>14460</v>
      </c>
      <c r="NPN4304" s="204"/>
      <c r="NPO4304" s="204"/>
      <c r="NPQ4304" s="204"/>
      <c r="NPR4304" s="204"/>
      <c r="NPS4304" s="204"/>
      <c r="NPT4304" s="185" t="s">
        <v>667</v>
      </c>
      <c r="NPU4304" s="205">
        <v>14460</v>
      </c>
      <c r="NPV4304" s="204"/>
      <c r="NPW4304" s="204"/>
      <c r="NPY4304" s="204"/>
      <c r="NPZ4304" s="204"/>
      <c r="NQA4304" s="204"/>
      <c r="NQB4304" s="185" t="s">
        <v>667</v>
      </c>
      <c r="NQC4304" s="205">
        <v>14460</v>
      </c>
      <c r="NQD4304" s="204"/>
      <c r="NQE4304" s="204"/>
      <c r="NQG4304" s="204"/>
      <c r="NQH4304" s="204"/>
      <c r="NQI4304" s="204"/>
      <c r="NQJ4304" s="185" t="s">
        <v>667</v>
      </c>
      <c r="NQK4304" s="205">
        <v>14460</v>
      </c>
      <c r="NQL4304" s="204"/>
      <c r="NQM4304" s="204"/>
      <c r="NQO4304" s="204"/>
      <c r="NQP4304" s="204"/>
      <c r="NQQ4304" s="204"/>
      <c r="NQR4304" s="185" t="s">
        <v>667</v>
      </c>
      <c r="NQS4304" s="205">
        <v>14460</v>
      </c>
      <c r="NQT4304" s="204"/>
      <c r="NQU4304" s="204"/>
      <c r="NQW4304" s="204"/>
      <c r="NQX4304" s="204"/>
      <c r="NQY4304" s="204"/>
      <c r="NQZ4304" s="185" t="s">
        <v>667</v>
      </c>
      <c r="NRA4304" s="205">
        <v>14460</v>
      </c>
      <c r="NRB4304" s="204"/>
      <c r="NRC4304" s="204"/>
      <c r="NRE4304" s="204"/>
      <c r="NRF4304" s="204"/>
      <c r="NRG4304" s="204"/>
      <c r="NRH4304" s="185" t="s">
        <v>667</v>
      </c>
      <c r="NRI4304" s="205">
        <v>14460</v>
      </c>
      <c r="NRJ4304" s="204"/>
      <c r="NRK4304" s="204"/>
      <c r="NRM4304" s="204"/>
      <c r="NRN4304" s="204"/>
      <c r="NRO4304" s="204"/>
      <c r="NRP4304" s="185" t="s">
        <v>667</v>
      </c>
      <c r="NRQ4304" s="205">
        <v>14460</v>
      </c>
      <c r="NRR4304" s="204"/>
      <c r="NRS4304" s="204"/>
      <c r="NRU4304" s="204"/>
      <c r="NRV4304" s="204"/>
      <c r="NRW4304" s="204"/>
      <c r="NRX4304" s="185" t="s">
        <v>667</v>
      </c>
      <c r="NRY4304" s="205">
        <v>14460</v>
      </c>
      <c r="NRZ4304" s="204"/>
      <c r="NSA4304" s="204"/>
      <c r="NSC4304" s="204"/>
      <c r="NSD4304" s="204"/>
      <c r="NSE4304" s="204"/>
      <c r="NSF4304" s="185" t="s">
        <v>667</v>
      </c>
      <c r="NSG4304" s="205">
        <v>14460</v>
      </c>
      <c r="NSH4304" s="204"/>
      <c r="NSI4304" s="204"/>
      <c r="NSK4304" s="204"/>
      <c r="NSL4304" s="204"/>
      <c r="NSM4304" s="204"/>
      <c r="NSN4304" s="185" t="s">
        <v>667</v>
      </c>
      <c r="NSO4304" s="205">
        <v>14460</v>
      </c>
      <c r="NSP4304" s="204"/>
      <c r="NSQ4304" s="204"/>
      <c r="NSS4304" s="204"/>
      <c r="NST4304" s="204"/>
      <c r="NSU4304" s="204"/>
      <c r="NSV4304" s="185" t="s">
        <v>667</v>
      </c>
      <c r="NSW4304" s="205">
        <v>14460</v>
      </c>
      <c r="NSX4304" s="204"/>
      <c r="NSY4304" s="204"/>
      <c r="NTA4304" s="204"/>
      <c r="NTB4304" s="204"/>
      <c r="NTC4304" s="204"/>
      <c r="NTD4304" s="185" t="s">
        <v>667</v>
      </c>
      <c r="NTE4304" s="205">
        <v>14460</v>
      </c>
      <c r="NTF4304" s="204"/>
      <c r="NTG4304" s="204"/>
      <c r="NTI4304" s="204"/>
      <c r="NTJ4304" s="204"/>
      <c r="NTK4304" s="204"/>
      <c r="NTL4304" s="185" t="s">
        <v>667</v>
      </c>
      <c r="NTM4304" s="205">
        <v>14460</v>
      </c>
      <c r="NTN4304" s="204"/>
      <c r="NTO4304" s="204"/>
      <c r="NTQ4304" s="204"/>
      <c r="NTR4304" s="204"/>
      <c r="NTS4304" s="204"/>
      <c r="NTT4304" s="185" t="s">
        <v>667</v>
      </c>
      <c r="NTU4304" s="205">
        <v>14460</v>
      </c>
      <c r="NTV4304" s="204"/>
      <c r="NTW4304" s="204"/>
      <c r="NTY4304" s="204"/>
      <c r="NTZ4304" s="204"/>
      <c r="NUA4304" s="204"/>
      <c r="NUB4304" s="185" t="s">
        <v>667</v>
      </c>
      <c r="NUC4304" s="205">
        <v>14460</v>
      </c>
      <c r="NUD4304" s="204"/>
      <c r="NUE4304" s="204"/>
      <c r="NUG4304" s="204"/>
      <c r="NUH4304" s="204"/>
      <c r="NUI4304" s="204"/>
      <c r="NUJ4304" s="185" t="s">
        <v>667</v>
      </c>
      <c r="NUK4304" s="205">
        <v>14460</v>
      </c>
      <c r="NUL4304" s="204"/>
      <c r="NUM4304" s="204"/>
      <c r="NUO4304" s="204"/>
      <c r="NUP4304" s="204"/>
      <c r="NUQ4304" s="204"/>
      <c r="NUR4304" s="185" t="s">
        <v>667</v>
      </c>
      <c r="NUS4304" s="205">
        <v>14460</v>
      </c>
      <c r="NUT4304" s="204"/>
      <c r="NUU4304" s="204"/>
      <c r="NUW4304" s="204"/>
      <c r="NUX4304" s="204"/>
      <c r="NUY4304" s="204"/>
      <c r="NUZ4304" s="185" t="s">
        <v>667</v>
      </c>
      <c r="NVA4304" s="205">
        <v>14460</v>
      </c>
      <c r="NVB4304" s="204"/>
      <c r="NVC4304" s="204"/>
      <c r="NVE4304" s="204"/>
      <c r="NVF4304" s="204"/>
      <c r="NVG4304" s="204"/>
      <c r="NVH4304" s="185" t="s">
        <v>667</v>
      </c>
      <c r="NVI4304" s="205">
        <v>14460</v>
      </c>
      <c r="NVJ4304" s="204"/>
      <c r="NVK4304" s="204"/>
      <c r="NVM4304" s="204"/>
      <c r="NVN4304" s="204"/>
      <c r="NVO4304" s="204"/>
      <c r="NVP4304" s="185" t="s">
        <v>667</v>
      </c>
      <c r="NVQ4304" s="205">
        <v>14460</v>
      </c>
      <c r="NVR4304" s="204"/>
      <c r="NVS4304" s="204"/>
      <c r="NVU4304" s="204"/>
      <c r="NVV4304" s="204"/>
      <c r="NVW4304" s="204"/>
      <c r="NVX4304" s="185" t="s">
        <v>667</v>
      </c>
      <c r="NVY4304" s="205">
        <v>14460</v>
      </c>
      <c r="NVZ4304" s="204"/>
      <c r="NWA4304" s="204"/>
      <c r="NWC4304" s="204"/>
      <c r="NWD4304" s="204"/>
      <c r="NWE4304" s="204"/>
      <c r="NWF4304" s="185" t="s">
        <v>667</v>
      </c>
      <c r="NWG4304" s="205">
        <v>14460</v>
      </c>
      <c r="NWH4304" s="204"/>
      <c r="NWI4304" s="204"/>
      <c r="NWK4304" s="204"/>
      <c r="NWL4304" s="204"/>
      <c r="NWM4304" s="204"/>
      <c r="NWN4304" s="185" t="s">
        <v>667</v>
      </c>
      <c r="NWO4304" s="205">
        <v>14460</v>
      </c>
      <c r="NWP4304" s="204"/>
      <c r="NWQ4304" s="204"/>
      <c r="NWS4304" s="204"/>
      <c r="NWT4304" s="204"/>
      <c r="NWU4304" s="204"/>
      <c r="NWV4304" s="185" t="s">
        <v>667</v>
      </c>
      <c r="NWW4304" s="205">
        <v>14460</v>
      </c>
      <c r="NWX4304" s="204"/>
      <c r="NWY4304" s="204"/>
      <c r="NXA4304" s="204"/>
      <c r="NXB4304" s="204"/>
      <c r="NXC4304" s="204"/>
      <c r="NXD4304" s="185" t="s">
        <v>667</v>
      </c>
      <c r="NXE4304" s="205">
        <v>14460</v>
      </c>
      <c r="NXF4304" s="204"/>
      <c r="NXG4304" s="204"/>
      <c r="NXI4304" s="204"/>
      <c r="NXJ4304" s="204"/>
      <c r="NXK4304" s="204"/>
      <c r="NXL4304" s="185" t="s">
        <v>667</v>
      </c>
      <c r="NXM4304" s="205">
        <v>14460</v>
      </c>
      <c r="NXN4304" s="204"/>
      <c r="NXO4304" s="204"/>
      <c r="NXQ4304" s="204"/>
      <c r="NXR4304" s="204"/>
      <c r="NXS4304" s="204"/>
      <c r="NXT4304" s="185" t="s">
        <v>667</v>
      </c>
      <c r="NXU4304" s="205">
        <v>14460</v>
      </c>
      <c r="NXV4304" s="204"/>
      <c r="NXW4304" s="204"/>
      <c r="NXY4304" s="204"/>
      <c r="NXZ4304" s="204"/>
      <c r="NYA4304" s="204"/>
      <c r="NYB4304" s="185" t="s">
        <v>667</v>
      </c>
      <c r="NYC4304" s="205">
        <v>14460</v>
      </c>
      <c r="NYD4304" s="204"/>
      <c r="NYE4304" s="204"/>
      <c r="NYG4304" s="204"/>
      <c r="NYH4304" s="204"/>
      <c r="NYI4304" s="204"/>
      <c r="NYJ4304" s="185" t="s">
        <v>667</v>
      </c>
      <c r="NYK4304" s="205">
        <v>14460</v>
      </c>
      <c r="NYL4304" s="204"/>
      <c r="NYM4304" s="204"/>
      <c r="NYO4304" s="204"/>
      <c r="NYP4304" s="204"/>
      <c r="NYQ4304" s="204"/>
      <c r="NYR4304" s="185" t="s">
        <v>667</v>
      </c>
      <c r="NYS4304" s="205">
        <v>14460</v>
      </c>
      <c r="NYT4304" s="204"/>
      <c r="NYU4304" s="204"/>
      <c r="NYW4304" s="204"/>
      <c r="NYX4304" s="204"/>
      <c r="NYY4304" s="204"/>
      <c r="NYZ4304" s="185" t="s">
        <v>667</v>
      </c>
      <c r="NZA4304" s="205">
        <v>14460</v>
      </c>
      <c r="NZB4304" s="204"/>
      <c r="NZC4304" s="204"/>
      <c r="NZE4304" s="204"/>
      <c r="NZF4304" s="204"/>
      <c r="NZG4304" s="204"/>
      <c r="NZH4304" s="185" t="s">
        <v>667</v>
      </c>
      <c r="NZI4304" s="205">
        <v>14460</v>
      </c>
      <c r="NZJ4304" s="204"/>
      <c r="NZK4304" s="204"/>
      <c r="NZM4304" s="204"/>
      <c r="NZN4304" s="204"/>
      <c r="NZO4304" s="204"/>
      <c r="NZP4304" s="185" t="s">
        <v>667</v>
      </c>
      <c r="NZQ4304" s="205">
        <v>14460</v>
      </c>
      <c r="NZR4304" s="204"/>
      <c r="NZS4304" s="204"/>
      <c r="NZU4304" s="204"/>
      <c r="NZV4304" s="204"/>
      <c r="NZW4304" s="204"/>
      <c r="NZX4304" s="185" t="s">
        <v>667</v>
      </c>
      <c r="NZY4304" s="205">
        <v>14460</v>
      </c>
      <c r="NZZ4304" s="204"/>
      <c r="OAA4304" s="204"/>
      <c r="OAC4304" s="204"/>
      <c r="OAD4304" s="204"/>
      <c r="OAE4304" s="204"/>
      <c r="OAF4304" s="185" t="s">
        <v>667</v>
      </c>
      <c r="OAG4304" s="205">
        <v>14460</v>
      </c>
      <c r="OAH4304" s="204"/>
      <c r="OAI4304" s="204"/>
      <c r="OAK4304" s="204"/>
      <c r="OAL4304" s="204"/>
      <c r="OAM4304" s="204"/>
      <c r="OAN4304" s="185" t="s">
        <v>667</v>
      </c>
      <c r="OAO4304" s="205">
        <v>14460</v>
      </c>
      <c r="OAP4304" s="204"/>
      <c r="OAQ4304" s="204"/>
      <c r="OAS4304" s="204"/>
      <c r="OAT4304" s="204"/>
      <c r="OAU4304" s="204"/>
      <c r="OAV4304" s="185" t="s">
        <v>667</v>
      </c>
      <c r="OAW4304" s="205">
        <v>14460</v>
      </c>
      <c r="OAX4304" s="204"/>
      <c r="OAY4304" s="204"/>
      <c r="OBA4304" s="204"/>
      <c r="OBB4304" s="204"/>
      <c r="OBC4304" s="204"/>
      <c r="OBD4304" s="185" t="s">
        <v>667</v>
      </c>
      <c r="OBE4304" s="205">
        <v>14460</v>
      </c>
      <c r="OBF4304" s="204"/>
      <c r="OBG4304" s="204"/>
      <c r="OBI4304" s="204"/>
      <c r="OBJ4304" s="204"/>
      <c r="OBK4304" s="204"/>
      <c r="OBL4304" s="185" t="s">
        <v>667</v>
      </c>
      <c r="OBM4304" s="205">
        <v>14460</v>
      </c>
      <c r="OBN4304" s="204"/>
      <c r="OBO4304" s="204"/>
      <c r="OBQ4304" s="204"/>
      <c r="OBR4304" s="204"/>
      <c r="OBS4304" s="204"/>
      <c r="OBT4304" s="185" t="s">
        <v>667</v>
      </c>
      <c r="OBU4304" s="205">
        <v>14460</v>
      </c>
      <c r="OBV4304" s="204"/>
      <c r="OBW4304" s="204"/>
      <c r="OBY4304" s="204"/>
      <c r="OBZ4304" s="204"/>
      <c r="OCA4304" s="204"/>
      <c r="OCB4304" s="185" t="s">
        <v>667</v>
      </c>
      <c r="OCC4304" s="205">
        <v>14460</v>
      </c>
      <c r="OCD4304" s="204"/>
      <c r="OCE4304" s="204"/>
      <c r="OCG4304" s="204"/>
      <c r="OCH4304" s="204"/>
      <c r="OCI4304" s="204"/>
      <c r="OCJ4304" s="185" t="s">
        <v>667</v>
      </c>
      <c r="OCK4304" s="205">
        <v>14460</v>
      </c>
      <c r="OCL4304" s="204"/>
      <c r="OCM4304" s="204"/>
      <c r="OCO4304" s="204"/>
      <c r="OCP4304" s="204"/>
      <c r="OCQ4304" s="204"/>
      <c r="OCR4304" s="185" t="s">
        <v>667</v>
      </c>
      <c r="OCS4304" s="205">
        <v>14460</v>
      </c>
      <c r="OCT4304" s="204"/>
      <c r="OCU4304" s="204"/>
      <c r="OCW4304" s="204"/>
      <c r="OCX4304" s="204"/>
      <c r="OCY4304" s="204"/>
      <c r="OCZ4304" s="185" t="s">
        <v>667</v>
      </c>
      <c r="ODA4304" s="205">
        <v>14460</v>
      </c>
      <c r="ODB4304" s="204"/>
      <c r="ODC4304" s="204"/>
      <c r="ODE4304" s="204"/>
      <c r="ODF4304" s="204"/>
      <c r="ODG4304" s="204"/>
      <c r="ODH4304" s="185" t="s">
        <v>667</v>
      </c>
      <c r="ODI4304" s="205">
        <v>14460</v>
      </c>
      <c r="ODJ4304" s="204"/>
      <c r="ODK4304" s="204"/>
      <c r="ODM4304" s="204"/>
      <c r="ODN4304" s="204"/>
      <c r="ODO4304" s="204"/>
      <c r="ODP4304" s="185" t="s">
        <v>667</v>
      </c>
      <c r="ODQ4304" s="205">
        <v>14460</v>
      </c>
      <c r="ODR4304" s="204"/>
      <c r="ODS4304" s="204"/>
      <c r="ODU4304" s="204"/>
      <c r="ODV4304" s="204"/>
      <c r="ODW4304" s="204"/>
      <c r="ODX4304" s="185" t="s">
        <v>667</v>
      </c>
      <c r="ODY4304" s="205">
        <v>14460</v>
      </c>
      <c r="ODZ4304" s="204"/>
      <c r="OEA4304" s="204"/>
      <c r="OEC4304" s="204"/>
      <c r="OED4304" s="204"/>
      <c r="OEE4304" s="204"/>
      <c r="OEF4304" s="185" t="s">
        <v>667</v>
      </c>
      <c r="OEG4304" s="205">
        <v>14460</v>
      </c>
      <c r="OEH4304" s="204"/>
      <c r="OEI4304" s="204"/>
      <c r="OEK4304" s="204"/>
      <c r="OEL4304" s="204"/>
      <c r="OEM4304" s="204"/>
      <c r="OEN4304" s="185" t="s">
        <v>667</v>
      </c>
      <c r="OEO4304" s="205">
        <v>14460</v>
      </c>
      <c r="OEP4304" s="204"/>
      <c r="OEQ4304" s="204"/>
      <c r="OES4304" s="204"/>
      <c r="OET4304" s="204"/>
      <c r="OEU4304" s="204"/>
      <c r="OEV4304" s="185" t="s">
        <v>667</v>
      </c>
      <c r="OEW4304" s="205">
        <v>14460</v>
      </c>
      <c r="OEX4304" s="204"/>
      <c r="OEY4304" s="204"/>
      <c r="OFA4304" s="204"/>
      <c r="OFB4304" s="204"/>
      <c r="OFC4304" s="204"/>
      <c r="OFD4304" s="185" t="s">
        <v>667</v>
      </c>
      <c r="OFE4304" s="205">
        <v>14460</v>
      </c>
      <c r="OFF4304" s="204"/>
      <c r="OFG4304" s="204"/>
      <c r="OFI4304" s="204"/>
      <c r="OFJ4304" s="204"/>
      <c r="OFK4304" s="204"/>
      <c r="OFL4304" s="185" t="s">
        <v>667</v>
      </c>
      <c r="OFM4304" s="205">
        <v>14460</v>
      </c>
      <c r="OFN4304" s="204"/>
      <c r="OFO4304" s="204"/>
      <c r="OFQ4304" s="204"/>
      <c r="OFR4304" s="204"/>
      <c r="OFS4304" s="204"/>
      <c r="OFT4304" s="185" t="s">
        <v>667</v>
      </c>
      <c r="OFU4304" s="205">
        <v>14460</v>
      </c>
      <c r="OFV4304" s="204"/>
      <c r="OFW4304" s="204"/>
      <c r="OFY4304" s="204"/>
      <c r="OFZ4304" s="204"/>
      <c r="OGA4304" s="204"/>
      <c r="OGB4304" s="185" t="s">
        <v>667</v>
      </c>
      <c r="OGC4304" s="205">
        <v>14460</v>
      </c>
      <c r="OGD4304" s="204"/>
      <c r="OGE4304" s="204"/>
      <c r="OGG4304" s="204"/>
      <c r="OGH4304" s="204"/>
      <c r="OGI4304" s="204"/>
      <c r="OGJ4304" s="185" t="s">
        <v>667</v>
      </c>
      <c r="OGK4304" s="205">
        <v>14460</v>
      </c>
      <c r="OGL4304" s="204"/>
      <c r="OGM4304" s="204"/>
      <c r="OGO4304" s="204"/>
      <c r="OGP4304" s="204"/>
      <c r="OGQ4304" s="204"/>
      <c r="OGR4304" s="185" t="s">
        <v>667</v>
      </c>
      <c r="OGS4304" s="205">
        <v>14460</v>
      </c>
      <c r="OGT4304" s="204"/>
      <c r="OGU4304" s="204"/>
      <c r="OGW4304" s="204"/>
      <c r="OGX4304" s="204"/>
      <c r="OGY4304" s="204"/>
      <c r="OGZ4304" s="185" t="s">
        <v>667</v>
      </c>
      <c r="OHA4304" s="205">
        <v>14460</v>
      </c>
      <c r="OHB4304" s="204"/>
      <c r="OHC4304" s="204"/>
      <c r="OHE4304" s="204"/>
      <c r="OHF4304" s="204"/>
      <c r="OHG4304" s="204"/>
      <c r="OHH4304" s="185" t="s">
        <v>667</v>
      </c>
      <c r="OHI4304" s="205">
        <v>14460</v>
      </c>
      <c r="OHJ4304" s="204"/>
      <c r="OHK4304" s="204"/>
      <c r="OHM4304" s="204"/>
      <c r="OHN4304" s="204"/>
      <c r="OHO4304" s="204"/>
      <c r="OHP4304" s="185" t="s">
        <v>667</v>
      </c>
      <c r="OHQ4304" s="205">
        <v>14460</v>
      </c>
      <c r="OHR4304" s="204"/>
      <c r="OHS4304" s="204"/>
      <c r="OHU4304" s="204"/>
      <c r="OHV4304" s="204"/>
      <c r="OHW4304" s="204"/>
      <c r="OHX4304" s="185" t="s">
        <v>667</v>
      </c>
      <c r="OHY4304" s="205">
        <v>14460</v>
      </c>
      <c r="OHZ4304" s="204"/>
      <c r="OIA4304" s="204"/>
      <c r="OIC4304" s="204"/>
      <c r="OID4304" s="204"/>
      <c r="OIE4304" s="204"/>
      <c r="OIF4304" s="185" t="s">
        <v>667</v>
      </c>
      <c r="OIG4304" s="205">
        <v>14460</v>
      </c>
      <c r="OIH4304" s="204"/>
      <c r="OII4304" s="204"/>
      <c r="OIK4304" s="204"/>
      <c r="OIL4304" s="204"/>
      <c r="OIM4304" s="204"/>
      <c r="OIN4304" s="185" t="s">
        <v>667</v>
      </c>
      <c r="OIO4304" s="205">
        <v>14460</v>
      </c>
      <c r="OIP4304" s="204"/>
      <c r="OIQ4304" s="204"/>
      <c r="OIS4304" s="204"/>
      <c r="OIT4304" s="204"/>
      <c r="OIU4304" s="204"/>
      <c r="OIV4304" s="185" t="s">
        <v>667</v>
      </c>
      <c r="OIW4304" s="205">
        <v>14460</v>
      </c>
      <c r="OIX4304" s="204"/>
      <c r="OIY4304" s="204"/>
      <c r="OJA4304" s="204"/>
      <c r="OJB4304" s="204"/>
      <c r="OJC4304" s="204"/>
      <c r="OJD4304" s="185" t="s">
        <v>667</v>
      </c>
      <c r="OJE4304" s="205">
        <v>14460</v>
      </c>
      <c r="OJF4304" s="204"/>
      <c r="OJG4304" s="204"/>
      <c r="OJI4304" s="204"/>
      <c r="OJJ4304" s="204"/>
      <c r="OJK4304" s="204"/>
      <c r="OJL4304" s="185" t="s">
        <v>667</v>
      </c>
      <c r="OJM4304" s="205">
        <v>14460</v>
      </c>
      <c r="OJN4304" s="204"/>
      <c r="OJO4304" s="204"/>
      <c r="OJQ4304" s="204"/>
      <c r="OJR4304" s="204"/>
      <c r="OJS4304" s="204"/>
      <c r="OJT4304" s="185" t="s">
        <v>667</v>
      </c>
      <c r="OJU4304" s="205">
        <v>14460</v>
      </c>
      <c r="OJV4304" s="204"/>
      <c r="OJW4304" s="204"/>
      <c r="OJY4304" s="204"/>
      <c r="OJZ4304" s="204"/>
      <c r="OKA4304" s="204"/>
      <c r="OKB4304" s="185" t="s">
        <v>667</v>
      </c>
      <c r="OKC4304" s="205">
        <v>14460</v>
      </c>
      <c r="OKD4304" s="204"/>
      <c r="OKE4304" s="204"/>
      <c r="OKG4304" s="204"/>
      <c r="OKH4304" s="204"/>
      <c r="OKI4304" s="204"/>
      <c r="OKJ4304" s="185" t="s">
        <v>667</v>
      </c>
      <c r="OKK4304" s="205">
        <v>14460</v>
      </c>
      <c r="OKL4304" s="204"/>
      <c r="OKM4304" s="204"/>
      <c r="OKO4304" s="204"/>
      <c r="OKP4304" s="204"/>
      <c r="OKQ4304" s="204"/>
      <c r="OKR4304" s="185" t="s">
        <v>667</v>
      </c>
      <c r="OKS4304" s="205">
        <v>14460</v>
      </c>
      <c r="OKT4304" s="204"/>
      <c r="OKU4304" s="204"/>
      <c r="OKW4304" s="204"/>
      <c r="OKX4304" s="204"/>
      <c r="OKY4304" s="204"/>
      <c r="OKZ4304" s="185" t="s">
        <v>667</v>
      </c>
      <c r="OLA4304" s="205">
        <v>14460</v>
      </c>
      <c r="OLB4304" s="204"/>
      <c r="OLC4304" s="204"/>
      <c r="OLE4304" s="204"/>
      <c r="OLF4304" s="204"/>
      <c r="OLG4304" s="204"/>
      <c r="OLH4304" s="185" t="s">
        <v>667</v>
      </c>
      <c r="OLI4304" s="205">
        <v>14460</v>
      </c>
      <c r="OLJ4304" s="204"/>
      <c r="OLK4304" s="204"/>
      <c r="OLM4304" s="204"/>
      <c r="OLN4304" s="204"/>
      <c r="OLO4304" s="204"/>
      <c r="OLP4304" s="185" t="s">
        <v>667</v>
      </c>
      <c r="OLQ4304" s="205">
        <v>14460</v>
      </c>
      <c r="OLR4304" s="204"/>
      <c r="OLS4304" s="204"/>
      <c r="OLU4304" s="204"/>
      <c r="OLV4304" s="204"/>
      <c r="OLW4304" s="204"/>
      <c r="OLX4304" s="185" t="s">
        <v>667</v>
      </c>
      <c r="OLY4304" s="205">
        <v>14460</v>
      </c>
      <c r="OLZ4304" s="204"/>
      <c r="OMA4304" s="204"/>
      <c r="OMC4304" s="204"/>
      <c r="OMD4304" s="204"/>
      <c r="OME4304" s="204"/>
      <c r="OMF4304" s="185" t="s">
        <v>667</v>
      </c>
      <c r="OMG4304" s="205">
        <v>14460</v>
      </c>
      <c r="OMH4304" s="204"/>
      <c r="OMI4304" s="204"/>
      <c r="OMK4304" s="204"/>
      <c r="OML4304" s="204"/>
      <c r="OMM4304" s="204"/>
      <c r="OMN4304" s="185" t="s">
        <v>667</v>
      </c>
      <c r="OMO4304" s="205">
        <v>14460</v>
      </c>
      <c r="OMP4304" s="204"/>
      <c r="OMQ4304" s="204"/>
      <c r="OMS4304" s="204"/>
      <c r="OMT4304" s="204"/>
      <c r="OMU4304" s="204"/>
      <c r="OMV4304" s="185" t="s">
        <v>667</v>
      </c>
      <c r="OMW4304" s="205">
        <v>14460</v>
      </c>
      <c r="OMX4304" s="204"/>
      <c r="OMY4304" s="204"/>
      <c r="ONA4304" s="204"/>
      <c r="ONB4304" s="204"/>
      <c r="ONC4304" s="204"/>
      <c r="OND4304" s="185" t="s">
        <v>667</v>
      </c>
      <c r="ONE4304" s="205">
        <v>14460</v>
      </c>
      <c r="ONF4304" s="204"/>
      <c r="ONG4304" s="204"/>
      <c r="ONI4304" s="204"/>
      <c r="ONJ4304" s="204"/>
      <c r="ONK4304" s="204"/>
      <c r="ONL4304" s="185" t="s">
        <v>667</v>
      </c>
      <c r="ONM4304" s="205">
        <v>14460</v>
      </c>
      <c r="ONN4304" s="204"/>
      <c r="ONO4304" s="204"/>
      <c r="ONQ4304" s="204"/>
      <c r="ONR4304" s="204"/>
      <c r="ONS4304" s="204"/>
      <c r="ONT4304" s="185" t="s">
        <v>667</v>
      </c>
      <c r="ONU4304" s="205">
        <v>14460</v>
      </c>
      <c r="ONV4304" s="204"/>
      <c r="ONW4304" s="204"/>
      <c r="ONY4304" s="204"/>
      <c r="ONZ4304" s="204"/>
      <c r="OOA4304" s="204"/>
      <c r="OOB4304" s="185" t="s">
        <v>667</v>
      </c>
      <c r="OOC4304" s="205">
        <v>14460</v>
      </c>
      <c r="OOD4304" s="204"/>
      <c r="OOE4304" s="204"/>
      <c r="OOG4304" s="204"/>
      <c r="OOH4304" s="204"/>
      <c r="OOI4304" s="204"/>
      <c r="OOJ4304" s="185" t="s">
        <v>667</v>
      </c>
      <c r="OOK4304" s="205">
        <v>14460</v>
      </c>
      <c r="OOL4304" s="204"/>
      <c r="OOM4304" s="204"/>
      <c r="OOO4304" s="204"/>
      <c r="OOP4304" s="204"/>
      <c r="OOQ4304" s="204"/>
      <c r="OOR4304" s="185" t="s">
        <v>667</v>
      </c>
      <c r="OOS4304" s="205">
        <v>14460</v>
      </c>
      <c r="OOT4304" s="204"/>
      <c r="OOU4304" s="204"/>
      <c r="OOW4304" s="204"/>
      <c r="OOX4304" s="204"/>
      <c r="OOY4304" s="204"/>
      <c r="OOZ4304" s="185" t="s">
        <v>667</v>
      </c>
      <c r="OPA4304" s="205">
        <v>14460</v>
      </c>
      <c r="OPB4304" s="204"/>
      <c r="OPC4304" s="204"/>
      <c r="OPE4304" s="204"/>
      <c r="OPF4304" s="204"/>
      <c r="OPG4304" s="204"/>
      <c r="OPH4304" s="185" t="s">
        <v>667</v>
      </c>
      <c r="OPI4304" s="205">
        <v>14460</v>
      </c>
      <c r="OPJ4304" s="204"/>
      <c r="OPK4304" s="204"/>
      <c r="OPM4304" s="204"/>
      <c r="OPN4304" s="204"/>
      <c r="OPO4304" s="204"/>
      <c r="OPP4304" s="185" t="s">
        <v>667</v>
      </c>
      <c r="OPQ4304" s="205">
        <v>14460</v>
      </c>
      <c r="OPR4304" s="204"/>
      <c r="OPS4304" s="204"/>
      <c r="OPU4304" s="204"/>
      <c r="OPV4304" s="204"/>
      <c r="OPW4304" s="204"/>
      <c r="OPX4304" s="185" t="s">
        <v>667</v>
      </c>
      <c r="OPY4304" s="205">
        <v>14460</v>
      </c>
      <c r="OPZ4304" s="204"/>
      <c r="OQA4304" s="204"/>
      <c r="OQC4304" s="204"/>
      <c r="OQD4304" s="204"/>
      <c r="OQE4304" s="204"/>
      <c r="OQF4304" s="185" t="s">
        <v>667</v>
      </c>
      <c r="OQG4304" s="205">
        <v>14460</v>
      </c>
      <c r="OQH4304" s="204"/>
      <c r="OQI4304" s="204"/>
      <c r="OQK4304" s="204"/>
      <c r="OQL4304" s="204"/>
      <c r="OQM4304" s="204"/>
      <c r="OQN4304" s="185" t="s">
        <v>667</v>
      </c>
      <c r="OQO4304" s="205">
        <v>14460</v>
      </c>
      <c r="OQP4304" s="204"/>
      <c r="OQQ4304" s="204"/>
      <c r="OQS4304" s="204"/>
      <c r="OQT4304" s="204"/>
      <c r="OQU4304" s="204"/>
      <c r="OQV4304" s="185" t="s">
        <v>667</v>
      </c>
      <c r="OQW4304" s="205">
        <v>14460</v>
      </c>
      <c r="OQX4304" s="204"/>
      <c r="OQY4304" s="204"/>
      <c r="ORA4304" s="204"/>
      <c r="ORB4304" s="204"/>
      <c r="ORC4304" s="204"/>
      <c r="ORD4304" s="185" t="s">
        <v>667</v>
      </c>
      <c r="ORE4304" s="205">
        <v>14460</v>
      </c>
      <c r="ORF4304" s="204"/>
      <c r="ORG4304" s="204"/>
      <c r="ORI4304" s="204"/>
      <c r="ORJ4304" s="204"/>
      <c r="ORK4304" s="204"/>
      <c r="ORL4304" s="185" t="s">
        <v>667</v>
      </c>
      <c r="ORM4304" s="205">
        <v>14460</v>
      </c>
      <c r="ORN4304" s="204"/>
      <c r="ORO4304" s="204"/>
      <c r="ORQ4304" s="204"/>
      <c r="ORR4304" s="204"/>
      <c r="ORS4304" s="204"/>
      <c r="ORT4304" s="185" t="s">
        <v>667</v>
      </c>
      <c r="ORU4304" s="205">
        <v>14460</v>
      </c>
      <c r="ORV4304" s="204"/>
      <c r="ORW4304" s="204"/>
      <c r="ORY4304" s="204"/>
      <c r="ORZ4304" s="204"/>
      <c r="OSA4304" s="204"/>
      <c r="OSB4304" s="185" t="s">
        <v>667</v>
      </c>
      <c r="OSC4304" s="205">
        <v>14460</v>
      </c>
      <c r="OSD4304" s="204"/>
      <c r="OSE4304" s="204"/>
      <c r="OSG4304" s="204"/>
      <c r="OSH4304" s="204"/>
      <c r="OSI4304" s="204"/>
      <c r="OSJ4304" s="185" t="s">
        <v>667</v>
      </c>
      <c r="OSK4304" s="205">
        <v>14460</v>
      </c>
      <c r="OSL4304" s="204"/>
      <c r="OSM4304" s="204"/>
      <c r="OSO4304" s="204"/>
      <c r="OSP4304" s="204"/>
      <c r="OSQ4304" s="204"/>
      <c r="OSR4304" s="185" t="s">
        <v>667</v>
      </c>
      <c r="OSS4304" s="205">
        <v>14460</v>
      </c>
      <c r="OST4304" s="204"/>
      <c r="OSU4304" s="204"/>
      <c r="OSW4304" s="204"/>
      <c r="OSX4304" s="204"/>
      <c r="OSY4304" s="204"/>
      <c r="OSZ4304" s="185" t="s">
        <v>667</v>
      </c>
      <c r="OTA4304" s="205">
        <v>14460</v>
      </c>
      <c r="OTB4304" s="204"/>
      <c r="OTC4304" s="204"/>
      <c r="OTE4304" s="204"/>
      <c r="OTF4304" s="204"/>
      <c r="OTG4304" s="204"/>
      <c r="OTH4304" s="185" t="s">
        <v>667</v>
      </c>
      <c r="OTI4304" s="205">
        <v>14460</v>
      </c>
      <c r="OTJ4304" s="204"/>
      <c r="OTK4304" s="204"/>
      <c r="OTM4304" s="204"/>
      <c r="OTN4304" s="204"/>
      <c r="OTO4304" s="204"/>
      <c r="OTP4304" s="185" t="s">
        <v>667</v>
      </c>
      <c r="OTQ4304" s="205">
        <v>14460</v>
      </c>
      <c r="OTR4304" s="204"/>
      <c r="OTS4304" s="204"/>
      <c r="OTU4304" s="204"/>
      <c r="OTV4304" s="204"/>
      <c r="OTW4304" s="204"/>
      <c r="OTX4304" s="185" t="s">
        <v>667</v>
      </c>
      <c r="OTY4304" s="205">
        <v>14460</v>
      </c>
      <c r="OTZ4304" s="204"/>
      <c r="OUA4304" s="204"/>
      <c r="OUC4304" s="204"/>
      <c r="OUD4304" s="204"/>
      <c r="OUE4304" s="204"/>
      <c r="OUF4304" s="185" t="s">
        <v>667</v>
      </c>
      <c r="OUG4304" s="205">
        <v>14460</v>
      </c>
      <c r="OUH4304" s="204"/>
      <c r="OUI4304" s="204"/>
      <c r="OUK4304" s="204"/>
      <c r="OUL4304" s="204"/>
      <c r="OUM4304" s="204"/>
      <c r="OUN4304" s="185" t="s">
        <v>667</v>
      </c>
      <c r="OUO4304" s="205">
        <v>14460</v>
      </c>
      <c r="OUP4304" s="204"/>
      <c r="OUQ4304" s="204"/>
      <c r="OUS4304" s="204"/>
      <c r="OUT4304" s="204"/>
      <c r="OUU4304" s="204"/>
      <c r="OUV4304" s="185" t="s">
        <v>667</v>
      </c>
      <c r="OUW4304" s="205">
        <v>14460</v>
      </c>
      <c r="OUX4304" s="204"/>
      <c r="OUY4304" s="204"/>
      <c r="OVA4304" s="204"/>
      <c r="OVB4304" s="204"/>
      <c r="OVC4304" s="204"/>
      <c r="OVD4304" s="185" t="s">
        <v>667</v>
      </c>
      <c r="OVE4304" s="205">
        <v>14460</v>
      </c>
      <c r="OVF4304" s="204"/>
      <c r="OVG4304" s="204"/>
      <c r="OVI4304" s="204"/>
      <c r="OVJ4304" s="204"/>
      <c r="OVK4304" s="204"/>
      <c r="OVL4304" s="185" t="s">
        <v>667</v>
      </c>
      <c r="OVM4304" s="205">
        <v>14460</v>
      </c>
      <c r="OVN4304" s="204"/>
      <c r="OVO4304" s="204"/>
      <c r="OVQ4304" s="204"/>
      <c r="OVR4304" s="204"/>
      <c r="OVS4304" s="204"/>
      <c r="OVT4304" s="185" t="s">
        <v>667</v>
      </c>
      <c r="OVU4304" s="205">
        <v>14460</v>
      </c>
      <c r="OVV4304" s="204"/>
      <c r="OVW4304" s="204"/>
      <c r="OVY4304" s="204"/>
      <c r="OVZ4304" s="204"/>
      <c r="OWA4304" s="204"/>
      <c r="OWB4304" s="185" t="s">
        <v>667</v>
      </c>
      <c r="OWC4304" s="205">
        <v>14460</v>
      </c>
      <c r="OWD4304" s="204"/>
      <c r="OWE4304" s="204"/>
      <c r="OWG4304" s="204"/>
      <c r="OWH4304" s="204"/>
      <c r="OWI4304" s="204"/>
      <c r="OWJ4304" s="185" t="s">
        <v>667</v>
      </c>
      <c r="OWK4304" s="205">
        <v>14460</v>
      </c>
      <c r="OWL4304" s="204"/>
      <c r="OWM4304" s="204"/>
      <c r="OWO4304" s="204"/>
      <c r="OWP4304" s="204"/>
      <c r="OWQ4304" s="204"/>
      <c r="OWR4304" s="185" t="s">
        <v>667</v>
      </c>
      <c r="OWS4304" s="205">
        <v>14460</v>
      </c>
      <c r="OWT4304" s="204"/>
      <c r="OWU4304" s="204"/>
      <c r="OWW4304" s="204"/>
      <c r="OWX4304" s="204"/>
      <c r="OWY4304" s="204"/>
      <c r="OWZ4304" s="185" t="s">
        <v>667</v>
      </c>
      <c r="OXA4304" s="205">
        <v>14460</v>
      </c>
      <c r="OXB4304" s="204"/>
      <c r="OXC4304" s="204"/>
      <c r="OXE4304" s="204"/>
      <c r="OXF4304" s="204"/>
      <c r="OXG4304" s="204"/>
      <c r="OXH4304" s="185" t="s">
        <v>667</v>
      </c>
      <c r="OXI4304" s="205">
        <v>14460</v>
      </c>
      <c r="OXJ4304" s="204"/>
      <c r="OXK4304" s="204"/>
      <c r="OXM4304" s="204"/>
      <c r="OXN4304" s="204"/>
      <c r="OXO4304" s="204"/>
      <c r="OXP4304" s="185" t="s">
        <v>667</v>
      </c>
      <c r="OXQ4304" s="205">
        <v>14460</v>
      </c>
      <c r="OXR4304" s="204"/>
      <c r="OXS4304" s="204"/>
      <c r="OXU4304" s="204"/>
      <c r="OXV4304" s="204"/>
      <c r="OXW4304" s="204"/>
      <c r="OXX4304" s="185" t="s">
        <v>667</v>
      </c>
      <c r="OXY4304" s="205">
        <v>14460</v>
      </c>
      <c r="OXZ4304" s="204"/>
      <c r="OYA4304" s="204"/>
      <c r="OYC4304" s="204"/>
      <c r="OYD4304" s="204"/>
      <c r="OYE4304" s="204"/>
      <c r="OYF4304" s="185" t="s">
        <v>667</v>
      </c>
      <c r="OYG4304" s="205">
        <v>14460</v>
      </c>
      <c r="OYH4304" s="204"/>
      <c r="OYI4304" s="204"/>
      <c r="OYK4304" s="204"/>
      <c r="OYL4304" s="204"/>
      <c r="OYM4304" s="204"/>
      <c r="OYN4304" s="185" t="s">
        <v>667</v>
      </c>
      <c r="OYO4304" s="205">
        <v>14460</v>
      </c>
      <c r="OYP4304" s="204"/>
      <c r="OYQ4304" s="204"/>
      <c r="OYS4304" s="204"/>
      <c r="OYT4304" s="204"/>
      <c r="OYU4304" s="204"/>
      <c r="OYV4304" s="185" t="s">
        <v>667</v>
      </c>
      <c r="OYW4304" s="205">
        <v>14460</v>
      </c>
      <c r="OYX4304" s="204"/>
      <c r="OYY4304" s="204"/>
      <c r="OZA4304" s="204"/>
      <c r="OZB4304" s="204"/>
      <c r="OZC4304" s="204"/>
      <c r="OZD4304" s="185" t="s">
        <v>667</v>
      </c>
      <c r="OZE4304" s="205">
        <v>14460</v>
      </c>
      <c r="OZF4304" s="204"/>
      <c r="OZG4304" s="204"/>
      <c r="OZI4304" s="204"/>
      <c r="OZJ4304" s="204"/>
      <c r="OZK4304" s="204"/>
      <c r="OZL4304" s="185" t="s">
        <v>667</v>
      </c>
      <c r="OZM4304" s="205">
        <v>14460</v>
      </c>
      <c r="OZN4304" s="204"/>
      <c r="OZO4304" s="204"/>
      <c r="OZQ4304" s="204"/>
      <c r="OZR4304" s="204"/>
      <c r="OZS4304" s="204"/>
      <c r="OZT4304" s="185" t="s">
        <v>667</v>
      </c>
      <c r="OZU4304" s="205">
        <v>14460</v>
      </c>
      <c r="OZV4304" s="204"/>
      <c r="OZW4304" s="204"/>
      <c r="OZY4304" s="204"/>
      <c r="OZZ4304" s="204"/>
      <c r="PAA4304" s="204"/>
      <c r="PAB4304" s="185" t="s">
        <v>667</v>
      </c>
      <c r="PAC4304" s="205">
        <v>14460</v>
      </c>
      <c r="PAD4304" s="204"/>
      <c r="PAE4304" s="204"/>
      <c r="PAG4304" s="204"/>
      <c r="PAH4304" s="204"/>
      <c r="PAI4304" s="204"/>
      <c r="PAJ4304" s="185" t="s">
        <v>667</v>
      </c>
      <c r="PAK4304" s="205">
        <v>14460</v>
      </c>
      <c r="PAL4304" s="204"/>
      <c r="PAM4304" s="204"/>
      <c r="PAO4304" s="204"/>
      <c r="PAP4304" s="204"/>
      <c r="PAQ4304" s="204"/>
      <c r="PAR4304" s="185" t="s">
        <v>667</v>
      </c>
      <c r="PAS4304" s="205">
        <v>14460</v>
      </c>
      <c r="PAT4304" s="204"/>
      <c r="PAU4304" s="204"/>
      <c r="PAW4304" s="204"/>
      <c r="PAX4304" s="204"/>
      <c r="PAY4304" s="204"/>
      <c r="PAZ4304" s="185" t="s">
        <v>667</v>
      </c>
      <c r="PBA4304" s="205">
        <v>14460</v>
      </c>
      <c r="PBB4304" s="204"/>
      <c r="PBC4304" s="204"/>
      <c r="PBE4304" s="204"/>
      <c r="PBF4304" s="204"/>
      <c r="PBG4304" s="204"/>
      <c r="PBH4304" s="185" t="s">
        <v>667</v>
      </c>
      <c r="PBI4304" s="205">
        <v>14460</v>
      </c>
      <c r="PBJ4304" s="204"/>
      <c r="PBK4304" s="204"/>
      <c r="PBM4304" s="204"/>
      <c r="PBN4304" s="204"/>
      <c r="PBO4304" s="204"/>
      <c r="PBP4304" s="185" t="s">
        <v>667</v>
      </c>
      <c r="PBQ4304" s="205">
        <v>14460</v>
      </c>
      <c r="PBR4304" s="204"/>
      <c r="PBS4304" s="204"/>
      <c r="PBU4304" s="204"/>
      <c r="PBV4304" s="204"/>
      <c r="PBW4304" s="204"/>
      <c r="PBX4304" s="185" t="s">
        <v>667</v>
      </c>
      <c r="PBY4304" s="205">
        <v>14460</v>
      </c>
      <c r="PBZ4304" s="204"/>
      <c r="PCA4304" s="204"/>
      <c r="PCC4304" s="204"/>
      <c r="PCD4304" s="204"/>
      <c r="PCE4304" s="204"/>
      <c r="PCF4304" s="185" t="s">
        <v>667</v>
      </c>
      <c r="PCG4304" s="205">
        <v>14460</v>
      </c>
      <c r="PCH4304" s="204"/>
      <c r="PCI4304" s="204"/>
      <c r="PCK4304" s="204"/>
      <c r="PCL4304" s="204"/>
      <c r="PCM4304" s="204"/>
      <c r="PCN4304" s="185" t="s">
        <v>667</v>
      </c>
      <c r="PCO4304" s="205">
        <v>14460</v>
      </c>
      <c r="PCP4304" s="204"/>
      <c r="PCQ4304" s="204"/>
      <c r="PCS4304" s="204"/>
      <c r="PCT4304" s="204"/>
      <c r="PCU4304" s="204"/>
      <c r="PCV4304" s="185" t="s">
        <v>667</v>
      </c>
      <c r="PCW4304" s="205">
        <v>14460</v>
      </c>
      <c r="PCX4304" s="204"/>
      <c r="PCY4304" s="204"/>
      <c r="PDA4304" s="204"/>
      <c r="PDB4304" s="204"/>
      <c r="PDC4304" s="204"/>
      <c r="PDD4304" s="185" t="s">
        <v>667</v>
      </c>
      <c r="PDE4304" s="205">
        <v>14460</v>
      </c>
      <c r="PDF4304" s="204"/>
      <c r="PDG4304" s="204"/>
      <c r="PDI4304" s="204"/>
      <c r="PDJ4304" s="204"/>
      <c r="PDK4304" s="204"/>
      <c r="PDL4304" s="185" t="s">
        <v>667</v>
      </c>
      <c r="PDM4304" s="205">
        <v>14460</v>
      </c>
      <c r="PDN4304" s="204"/>
      <c r="PDO4304" s="204"/>
      <c r="PDQ4304" s="204"/>
      <c r="PDR4304" s="204"/>
      <c r="PDS4304" s="204"/>
      <c r="PDT4304" s="185" t="s">
        <v>667</v>
      </c>
      <c r="PDU4304" s="205">
        <v>14460</v>
      </c>
      <c r="PDV4304" s="204"/>
      <c r="PDW4304" s="204"/>
      <c r="PDY4304" s="204"/>
      <c r="PDZ4304" s="204"/>
      <c r="PEA4304" s="204"/>
      <c r="PEB4304" s="185" t="s">
        <v>667</v>
      </c>
      <c r="PEC4304" s="205">
        <v>14460</v>
      </c>
      <c r="PED4304" s="204"/>
      <c r="PEE4304" s="204"/>
      <c r="PEG4304" s="204"/>
      <c r="PEH4304" s="204"/>
      <c r="PEI4304" s="204"/>
      <c r="PEJ4304" s="185" t="s">
        <v>667</v>
      </c>
      <c r="PEK4304" s="205">
        <v>14460</v>
      </c>
      <c r="PEL4304" s="204"/>
      <c r="PEM4304" s="204"/>
      <c r="PEO4304" s="204"/>
      <c r="PEP4304" s="204"/>
      <c r="PEQ4304" s="204"/>
      <c r="PER4304" s="185" t="s">
        <v>667</v>
      </c>
      <c r="PES4304" s="205">
        <v>14460</v>
      </c>
      <c r="PET4304" s="204"/>
      <c r="PEU4304" s="204"/>
      <c r="PEW4304" s="204"/>
      <c r="PEX4304" s="204"/>
      <c r="PEY4304" s="204"/>
      <c r="PEZ4304" s="185" t="s">
        <v>667</v>
      </c>
      <c r="PFA4304" s="205">
        <v>14460</v>
      </c>
      <c r="PFB4304" s="204"/>
      <c r="PFC4304" s="204"/>
      <c r="PFE4304" s="204"/>
      <c r="PFF4304" s="204"/>
      <c r="PFG4304" s="204"/>
      <c r="PFH4304" s="185" t="s">
        <v>667</v>
      </c>
      <c r="PFI4304" s="205">
        <v>14460</v>
      </c>
      <c r="PFJ4304" s="204"/>
      <c r="PFK4304" s="204"/>
      <c r="PFM4304" s="204"/>
      <c r="PFN4304" s="204"/>
      <c r="PFO4304" s="204"/>
      <c r="PFP4304" s="185" t="s">
        <v>667</v>
      </c>
      <c r="PFQ4304" s="205">
        <v>14460</v>
      </c>
      <c r="PFR4304" s="204"/>
      <c r="PFS4304" s="204"/>
      <c r="PFU4304" s="204"/>
      <c r="PFV4304" s="204"/>
      <c r="PFW4304" s="204"/>
      <c r="PFX4304" s="185" t="s">
        <v>667</v>
      </c>
      <c r="PFY4304" s="205">
        <v>14460</v>
      </c>
      <c r="PFZ4304" s="204"/>
      <c r="PGA4304" s="204"/>
      <c r="PGC4304" s="204"/>
      <c r="PGD4304" s="204"/>
      <c r="PGE4304" s="204"/>
      <c r="PGF4304" s="185" t="s">
        <v>667</v>
      </c>
      <c r="PGG4304" s="205">
        <v>14460</v>
      </c>
      <c r="PGH4304" s="204"/>
      <c r="PGI4304" s="204"/>
      <c r="PGK4304" s="204"/>
      <c r="PGL4304" s="204"/>
      <c r="PGM4304" s="204"/>
      <c r="PGN4304" s="185" t="s">
        <v>667</v>
      </c>
      <c r="PGO4304" s="205">
        <v>14460</v>
      </c>
      <c r="PGP4304" s="204"/>
      <c r="PGQ4304" s="204"/>
      <c r="PGS4304" s="204"/>
      <c r="PGT4304" s="204"/>
      <c r="PGU4304" s="204"/>
      <c r="PGV4304" s="185" t="s">
        <v>667</v>
      </c>
      <c r="PGW4304" s="205">
        <v>14460</v>
      </c>
      <c r="PGX4304" s="204"/>
      <c r="PGY4304" s="204"/>
      <c r="PHA4304" s="204"/>
      <c r="PHB4304" s="204"/>
      <c r="PHC4304" s="204"/>
      <c r="PHD4304" s="185" t="s">
        <v>667</v>
      </c>
      <c r="PHE4304" s="205">
        <v>14460</v>
      </c>
      <c r="PHF4304" s="204"/>
      <c r="PHG4304" s="204"/>
      <c r="PHI4304" s="204"/>
      <c r="PHJ4304" s="204"/>
      <c r="PHK4304" s="204"/>
      <c r="PHL4304" s="185" t="s">
        <v>667</v>
      </c>
      <c r="PHM4304" s="205">
        <v>14460</v>
      </c>
      <c r="PHN4304" s="204"/>
      <c r="PHO4304" s="204"/>
      <c r="PHQ4304" s="204"/>
      <c r="PHR4304" s="204"/>
      <c r="PHS4304" s="204"/>
      <c r="PHT4304" s="185" t="s">
        <v>667</v>
      </c>
      <c r="PHU4304" s="205">
        <v>14460</v>
      </c>
      <c r="PHV4304" s="204"/>
      <c r="PHW4304" s="204"/>
      <c r="PHY4304" s="204"/>
      <c r="PHZ4304" s="204"/>
      <c r="PIA4304" s="204"/>
      <c r="PIB4304" s="185" t="s">
        <v>667</v>
      </c>
      <c r="PIC4304" s="205">
        <v>14460</v>
      </c>
      <c r="PID4304" s="204"/>
      <c r="PIE4304" s="204"/>
      <c r="PIG4304" s="204"/>
      <c r="PIH4304" s="204"/>
      <c r="PII4304" s="204"/>
      <c r="PIJ4304" s="185" t="s">
        <v>667</v>
      </c>
      <c r="PIK4304" s="205">
        <v>14460</v>
      </c>
      <c r="PIL4304" s="204"/>
      <c r="PIM4304" s="204"/>
      <c r="PIO4304" s="204"/>
      <c r="PIP4304" s="204"/>
      <c r="PIQ4304" s="204"/>
      <c r="PIR4304" s="185" t="s">
        <v>667</v>
      </c>
      <c r="PIS4304" s="205">
        <v>14460</v>
      </c>
      <c r="PIT4304" s="204"/>
      <c r="PIU4304" s="204"/>
      <c r="PIW4304" s="204"/>
      <c r="PIX4304" s="204"/>
      <c r="PIY4304" s="204"/>
      <c r="PIZ4304" s="185" t="s">
        <v>667</v>
      </c>
      <c r="PJA4304" s="205">
        <v>14460</v>
      </c>
      <c r="PJB4304" s="204"/>
      <c r="PJC4304" s="204"/>
      <c r="PJE4304" s="204"/>
      <c r="PJF4304" s="204"/>
      <c r="PJG4304" s="204"/>
      <c r="PJH4304" s="185" t="s">
        <v>667</v>
      </c>
      <c r="PJI4304" s="205">
        <v>14460</v>
      </c>
      <c r="PJJ4304" s="204"/>
      <c r="PJK4304" s="204"/>
      <c r="PJM4304" s="204"/>
      <c r="PJN4304" s="204"/>
      <c r="PJO4304" s="204"/>
      <c r="PJP4304" s="185" t="s">
        <v>667</v>
      </c>
      <c r="PJQ4304" s="205">
        <v>14460</v>
      </c>
      <c r="PJR4304" s="204"/>
      <c r="PJS4304" s="204"/>
      <c r="PJU4304" s="204"/>
      <c r="PJV4304" s="204"/>
      <c r="PJW4304" s="204"/>
      <c r="PJX4304" s="185" t="s">
        <v>667</v>
      </c>
      <c r="PJY4304" s="205">
        <v>14460</v>
      </c>
      <c r="PJZ4304" s="204"/>
      <c r="PKA4304" s="204"/>
      <c r="PKC4304" s="204"/>
      <c r="PKD4304" s="204"/>
      <c r="PKE4304" s="204"/>
      <c r="PKF4304" s="185" t="s">
        <v>667</v>
      </c>
      <c r="PKG4304" s="205">
        <v>14460</v>
      </c>
      <c r="PKH4304" s="204"/>
      <c r="PKI4304" s="204"/>
      <c r="PKK4304" s="204"/>
      <c r="PKL4304" s="204"/>
      <c r="PKM4304" s="204"/>
      <c r="PKN4304" s="185" t="s">
        <v>667</v>
      </c>
      <c r="PKO4304" s="205">
        <v>14460</v>
      </c>
      <c r="PKP4304" s="204"/>
      <c r="PKQ4304" s="204"/>
      <c r="PKS4304" s="204"/>
      <c r="PKT4304" s="204"/>
      <c r="PKU4304" s="204"/>
      <c r="PKV4304" s="185" t="s">
        <v>667</v>
      </c>
      <c r="PKW4304" s="205">
        <v>14460</v>
      </c>
      <c r="PKX4304" s="204"/>
      <c r="PKY4304" s="204"/>
      <c r="PLA4304" s="204"/>
      <c r="PLB4304" s="204"/>
      <c r="PLC4304" s="204"/>
      <c r="PLD4304" s="185" t="s">
        <v>667</v>
      </c>
      <c r="PLE4304" s="205">
        <v>14460</v>
      </c>
      <c r="PLF4304" s="204"/>
      <c r="PLG4304" s="204"/>
      <c r="PLI4304" s="204"/>
      <c r="PLJ4304" s="204"/>
      <c r="PLK4304" s="204"/>
      <c r="PLL4304" s="185" t="s">
        <v>667</v>
      </c>
      <c r="PLM4304" s="205">
        <v>14460</v>
      </c>
      <c r="PLN4304" s="204"/>
      <c r="PLO4304" s="204"/>
      <c r="PLQ4304" s="204"/>
      <c r="PLR4304" s="204"/>
      <c r="PLS4304" s="204"/>
      <c r="PLT4304" s="185" t="s">
        <v>667</v>
      </c>
      <c r="PLU4304" s="205">
        <v>14460</v>
      </c>
      <c r="PLV4304" s="204"/>
      <c r="PLW4304" s="204"/>
      <c r="PLY4304" s="204"/>
      <c r="PLZ4304" s="204"/>
      <c r="PMA4304" s="204"/>
      <c r="PMB4304" s="185" t="s">
        <v>667</v>
      </c>
      <c r="PMC4304" s="205">
        <v>14460</v>
      </c>
      <c r="PMD4304" s="204"/>
      <c r="PME4304" s="204"/>
      <c r="PMG4304" s="204"/>
      <c r="PMH4304" s="204"/>
      <c r="PMI4304" s="204"/>
      <c r="PMJ4304" s="185" t="s">
        <v>667</v>
      </c>
      <c r="PMK4304" s="205">
        <v>14460</v>
      </c>
      <c r="PML4304" s="204"/>
      <c r="PMM4304" s="204"/>
      <c r="PMO4304" s="204"/>
      <c r="PMP4304" s="204"/>
      <c r="PMQ4304" s="204"/>
      <c r="PMR4304" s="185" t="s">
        <v>667</v>
      </c>
      <c r="PMS4304" s="205">
        <v>14460</v>
      </c>
      <c r="PMT4304" s="204"/>
      <c r="PMU4304" s="204"/>
      <c r="PMW4304" s="204"/>
      <c r="PMX4304" s="204"/>
      <c r="PMY4304" s="204"/>
      <c r="PMZ4304" s="185" t="s">
        <v>667</v>
      </c>
      <c r="PNA4304" s="205">
        <v>14460</v>
      </c>
      <c r="PNB4304" s="204"/>
      <c r="PNC4304" s="204"/>
      <c r="PNE4304" s="204"/>
      <c r="PNF4304" s="204"/>
      <c r="PNG4304" s="204"/>
      <c r="PNH4304" s="185" t="s">
        <v>667</v>
      </c>
      <c r="PNI4304" s="205">
        <v>14460</v>
      </c>
      <c r="PNJ4304" s="204"/>
      <c r="PNK4304" s="204"/>
      <c r="PNM4304" s="204"/>
      <c r="PNN4304" s="204"/>
      <c r="PNO4304" s="204"/>
      <c r="PNP4304" s="185" t="s">
        <v>667</v>
      </c>
      <c r="PNQ4304" s="205">
        <v>14460</v>
      </c>
      <c r="PNR4304" s="204"/>
      <c r="PNS4304" s="204"/>
      <c r="PNU4304" s="204"/>
      <c r="PNV4304" s="204"/>
      <c r="PNW4304" s="204"/>
      <c r="PNX4304" s="185" t="s">
        <v>667</v>
      </c>
      <c r="PNY4304" s="205">
        <v>14460</v>
      </c>
      <c r="PNZ4304" s="204"/>
      <c r="POA4304" s="204"/>
      <c r="POC4304" s="204"/>
      <c r="POD4304" s="204"/>
      <c r="POE4304" s="204"/>
      <c r="POF4304" s="185" t="s">
        <v>667</v>
      </c>
      <c r="POG4304" s="205">
        <v>14460</v>
      </c>
      <c r="POH4304" s="204"/>
      <c r="POI4304" s="204"/>
      <c r="POK4304" s="204"/>
      <c r="POL4304" s="204"/>
      <c r="POM4304" s="204"/>
      <c r="PON4304" s="185" t="s">
        <v>667</v>
      </c>
      <c r="POO4304" s="205">
        <v>14460</v>
      </c>
      <c r="POP4304" s="204"/>
      <c r="POQ4304" s="204"/>
      <c r="POS4304" s="204"/>
      <c r="POT4304" s="204"/>
      <c r="POU4304" s="204"/>
      <c r="POV4304" s="185" t="s">
        <v>667</v>
      </c>
      <c r="POW4304" s="205">
        <v>14460</v>
      </c>
      <c r="POX4304" s="204"/>
      <c r="POY4304" s="204"/>
      <c r="PPA4304" s="204"/>
      <c r="PPB4304" s="204"/>
      <c r="PPC4304" s="204"/>
      <c r="PPD4304" s="185" t="s">
        <v>667</v>
      </c>
      <c r="PPE4304" s="205">
        <v>14460</v>
      </c>
      <c r="PPF4304" s="204"/>
      <c r="PPG4304" s="204"/>
      <c r="PPI4304" s="204"/>
      <c r="PPJ4304" s="204"/>
      <c r="PPK4304" s="204"/>
      <c r="PPL4304" s="185" t="s">
        <v>667</v>
      </c>
      <c r="PPM4304" s="205">
        <v>14460</v>
      </c>
      <c r="PPN4304" s="204"/>
      <c r="PPO4304" s="204"/>
      <c r="PPQ4304" s="204"/>
      <c r="PPR4304" s="204"/>
      <c r="PPS4304" s="204"/>
      <c r="PPT4304" s="185" t="s">
        <v>667</v>
      </c>
      <c r="PPU4304" s="205">
        <v>14460</v>
      </c>
      <c r="PPV4304" s="204"/>
      <c r="PPW4304" s="204"/>
      <c r="PPY4304" s="204"/>
      <c r="PPZ4304" s="204"/>
      <c r="PQA4304" s="204"/>
      <c r="PQB4304" s="185" t="s">
        <v>667</v>
      </c>
      <c r="PQC4304" s="205">
        <v>14460</v>
      </c>
      <c r="PQD4304" s="204"/>
      <c r="PQE4304" s="204"/>
      <c r="PQG4304" s="204"/>
      <c r="PQH4304" s="204"/>
      <c r="PQI4304" s="204"/>
      <c r="PQJ4304" s="185" t="s">
        <v>667</v>
      </c>
      <c r="PQK4304" s="205">
        <v>14460</v>
      </c>
      <c r="PQL4304" s="204"/>
      <c r="PQM4304" s="204"/>
      <c r="PQO4304" s="204"/>
      <c r="PQP4304" s="204"/>
      <c r="PQQ4304" s="204"/>
      <c r="PQR4304" s="185" t="s">
        <v>667</v>
      </c>
      <c r="PQS4304" s="205">
        <v>14460</v>
      </c>
      <c r="PQT4304" s="204"/>
      <c r="PQU4304" s="204"/>
      <c r="PQW4304" s="204"/>
      <c r="PQX4304" s="204"/>
      <c r="PQY4304" s="204"/>
      <c r="PQZ4304" s="185" t="s">
        <v>667</v>
      </c>
      <c r="PRA4304" s="205">
        <v>14460</v>
      </c>
      <c r="PRB4304" s="204"/>
      <c r="PRC4304" s="204"/>
      <c r="PRE4304" s="204"/>
      <c r="PRF4304" s="204"/>
      <c r="PRG4304" s="204"/>
      <c r="PRH4304" s="185" t="s">
        <v>667</v>
      </c>
      <c r="PRI4304" s="205">
        <v>14460</v>
      </c>
      <c r="PRJ4304" s="204"/>
      <c r="PRK4304" s="204"/>
      <c r="PRM4304" s="204"/>
      <c r="PRN4304" s="204"/>
      <c r="PRO4304" s="204"/>
      <c r="PRP4304" s="185" t="s">
        <v>667</v>
      </c>
      <c r="PRQ4304" s="205">
        <v>14460</v>
      </c>
      <c r="PRR4304" s="204"/>
      <c r="PRS4304" s="204"/>
      <c r="PRU4304" s="204"/>
      <c r="PRV4304" s="204"/>
      <c r="PRW4304" s="204"/>
      <c r="PRX4304" s="185" t="s">
        <v>667</v>
      </c>
      <c r="PRY4304" s="205">
        <v>14460</v>
      </c>
      <c r="PRZ4304" s="204"/>
      <c r="PSA4304" s="204"/>
      <c r="PSC4304" s="204"/>
      <c r="PSD4304" s="204"/>
      <c r="PSE4304" s="204"/>
      <c r="PSF4304" s="185" t="s">
        <v>667</v>
      </c>
      <c r="PSG4304" s="205">
        <v>14460</v>
      </c>
      <c r="PSH4304" s="204"/>
      <c r="PSI4304" s="204"/>
      <c r="PSK4304" s="204"/>
      <c r="PSL4304" s="204"/>
      <c r="PSM4304" s="204"/>
      <c r="PSN4304" s="185" t="s">
        <v>667</v>
      </c>
      <c r="PSO4304" s="205">
        <v>14460</v>
      </c>
      <c r="PSP4304" s="204"/>
      <c r="PSQ4304" s="204"/>
      <c r="PSS4304" s="204"/>
      <c r="PST4304" s="204"/>
      <c r="PSU4304" s="204"/>
      <c r="PSV4304" s="185" t="s">
        <v>667</v>
      </c>
      <c r="PSW4304" s="205">
        <v>14460</v>
      </c>
      <c r="PSX4304" s="204"/>
      <c r="PSY4304" s="204"/>
      <c r="PTA4304" s="204"/>
      <c r="PTB4304" s="204"/>
      <c r="PTC4304" s="204"/>
      <c r="PTD4304" s="185" t="s">
        <v>667</v>
      </c>
      <c r="PTE4304" s="205">
        <v>14460</v>
      </c>
      <c r="PTF4304" s="204"/>
      <c r="PTG4304" s="204"/>
      <c r="PTI4304" s="204"/>
      <c r="PTJ4304" s="204"/>
      <c r="PTK4304" s="204"/>
      <c r="PTL4304" s="185" t="s">
        <v>667</v>
      </c>
      <c r="PTM4304" s="205">
        <v>14460</v>
      </c>
      <c r="PTN4304" s="204"/>
      <c r="PTO4304" s="204"/>
      <c r="PTQ4304" s="204"/>
      <c r="PTR4304" s="204"/>
      <c r="PTS4304" s="204"/>
      <c r="PTT4304" s="185" t="s">
        <v>667</v>
      </c>
      <c r="PTU4304" s="205">
        <v>14460</v>
      </c>
      <c r="PTV4304" s="204"/>
      <c r="PTW4304" s="204"/>
      <c r="PTY4304" s="204"/>
      <c r="PTZ4304" s="204"/>
      <c r="PUA4304" s="204"/>
      <c r="PUB4304" s="185" t="s">
        <v>667</v>
      </c>
      <c r="PUC4304" s="205">
        <v>14460</v>
      </c>
      <c r="PUD4304" s="204"/>
      <c r="PUE4304" s="204"/>
      <c r="PUG4304" s="204"/>
      <c r="PUH4304" s="204"/>
      <c r="PUI4304" s="204"/>
      <c r="PUJ4304" s="185" t="s">
        <v>667</v>
      </c>
      <c r="PUK4304" s="205">
        <v>14460</v>
      </c>
      <c r="PUL4304" s="204"/>
      <c r="PUM4304" s="204"/>
      <c r="PUO4304" s="204"/>
      <c r="PUP4304" s="204"/>
      <c r="PUQ4304" s="204"/>
      <c r="PUR4304" s="185" t="s">
        <v>667</v>
      </c>
      <c r="PUS4304" s="205">
        <v>14460</v>
      </c>
      <c r="PUT4304" s="204"/>
      <c r="PUU4304" s="204"/>
      <c r="PUW4304" s="204"/>
      <c r="PUX4304" s="204"/>
      <c r="PUY4304" s="204"/>
      <c r="PUZ4304" s="185" t="s">
        <v>667</v>
      </c>
      <c r="PVA4304" s="205">
        <v>14460</v>
      </c>
      <c r="PVB4304" s="204"/>
      <c r="PVC4304" s="204"/>
      <c r="PVE4304" s="204"/>
      <c r="PVF4304" s="204"/>
      <c r="PVG4304" s="204"/>
      <c r="PVH4304" s="185" t="s">
        <v>667</v>
      </c>
      <c r="PVI4304" s="205">
        <v>14460</v>
      </c>
      <c r="PVJ4304" s="204"/>
      <c r="PVK4304" s="204"/>
      <c r="PVM4304" s="204"/>
      <c r="PVN4304" s="204"/>
      <c r="PVO4304" s="204"/>
      <c r="PVP4304" s="185" t="s">
        <v>667</v>
      </c>
      <c r="PVQ4304" s="205">
        <v>14460</v>
      </c>
      <c r="PVR4304" s="204"/>
      <c r="PVS4304" s="204"/>
      <c r="PVU4304" s="204"/>
      <c r="PVV4304" s="204"/>
      <c r="PVW4304" s="204"/>
      <c r="PVX4304" s="185" t="s">
        <v>667</v>
      </c>
      <c r="PVY4304" s="205">
        <v>14460</v>
      </c>
      <c r="PVZ4304" s="204"/>
      <c r="PWA4304" s="204"/>
      <c r="PWC4304" s="204"/>
      <c r="PWD4304" s="204"/>
      <c r="PWE4304" s="204"/>
      <c r="PWF4304" s="185" t="s">
        <v>667</v>
      </c>
      <c r="PWG4304" s="205">
        <v>14460</v>
      </c>
      <c r="PWH4304" s="204"/>
      <c r="PWI4304" s="204"/>
      <c r="PWK4304" s="204"/>
      <c r="PWL4304" s="204"/>
      <c r="PWM4304" s="204"/>
      <c r="PWN4304" s="185" t="s">
        <v>667</v>
      </c>
      <c r="PWO4304" s="205">
        <v>14460</v>
      </c>
      <c r="PWP4304" s="204"/>
      <c r="PWQ4304" s="204"/>
      <c r="PWS4304" s="204"/>
      <c r="PWT4304" s="204"/>
      <c r="PWU4304" s="204"/>
      <c r="PWV4304" s="185" t="s">
        <v>667</v>
      </c>
      <c r="PWW4304" s="205">
        <v>14460</v>
      </c>
      <c r="PWX4304" s="204"/>
      <c r="PWY4304" s="204"/>
      <c r="PXA4304" s="204"/>
      <c r="PXB4304" s="204"/>
      <c r="PXC4304" s="204"/>
      <c r="PXD4304" s="185" t="s">
        <v>667</v>
      </c>
      <c r="PXE4304" s="205">
        <v>14460</v>
      </c>
      <c r="PXF4304" s="204"/>
      <c r="PXG4304" s="204"/>
      <c r="PXI4304" s="204"/>
      <c r="PXJ4304" s="204"/>
      <c r="PXK4304" s="204"/>
      <c r="PXL4304" s="185" t="s">
        <v>667</v>
      </c>
      <c r="PXM4304" s="205">
        <v>14460</v>
      </c>
      <c r="PXN4304" s="204"/>
      <c r="PXO4304" s="204"/>
      <c r="PXQ4304" s="204"/>
      <c r="PXR4304" s="204"/>
      <c r="PXS4304" s="204"/>
      <c r="PXT4304" s="185" t="s">
        <v>667</v>
      </c>
      <c r="PXU4304" s="205">
        <v>14460</v>
      </c>
      <c r="PXV4304" s="204"/>
      <c r="PXW4304" s="204"/>
      <c r="PXY4304" s="204"/>
      <c r="PXZ4304" s="204"/>
      <c r="PYA4304" s="204"/>
      <c r="PYB4304" s="185" t="s">
        <v>667</v>
      </c>
      <c r="PYC4304" s="205">
        <v>14460</v>
      </c>
      <c r="PYD4304" s="204"/>
      <c r="PYE4304" s="204"/>
      <c r="PYG4304" s="204"/>
      <c r="PYH4304" s="204"/>
      <c r="PYI4304" s="204"/>
      <c r="PYJ4304" s="185" t="s">
        <v>667</v>
      </c>
      <c r="PYK4304" s="205">
        <v>14460</v>
      </c>
      <c r="PYL4304" s="204"/>
      <c r="PYM4304" s="204"/>
      <c r="PYO4304" s="204"/>
      <c r="PYP4304" s="204"/>
      <c r="PYQ4304" s="204"/>
      <c r="PYR4304" s="185" t="s">
        <v>667</v>
      </c>
      <c r="PYS4304" s="205">
        <v>14460</v>
      </c>
      <c r="PYT4304" s="204"/>
      <c r="PYU4304" s="204"/>
      <c r="PYW4304" s="204"/>
      <c r="PYX4304" s="204"/>
      <c r="PYY4304" s="204"/>
      <c r="PYZ4304" s="185" t="s">
        <v>667</v>
      </c>
      <c r="PZA4304" s="205">
        <v>14460</v>
      </c>
      <c r="PZB4304" s="204"/>
      <c r="PZC4304" s="204"/>
      <c r="PZE4304" s="204"/>
      <c r="PZF4304" s="204"/>
      <c r="PZG4304" s="204"/>
      <c r="PZH4304" s="185" t="s">
        <v>667</v>
      </c>
      <c r="PZI4304" s="205">
        <v>14460</v>
      </c>
      <c r="PZJ4304" s="204"/>
      <c r="PZK4304" s="204"/>
      <c r="PZM4304" s="204"/>
      <c r="PZN4304" s="204"/>
      <c r="PZO4304" s="204"/>
      <c r="PZP4304" s="185" t="s">
        <v>667</v>
      </c>
      <c r="PZQ4304" s="205">
        <v>14460</v>
      </c>
      <c r="PZR4304" s="204"/>
      <c r="PZS4304" s="204"/>
      <c r="PZU4304" s="204"/>
      <c r="PZV4304" s="204"/>
      <c r="PZW4304" s="204"/>
      <c r="PZX4304" s="185" t="s">
        <v>667</v>
      </c>
      <c r="PZY4304" s="205">
        <v>14460</v>
      </c>
      <c r="PZZ4304" s="204"/>
      <c r="QAA4304" s="204"/>
      <c r="QAC4304" s="204"/>
      <c r="QAD4304" s="204"/>
      <c r="QAE4304" s="204"/>
      <c r="QAF4304" s="185" t="s">
        <v>667</v>
      </c>
      <c r="QAG4304" s="205">
        <v>14460</v>
      </c>
      <c r="QAH4304" s="204"/>
      <c r="QAI4304" s="204"/>
      <c r="QAK4304" s="204"/>
      <c r="QAL4304" s="204"/>
      <c r="QAM4304" s="204"/>
      <c r="QAN4304" s="185" t="s">
        <v>667</v>
      </c>
      <c r="QAO4304" s="205">
        <v>14460</v>
      </c>
      <c r="QAP4304" s="204"/>
      <c r="QAQ4304" s="204"/>
      <c r="QAS4304" s="204"/>
      <c r="QAT4304" s="204"/>
      <c r="QAU4304" s="204"/>
      <c r="QAV4304" s="185" t="s">
        <v>667</v>
      </c>
      <c r="QAW4304" s="205">
        <v>14460</v>
      </c>
      <c r="QAX4304" s="204"/>
      <c r="QAY4304" s="204"/>
      <c r="QBA4304" s="204"/>
      <c r="QBB4304" s="204"/>
      <c r="QBC4304" s="204"/>
      <c r="QBD4304" s="185" t="s">
        <v>667</v>
      </c>
      <c r="QBE4304" s="205">
        <v>14460</v>
      </c>
      <c r="QBF4304" s="204"/>
      <c r="QBG4304" s="204"/>
      <c r="QBI4304" s="204"/>
      <c r="QBJ4304" s="204"/>
      <c r="QBK4304" s="204"/>
      <c r="QBL4304" s="185" t="s">
        <v>667</v>
      </c>
      <c r="QBM4304" s="205">
        <v>14460</v>
      </c>
      <c r="QBN4304" s="204"/>
      <c r="QBO4304" s="204"/>
      <c r="QBQ4304" s="204"/>
      <c r="QBR4304" s="204"/>
      <c r="QBS4304" s="204"/>
      <c r="QBT4304" s="185" t="s">
        <v>667</v>
      </c>
      <c r="QBU4304" s="205">
        <v>14460</v>
      </c>
      <c r="QBV4304" s="204"/>
      <c r="QBW4304" s="204"/>
      <c r="QBY4304" s="204"/>
      <c r="QBZ4304" s="204"/>
      <c r="QCA4304" s="204"/>
      <c r="QCB4304" s="185" t="s">
        <v>667</v>
      </c>
      <c r="QCC4304" s="205">
        <v>14460</v>
      </c>
      <c r="QCD4304" s="204"/>
      <c r="QCE4304" s="204"/>
      <c r="QCG4304" s="204"/>
      <c r="QCH4304" s="204"/>
      <c r="QCI4304" s="204"/>
      <c r="QCJ4304" s="185" t="s">
        <v>667</v>
      </c>
      <c r="QCK4304" s="205">
        <v>14460</v>
      </c>
      <c r="QCL4304" s="204"/>
      <c r="QCM4304" s="204"/>
      <c r="QCO4304" s="204"/>
      <c r="QCP4304" s="204"/>
      <c r="QCQ4304" s="204"/>
      <c r="QCR4304" s="185" t="s">
        <v>667</v>
      </c>
      <c r="QCS4304" s="205">
        <v>14460</v>
      </c>
      <c r="QCT4304" s="204"/>
      <c r="QCU4304" s="204"/>
      <c r="QCW4304" s="204"/>
      <c r="QCX4304" s="204"/>
      <c r="QCY4304" s="204"/>
      <c r="QCZ4304" s="185" t="s">
        <v>667</v>
      </c>
      <c r="QDA4304" s="205">
        <v>14460</v>
      </c>
      <c r="QDB4304" s="204"/>
      <c r="QDC4304" s="204"/>
      <c r="QDE4304" s="204"/>
      <c r="QDF4304" s="204"/>
      <c r="QDG4304" s="204"/>
      <c r="QDH4304" s="185" t="s">
        <v>667</v>
      </c>
      <c r="QDI4304" s="205">
        <v>14460</v>
      </c>
      <c r="QDJ4304" s="204"/>
      <c r="QDK4304" s="204"/>
      <c r="QDM4304" s="204"/>
      <c r="QDN4304" s="204"/>
      <c r="QDO4304" s="204"/>
      <c r="QDP4304" s="185" t="s">
        <v>667</v>
      </c>
      <c r="QDQ4304" s="205">
        <v>14460</v>
      </c>
      <c r="QDR4304" s="204"/>
      <c r="QDS4304" s="204"/>
      <c r="QDU4304" s="204"/>
      <c r="QDV4304" s="204"/>
      <c r="QDW4304" s="204"/>
      <c r="QDX4304" s="185" t="s">
        <v>667</v>
      </c>
      <c r="QDY4304" s="205">
        <v>14460</v>
      </c>
      <c r="QDZ4304" s="204"/>
      <c r="QEA4304" s="204"/>
      <c r="QEC4304" s="204"/>
      <c r="QED4304" s="204"/>
      <c r="QEE4304" s="204"/>
      <c r="QEF4304" s="185" t="s">
        <v>667</v>
      </c>
      <c r="QEG4304" s="205">
        <v>14460</v>
      </c>
      <c r="QEH4304" s="204"/>
      <c r="QEI4304" s="204"/>
      <c r="QEK4304" s="204"/>
      <c r="QEL4304" s="204"/>
      <c r="QEM4304" s="204"/>
      <c r="QEN4304" s="185" t="s">
        <v>667</v>
      </c>
      <c r="QEO4304" s="205">
        <v>14460</v>
      </c>
      <c r="QEP4304" s="204"/>
      <c r="QEQ4304" s="204"/>
      <c r="QES4304" s="204"/>
      <c r="QET4304" s="204"/>
      <c r="QEU4304" s="204"/>
      <c r="QEV4304" s="185" t="s">
        <v>667</v>
      </c>
      <c r="QEW4304" s="205">
        <v>14460</v>
      </c>
      <c r="QEX4304" s="204"/>
      <c r="QEY4304" s="204"/>
      <c r="QFA4304" s="204"/>
      <c r="QFB4304" s="204"/>
      <c r="QFC4304" s="204"/>
      <c r="QFD4304" s="185" t="s">
        <v>667</v>
      </c>
      <c r="QFE4304" s="205">
        <v>14460</v>
      </c>
      <c r="QFF4304" s="204"/>
      <c r="QFG4304" s="204"/>
      <c r="QFI4304" s="204"/>
      <c r="QFJ4304" s="204"/>
      <c r="QFK4304" s="204"/>
      <c r="QFL4304" s="185" t="s">
        <v>667</v>
      </c>
      <c r="QFM4304" s="205">
        <v>14460</v>
      </c>
      <c r="QFN4304" s="204"/>
      <c r="QFO4304" s="204"/>
      <c r="QFQ4304" s="204"/>
      <c r="QFR4304" s="204"/>
      <c r="QFS4304" s="204"/>
      <c r="QFT4304" s="185" t="s">
        <v>667</v>
      </c>
      <c r="QFU4304" s="205">
        <v>14460</v>
      </c>
      <c r="QFV4304" s="204"/>
      <c r="QFW4304" s="204"/>
      <c r="QFY4304" s="204"/>
      <c r="QFZ4304" s="204"/>
      <c r="QGA4304" s="204"/>
      <c r="QGB4304" s="185" t="s">
        <v>667</v>
      </c>
      <c r="QGC4304" s="205">
        <v>14460</v>
      </c>
      <c r="QGD4304" s="204"/>
      <c r="QGE4304" s="204"/>
      <c r="QGG4304" s="204"/>
      <c r="QGH4304" s="204"/>
      <c r="QGI4304" s="204"/>
      <c r="QGJ4304" s="185" t="s">
        <v>667</v>
      </c>
      <c r="QGK4304" s="205">
        <v>14460</v>
      </c>
      <c r="QGL4304" s="204"/>
      <c r="QGM4304" s="204"/>
      <c r="QGO4304" s="204"/>
      <c r="QGP4304" s="204"/>
      <c r="QGQ4304" s="204"/>
      <c r="QGR4304" s="185" t="s">
        <v>667</v>
      </c>
      <c r="QGS4304" s="205">
        <v>14460</v>
      </c>
      <c r="QGT4304" s="204"/>
      <c r="QGU4304" s="204"/>
      <c r="QGW4304" s="204"/>
      <c r="QGX4304" s="204"/>
      <c r="QGY4304" s="204"/>
      <c r="QGZ4304" s="185" t="s">
        <v>667</v>
      </c>
      <c r="QHA4304" s="205">
        <v>14460</v>
      </c>
      <c r="QHB4304" s="204"/>
      <c r="QHC4304" s="204"/>
      <c r="QHE4304" s="204"/>
      <c r="QHF4304" s="204"/>
      <c r="QHG4304" s="204"/>
      <c r="QHH4304" s="185" t="s">
        <v>667</v>
      </c>
      <c r="QHI4304" s="205">
        <v>14460</v>
      </c>
      <c r="QHJ4304" s="204"/>
      <c r="QHK4304" s="204"/>
      <c r="QHM4304" s="204"/>
      <c r="QHN4304" s="204"/>
      <c r="QHO4304" s="204"/>
      <c r="QHP4304" s="185" t="s">
        <v>667</v>
      </c>
      <c r="QHQ4304" s="205">
        <v>14460</v>
      </c>
      <c r="QHR4304" s="204"/>
      <c r="QHS4304" s="204"/>
      <c r="QHU4304" s="204"/>
      <c r="QHV4304" s="204"/>
      <c r="QHW4304" s="204"/>
      <c r="QHX4304" s="185" t="s">
        <v>667</v>
      </c>
      <c r="QHY4304" s="205">
        <v>14460</v>
      </c>
      <c r="QHZ4304" s="204"/>
      <c r="QIA4304" s="204"/>
      <c r="QIC4304" s="204"/>
      <c r="QID4304" s="204"/>
      <c r="QIE4304" s="204"/>
      <c r="QIF4304" s="185" t="s">
        <v>667</v>
      </c>
      <c r="QIG4304" s="205">
        <v>14460</v>
      </c>
      <c r="QIH4304" s="204"/>
      <c r="QII4304" s="204"/>
      <c r="QIK4304" s="204"/>
      <c r="QIL4304" s="204"/>
      <c r="QIM4304" s="204"/>
      <c r="QIN4304" s="185" t="s">
        <v>667</v>
      </c>
      <c r="QIO4304" s="205">
        <v>14460</v>
      </c>
      <c r="QIP4304" s="204"/>
      <c r="QIQ4304" s="204"/>
      <c r="QIS4304" s="204"/>
      <c r="QIT4304" s="204"/>
      <c r="QIU4304" s="204"/>
      <c r="QIV4304" s="185" t="s">
        <v>667</v>
      </c>
      <c r="QIW4304" s="205">
        <v>14460</v>
      </c>
      <c r="QIX4304" s="204"/>
      <c r="QIY4304" s="204"/>
      <c r="QJA4304" s="204"/>
      <c r="QJB4304" s="204"/>
      <c r="QJC4304" s="204"/>
      <c r="QJD4304" s="185" t="s">
        <v>667</v>
      </c>
      <c r="QJE4304" s="205">
        <v>14460</v>
      </c>
      <c r="QJF4304" s="204"/>
      <c r="QJG4304" s="204"/>
      <c r="QJI4304" s="204"/>
      <c r="QJJ4304" s="204"/>
      <c r="QJK4304" s="204"/>
      <c r="QJL4304" s="185" t="s">
        <v>667</v>
      </c>
      <c r="QJM4304" s="205">
        <v>14460</v>
      </c>
      <c r="QJN4304" s="204"/>
      <c r="QJO4304" s="204"/>
      <c r="QJQ4304" s="204"/>
      <c r="QJR4304" s="204"/>
      <c r="QJS4304" s="204"/>
      <c r="QJT4304" s="185" t="s">
        <v>667</v>
      </c>
      <c r="QJU4304" s="205">
        <v>14460</v>
      </c>
      <c r="QJV4304" s="204"/>
      <c r="QJW4304" s="204"/>
      <c r="QJY4304" s="204"/>
      <c r="QJZ4304" s="204"/>
      <c r="QKA4304" s="204"/>
      <c r="QKB4304" s="185" t="s">
        <v>667</v>
      </c>
      <c r="QKC4304" s="205">
        <v>14460</v>
      </c>
      <c r="QKD4304" s="204"/>
      <c r="QKE4304" s="204"/>
      <c r="QKG4304" s="204"/>
      <c r="QKH4304" s="204"/>
      <c r="QKI4304" s="204"/>
      <c r="QKJ4304" s="185" t="s">
        <v>667</v>
      </c>
      <c r="QKK4304" s="205">
        <v>14460</v>
      </c>
      <c r="QKL4304" s="204"/>
      <c r="QKM4304" s="204"/>
      <c r="QKO4304" s="204"/>
      <c r="QKP4304" s="204"/>
      <c r="QKQ4304" s="204"/>
      <c r="QKR4304" s="185" t="s">
        <v>667</v>
      </c>
      <c r="QKS4304" s="205">
        <v>14460</v>
      </c>
      <c r="QKT4304" s="204"/>
      <c r="QKU4304" s="204"/>
      <c r="QKW4304" s="204"/>
      <c r="QKX4304" s="204"/>
      <c r="QKY4304" s="204"/>
      <c r="QKZ4304" s="185" t="s">
        <v>667</v>
      </c>
      <c r="QLA4304" s="205">
        <v>14460</v>
      </c>
      <c r="QLB4304" s="204"/>
      <c r="QLC4304" s="204"/>
      <c r="QLE4304" s="204"/>
      <c r="QLF4304" s="204"/>
      <c r="QLG4304" s="204"/>
      <c r="QLH4304" s="185" t="s">
        <v>667</v>
      </c>
      <c r="QLI4304" s="205">
        <v>14460</v>
      </c>
      <c r="QLJ4304" s="204"/>
      <c r="QLK4304" s="204"/>
      <c r="QLM4304" s="204"/>
      <c r="QLN4304" s="204"/>
      <c r="QLO4304" s="204"/>
      <c r="QLP4304" s="185" t="s">
        <v>667</v>
      </c>
      <c r="QLQ4304" s="205">
        <v>14460</v>
      </c>
      <c r="QLR4304" s="204"/>
      <c r="QLS4304" s="204"/>
      <c r="QLU4304" s="204"/>
      <c r="QLV4304" s="204"/>
      <c r="QLW4304" s="204"/>
      <c r="QLX4304" s="185" t="s">
        <v>667</v>
      </c>
      <c r="QLY4304" s="205">
        <v>14460</v>
      </c>
      <c r="QLZ4304" s="204"/>
      <c r="QMA4304" s="204"/>
      <c r="QMC4304" s="204"/>
      <c r="QMD4304" s="204"/>
      <c r="QME4304" s="204"/>
      <c r="QMF4304" s="185" t="s">
        <v>667</v>
      </c>
      <c r="QMG4304" s="205">
        <v>14460</v>
      </c>
      <c r="QMH4304" s="204"/>
      <c r="QMI4304" s="204"/>
      <c r="QMK4304" s="204"/>
      <c r="QML4304" s="204"/>
      <c r="QMM4304" s="204"/>
      <c r="QMN4304" s="185" t="s">
        <v>667</v>
      </c>
      <c r="QMO4304" s="205">
        <v>14460</v>
      </c>
      <c r="QMP4304" s="204"/>
      <c r="QMQ4304" s="204"/>
      <c r="QMS4304" s="204"/>
      <c r="QMT4304" s="204"/>
      <c r="QMU4304" s="204"/>
      <c r="QMV4304" s="185" t="s">
        <v>667</v>
      </c>
      <c r="QMW4304" s="205">
        <v>14460</v>
      </c>
      <c r="QMX4304" s="204"/>
      <c r="QMY4304" s="204"/>
      <c r="QNA4304" s="204"/>
      <c r="QNB4304" s="204"/>
      <c r="QNC4304" s="204"/>
      <c r="QND4304" s="185" t="s">
        <v>667</v>
      </c>
      <c r="QNE4304" s="205">
        <v>14460</v>
      </c>
      <c r="QNF4304" s="204"/>
      <c r="QNG4304" s="204"/>
      <c r="QNI4304" s="204"/>
      <c r="QNJ4304" s="204"/>
      <c r="QNK4304" s="204"/>
      <c r="QNL4304" s="185" t="s">
        <v>667</v>
      </c>
      <c r="QNM4304" s="205">
        <v>14460</v>
      </c>
      <c r="QNN4304" s="204"/>
      <c r="QNO4304" s="204"/>
      <c r="QNQ4304" s="204"/>
      <c r="QNR4304" s="204"/>
      <c r="QNS4304" s="204"/>
      <c r="QNT4304" s="185" t="s">
        <v>667</v>
      </c>
      <c r="QNU4304" s="205">
        <v>14460</v>
      </c>
      <c r="QNV4304" s="204"/>
      <c r="QNW4304" s="204"/>
      <c r="QNY4304" s="204"/>
      <c r="QNZ4304" s="204"/>
      <c r="QOA4304" s="204"/>
      <c r="QOB4304" s="185" t="s">
        <v>667</v>
      </c>
      <c r="QOC4304" s="205">
        <v>14460</v>
      </c>
      <c r="QOD4304" s="204"/>
      <c r="QOE4304" s="204"/>
      <c r="QOG4304" s="204"/>
      <c r="QOH4304" s="204"/>
      <c r="QOI4304" s="204"/>
      <c r="QOJ4304" s="185" t="s">
        <v>667</v>
      </c>
      <c r="QOK4304" s="205">
        <v>14460</v>
      </c>
      <c r="QOL4304" s="204"/>
      <c r="QOM4304" s="204"/>
      <c r="QOO4304" s="204"/>
      <c r="QOP4304" s="204"/>
      <c r="QOQ4304" s="204"/>
      <c r="QOR4304" s="185" t="s">
        <v>667</v>
      </c>
      <c r="QOS4304" s="205">
        <v>14460</v>
      </c>
      <c r="QOT4304" s="204"/>
      <c r="QOU4304" s="204"/>
      <c r="QOW4304" s="204"/>
      <c r="QOX4304" s="204"/>
      <c r="QOY4304" s="204"/>
      <c r="QOZ4304" s="185" t="s">
        <v>667</v>
      </c>
      <c r="QPA4304" s="205">
        <v>14460</v>
      </c>
      <c r="QPB4304" s="204"/>
      <c r="QPC4304" s="204"/>
      <c r="QPE4304" s="204"/>
      <c r="QPF4304" s="204"/>
      <c r="QPG4304" s="204"/>
      <c r="QPH4304" s="185" t="s">
        <v>667</v>
      </c>
      <c r="QPI4304" s="205">
        <v>14460</v>
      </c>
      <c r="QPJ4304" s="204"/>
      <c r="QPK4304" s="204"/>
      <c r="QPM4304" s="204"/>
      <c r="QPN4304" s="204"/>
      <c r="QPO4304" s="204"/>
      <c r="QPP4304" s="185" t="s">
        <v>667</v>
      </c>
      <c r="QPQ4304" s="205">
        <v>14460</v>
      </c>
      <c r="QPR4304" s="204"/>
      <c r="QPS4304" s="204"/>
      <c r="QPU4304" s="204"/>
      <c r="QPV4304" s="204"/>
      <c r="QPW4304" s="204"/>
      <c r="QPX4304" s="185" t="s">
        <v>667</v>
      </c>
      <c r="QPY4304" s="205">
        <v>14460</v>
      </c>
      <c r="QPZ4304" s="204"/>
      <c r="QQA4304" s="204"/>
      <c r="QQC4304" s="204"/>
      <c r="QQD4304" s="204"/>
      <c r="QQE4304" s="204"/>
      <c r="QQF4304" s="185" t="s">
        <v>667</v>
      </c>
      <c r="QQG4304" s="205">
        <v>14460</v>
      </c>
      <c r="QQH4304" s="204"/>
      <c r="QQI4304" s="204"/>
      <c r="QQK4304" s="204"/>
      <c r="QQL4304" s="204"/>
      <c r="QQM4304" s="204"/>
      <c r="QQN4304" s="185" t="s">
        <v>667</v>
      </c>
      <c r="QQO4304" s="205">
        <v>14460</v>
      </c>
      <c r="QQP4304" s="204"/>
      <c r="QQQ4304" s="204"/>
      <c r="QQS4304" s="204"/>
      <c r="QQT4304" s="204"/>
      <c r="QQU4304" s="204"/>
      <c r="QQV4304" s="185" t="s">
        <v>667</v>
      </c>
      <c r="QQW4304" s="205">
        <v>14460</v>
      </c>
      <c r="QQX4304" s="204"/>
      <c r="QQY4304" s="204"/>
      <c r="QRA4304" s="204"/>
      <c r="QRB4304" s="204"/>
      <c r="QRC4304" s="204"/>
      <c r="QRD4304" s="185" t="s">
        <v>667</v>
      </c>
      <c r="QRE4304" s="205">
        <v>14460</v>
      </c>
      <c r="QRF4304" s="204"/>
      <c r="QRG4304" s="204"/>
      <c r="QRI4304" s="204"/>
      <c r="QRJ4304" s="204"/>
      <c r="QRK4304" s="204"/>
      <c r="QRL4304" s="185" t="s">
        <v>667</v>
      </c>
      <c r="QRM4304" s="205">
        <v>14460</v>
      </c>
      <c r="QRN4304" s="204"/>
      <c r="QRO4304" s="204"/>
      <c r="QRQ4304" s="204"/>
      <c r="QRR4304" s="204"/>
      <c r="QRS4304" s="204"/>
      <c r="QRT4304" s="185" t="s">
        <v>667</v>
      </c>
      <c r="QRU4304" s="205">
        <v>14460</v>
      </c>
      <c r="QRV4304" s="204"/>
      <c r="QRW4304" s="204"/>
      <c r="QRY4304" s="204"/>
      <c r="QRZ4304" s="204"/>
      <c r="QSA4304" s="204"/>
      <c r="QSB4304" s="185" t="s">
        <v>667</v>
      </c>
      <c r="QSC4304" s="205">
        <v>14460</v>
      </c>
      <c r="QSD4304" s="204"/>
      <c r="QSE4304" s="204"/>
      <c r="QSG4304" s="204"/>
      <c r="QSH4304" s="204"/>
      <c r="QSI4304" s="204"/>
      <c r="QSJ4304" s="185" t="s">
        <v>667</v>
      </c>
      <c r="QSK4304" s="205">
        <v>14460</v>
      </c>
      <c r="QSL4304" s="204"/>
      <c r="QSM4304" s="204"/>
      <c r="QSO4304" s="204"/>
      <c r="QSP4304" s="204"/>
      <c r="QSQ4304" s="204"/>
      <c r="QSR4304" s="185" t="s">
        <v>667</v>
      </c>
      <c r="QSS4304" s="205">
        <v>14460</v>
      </c>
      <c r="QST4304" s="204"/>
      <c r="QSU4304" s="204"/>
      <c r="QSW4304" s="204"/>
      <c r="QSX4304" s="204"/>
      <c r="QSY4304" s="204"/>
      <c r="QSZ4304" s="185" t="s">
        <v>667</v>
      </c>
      <c r="QTA4304" s="205">
        <v>14460</v>
      </c>
      <c r="QTB4304" s="204"/>
      <c r="QTC4304" s="204"/>
      <c r="QTE4304" s="204"/>
      <c r="QTF4304" s="204"/>
      <c r="QTG4304" s="204"/>
      <c r="QTH4304" s="185" t="s">
        <v>667</v>
      </c>
      <c r="QTI4304" s="205">
        <v>14460</v>
      </c>
      <c r="QTJ4304" s="204"/>
      <c r="QTK4304" s="204"/>
      <c r="QTM4304" s="204"/>
      <c r="QTN4304" s="204"/>
      <c r="QTO4304" s="204"/>
      <c r="QTP4304" s="185" t="s">
        <v>667</v>
      </c>
      <c r="QTQ4304" s="205">
        <v>14460</v>
      </c>
      <c r="QTR4304" s="204"/>
      <c r="QTS4304" s="204"/>
      <c r="QTU4304" s="204"/>
      <c r="QTV4304" s="204"/>
      <c r="QTW4304" s="204"/>
      <c r="QTX4304" s="185" t="s">
        <v>667</v>
      </c>
      <c r="QTY4304" s="205">
        <v>14460</v>
      </c>
      <c r="QTZ4304" s="204"/>
      <c r="QUA4304" s="204"/>
      <c r="QUC4304" s="204"/>
      <c r="QUD4304" s="204"/>
      <c r="QUE4304" s="204"/>
      <c r="QUF4304" s="185" t="s">
        <v>667</v>
      </c>
      <c r="QUG4304" s="205">
        <v>14460</v>
      </c>
      <c r="QUH4304" s="204"/>
      <c r="QUI4304" s="204"/>
      <c r="QUK4304" s="204"/>
      <c r="QUL4304" s="204"/>
      <c r="QUM4304" s="204"/>
      <c r="QUN4304" s="185" t="s">
        <v>667</v>
      </c>
      <c r="QUO4304" s="205">
        <v>14460</v>
      </c>
      <c r="QUP4304" s="204"/>
      <c r="QUQ4304" s="204"/>
      <c r="QUS4304" s="204"/>
      <c r="QUT4304" s="204"/>
      <c r="QUU4304" s="204"/>
      <c r="QUV4304" s="185" t="s">
        <v>667</v>
      </c>
      <c r="QUW4304" s="205">
        <v>14460</v>
      </c>
      <c r="QUX4304" s="204"/>
      <c r="QUY4304" s="204"/>
      <c r="QVA4304" s="204"/>
      <c r="QVB4304" s="204"/>
      <c r="QVC4304" s="204"/>
      <c r="QVD4304" s="185" t="s">
        <v>667</v>
      </c>
      <c r="QVE4304" s="205">
        <v>14460</v>
      </c>
      <c r="QVF4304" s="204"/>
      <c r="QVG4304" s="204"/>
      <c r="QVI4304" s="204"/>
      <c r="QVJ4304" s="204"/>
      <c r="QVK4304" s="204"/>
      <c r="QVL4304" s="185" t="s">
        <v>667</v>
      </c>
      <c r="QVM4304" s="205">
        <v>14460</v>
      </c>
      <c r="QVN4304" s="204"/>
      <c r="QVO4304" s="204"/>
      <c r="QVQ4304" s="204"/>
      <c r="QVR4304" s="204"/>
      <c r="QVS4304" s="204"/>
      <c r="QVT4304" s="185" t="s">
        <v>667</v>
      </c>
      <c r="QVU4304" s="205">
        <v>14460</v>
      </c>
      <c r="QVV4304" s="204"/>
      <c r="QVW4304" s="204"/>
      <c r="QVY4304" s="204"/>
      <c r="QVZ4304" s="204"/>
      <c r="QWA4304" s="204"/>
      <c r="QWB4304" s="185" t="s">
        <v>667</v>
      </c>
      <c r="QWC4304" s="205">
        <v>14460</v>
      </c>
      <c r="QWD4304" s="204"/>
      <c r="QWE4304" s="204"/>
      <c r="QWG4304" s="204"/>
      <c r="QWH4304" s="204"/>
      <c r="QWI4304" s="204"/>
      <c r="QWJ4304" s="185" t="s">
        <v>667</v>
      </c>
      <c r="QWK4304" s="205">
        <v>14460</v>
      </c>
      <c r="QWL4304" s="204"/>
      <c r="QWM4304" s="204"/>
      <c r="QWO4304" s="204"/>
      <c r="QWP4304" s="204"/>
      <c r="QWQ4304" s="204"/>
      <c r="QWR4304" s="185" t="s">
        <v>667</v>
      </c>
      <c r="QWS4304" s="205">
        <v>14460</v>
      </c>
      <c r="QWT4304" s="204"/>
      <c r="QWU4304" s="204"/>
      <c r="QWW4304" s="204"/>
      <c r="QWX4304" s="204"/>
      <c r="QWY4304" s="204"/>
      <c r="QWZ4304" s="185" t="s">
        <v>667</v>
      </c>
      <c r="QXA4304" s="205">
        <v>14460</v>
      </c>
      <c r="QXB4304" s="204"/>
      <c r="QXC4304" s="204"/>
      <c r="QXE4304" s="204"/>
      <c r="QXF4304" s="204"/>
      <c r="QXG4304" s="204"/>
      <c r="QXH4304" s="185" t="s">
        <v>667</v>
      </c>
      <c r="QXI4304" s="205">
        <v>14460</v>
      </c>
      <c r="QXJ4304" s="204"/>
      <c r="QXK4304" s="204"/>
      <c r="QXM4304" s="204"/>
      <c r="QXN4304" s="204"/>
      <c r="QXO4304" s="204"/>
      <c r="QXP4304" s="185" t="s">
        <v>667</v>
      </c>
      <c r="QXQ4304" s="205">
        <v>14460</v>
      </c>
      <c r="QXR4304" s="204"/>
      <c r="QXS4304" s="204"/>
      <c r="QXU4304" s="204"/>
      <c r="QXV4304" s="204"/>
      <c r="QXW4304" s="204"/>
      <c r="QXX4304" s="185" t="s">
        <v>667</v>
      </c>
      <c r="QXY4304" s="205">
        <v>14460</v>
      </c>
      <c r="QXZ4304" s="204"/>
      <c r="QYA4304" s="204"/>
      <c r="QYC4304" s="204"/>
      <c r="QYD4304" s="204"/>
      <c r="QYE4304" s="204"/>
      <c r="QYF4304" s="185" t="s">
        <v>667</v>
      </c>
      <c r="QYG4304" s="205">
        <v>14460</v>
      </c>
      <c r="QYH4304" s="204"/>
      <c r="QYI4304" s="204"/>
      <c r="QYK4304" s="204"/>
      <c r="QYL4304" s="204"/>
      <c r="QYM4304" s="204"/>
      <c r="QYN4304" s="185" t="s">
        <v>667</v>
      </c>
      <c r="QYO4304" s="205">
        <v>14460</v>
      </c>
      <c r="QYP4304" s="204"/>
      <c r="QYQ4304" s="204"/>
      <c r="QYS4304" s="204"/>
      <c r="QYT4304" s="204"/>
      <c r="QYU4304" s="204"/>
      <c r="QYV4304" s="185" t="s">
        <v>667</v>
      </c>
      <c r="QYW4304" s="205">
        <v>14460</v>
      </c>
      <c r="QYX4304" s="204"/>
      <c r="QYY4304" s="204"/>
      <c r="QZA4304" s="204"/>
      <c r="QZB4304" s="204"/>
      <c r="QZC4304" s="204"/>
      <c r="QZD4304" s="185" t="s">
        <v>667</v>
      </c>
      <c r="QZE4304" s="205">
        <v>14460</v>
      </c>
      <c r="QZF4304" s="204"/>
      <c r="QZG4304" s="204"/>
      <c r="QZI4304" s="204"/>
      <c r="QZJ4304" s="204"/>
      <c r="QZK4304" s="204"/>
      <c r="QZL4304" s="185" t="s">
        <v>667</v>
      </c>
      <c r="QZM4304" s="205">
        <v>14460</v>
      </c>
      <c r="QZN4304" s="204"/>
      <c r="QZO4304" s="204"/>
      <c r="QZQ4304" s="204"/>
      <c r="QZR4304" s="204"/>
      <c r="QZS4304" s="204"/>
      <c r="QZT4304" s="185" t="s">
        <v>667</v>
      </c>
      <c r="QZU4304" s="205">
        <v>14460</v>
      </c>
      <c r="QZV4304" s="204"/>
      <c r="QZW4304" s="204"/>
      <c r="QZY4304" s="204"/>
      <c r="QZZ4304" s="204"/>
      <c r="RAA4304" s="204"/>
      <c r="RAB4304" s="185" t="s">
        <v>667</v>
      </c>
      <c r="RAC4304" s="205">
        <v>14460</v>
      </c>
      <c r="RAD4304" s="204"/>
      <c r="RAE4304" s="204"/>
      <c r="RAG4304" s="204"/>
      <c r="RAH4304" s="204"/>
      <c r="RAI4304" s="204"/>
      <c r="RAJ4304" s="185" t="s">
        <v>667</v>
      </c>
      <c r="RAK4304" s="205">
        <v>14460</v>
      </c>
      <c r="RAL4304" s="204"/>
      <c r="RAM4304" s="204"/>
      <c r="RAO4304" s="204"/>
      <c r="RAP4304" s="204"/>
      <c r="RAQ4304" s="204"/>
      <c r="RAR4304" s="185" t="s">
        <v>667</v>
      </c>
      <c r="RAS4304" s="205">
        <v>14460</v>
      </c>
      <c r="RAT4304" s="204"/>
      <c r="RAU4304" s="204"/>
      <c r="RAW4304" s="204"/>
      <c r="RAX4304" s="204"/>
      <c r="RAY4304" s="204"/>
      <c r="RAZ4304" s="185" t="s">
        <v>667</v>
      </c>
      <c r="RBA4304" s="205">
        <v>14460</v>
      </c>
      <c r="RBB4304" s="204"/>
      <c r="RBC4304" s="204"/>
      <c r="RBE4304" s="204"/>
      <c r="RBF4304" s="204"/>
      <c r="RBG4304" s="204"/>
      <c r="RBH4304" s="185" t="s">
        <v>667</v>
      </c>
      <c r="RBI4304" s="205">
        <v>14460</v>
      </c>
      <c r="RBJ4304" s="204"/>
      <c r="RBK4304" s="204"/>
      <c r="RBM4304" s="204"/>
      <c r="RBN4304" s="204"/>
      <c r="RBO4304" s="204"/>
      <c r="RBP4304" s="185" t="s">
        <v>667</v>
      </c>
      <c r="RBQ4304" s="205">
        <v>14460</v>
      </c>
      <c r="RBR4304" s="204"/>
      <c r="RBS4304" s="204"/>
      <c r="RBU4304" s="204"/>
      <c r="RBV4304" s="204"/>
      <c r="RBW4304" s="204"/>
      <c r="RBX4304" s="185" t="s">
        <v>667</v>
      </c>
      <c r="RBY4304" s="205">
        <v>14460</v>
      </c>
      <c r="RBZ4304" s="204"/>
      <c r="RCA4304" s="204"/>
      <c r="RCC4304" s="204"/>
      <c r="RCD4304" s="204"/>
      <c r="RCE4304" s="204"/>
      <c r="RCF4304" s="185" t="s">
        <v>667</v>
      </c>
      <c r="RCG4304" s="205">
        <v>14460</v>
      </c>
      <c r="RCH4304" s="204"/>
      <c r="RCI4304" s="204"/>
      <c r="RCK4304" s="204"/>
      <c r="RCL4304" s="204"/>
      <c r="RCM4304" s="204"/>
      <c r="RCN4304" s="185" t="s">
        <v>667</v>
      </c>
      <c r="RCO4304" s="205">
        <v>14460</v>
      </c>
      <c r="RCP4304" s="204"/>
      <c r="RCQ4304" s="204"/>
      <c r="RCS4304" s="204"/>
      <c r="RCT4304" s="204"/>
      <c r="RCU4304" s="204"/>
      <c r="RCV4304" s="185" t="s">
        <v>667</v>
      </c>
      <c r="RCW4304" s="205">
        <v>14460</v>
      </c>
      <c r="RCX4304" s="204"/>
      <c r="RCY4304" s="204"/>
      <c r="RDA4304" s="204"/>
      <c r="RDB4304" s="204"/>
      <c r="RDC4304" s="204"/>
      <c r="RDD4304" s="185" t="s">
        <v>667</v>
      </c>
      <c r="RDE4304" s="205">
        <v>14460</v>
      </c>
      <c r="RDF4304" s="204"/>
      <c r="RDG4304" s="204"/>
      <c r="RDI4304" s="204"/>
      <c r="RDJ4304" s="204"/>
      <c r="RDK4304" s="204"/>
      <c r="RDL4304" s="185" t="s">
        <v>667</v>
      </c>
      <c r="RDM4304" s="205">
        <v>14460</v>
      </c>
      <c r="RDN4304" s="204"/>
      <c r="RDO4304" s="204"/>
      <c r="RDQ4304" s="204"/>
      <c r="RDR4304" s="204"/>
      <c r="RDS4304" s="204"/>
      <c r="RDT4304" s="185" t="s">
        <v>667</v>
      </c>
      <c r="RDU4304" s="205">
        <v>14460</v>
      </c>
      <c r="RDV4304" s="204"/>
      <c r="RDW4304" s="204"/>
      <c r="RDY4304" s="204"/>
      <c r="RDZ4304" s="204"/>
      <c r="REA4304" s="204"/>
      <c r="REB4304" s="185" t="s">
        <v>667</v>
      </c>
      <c r="REC4304" s="205">
        <v>14460</v>
      </c>
      <c r="RED4304" s="204"/>
      <c r="REE4304" s="204"/>
      <c r="REG4304" s="204"/>
      <c r="REH4304" s="204"/>
      <c r="REI4304" s="204"/>
      <c r="REJ4304" s="185" t="s">
        <v>667</v>
      </c>
      <c r="REK4304" s="205">
        <v>14460</v>
      </c>
      <c r="REL4304" s="204"/>
      <c r="REM4304" s="204"/>
      <c r="REO4304" s="204"/>
      <c r="REP4304" s="204"/>
      <c r="REQ4304" s="204"/>
      <c r="RER4304" s="185" t="s">
        <v>667</v>
      </c>
      <c r="RES4304" s="205">
        <v>14460</v>
      </c>
      <c r="RET4304" s="204"/>
      <c r="REU4304" s="204"/>
      <c r="REW4304" s="204"/>
      <c r="REX4304" s="204"/>
      <c r="REY4304" s="204"/>
      <c r="REZ4304" s="185" t="s">
        <v>667</v>
      </c>
      <c r="RFA4304" s="205">
        <v>14460</v>
      </c>
      <c r="RFB4304" s="204"/>
      <c r="RFC4304" s="204"/>
      <c r="RFE4304" s="204"/>
      <c r="RFF4304" s="204"/>
      <c r="RFG4304" s="204"/>
      <c r="RFH4304" s="185" t="s">
        <v>667</v>
      </c>
      <c r="RFI4304" s="205">
        <v>14460</v>
      </c>
      <c r="RFJ4304" s="204"/>
      <c r="RFK4304" s="204"/>
      <c r="RFM4304" s="204"/>
      <c r="RFN4304" s="204"/>
      <c r="RFO4304" s="204"/>
      <c r="RFP4304" s="185" t="s">
        <v>667</v>
      </c>
      <c r="RFQ4304" s="205">
        <v>14460</v>
      </c>
      <c r="RFR4304" s="204"/>
      <c r="RFS4304" s="204"/>
      <c r="RFU4304" s="204"/>
      <c r="RFV4304" s="204"/>
      <c r="RFW4304" s="204"/>
      <c r="RFX4304" s="185" t="s">
        <v>667</v>
      </c>
      <c r="RFY4304" s="205">
        <v>14460</v>
      </c>
      <c r="RFZ4304" s="204"/>
      <c r="RGA4304" s="204"/>
      <c r="RGC4304" s="204"/>
      <c r="RGD4304" s="204"/>
      <c r="RGE4304" s="204"/>
      <c r="RGF4304" s="185" t="s">
        <v>667</v>
      </c>
      <c r="RGG4304" s="205">
        <v>14460</v>
      </c>
      <c r="RGH4304" s="204"/>
      <c r="RGI4304" s="204"/>
      <c r="RGK4304" s="204"/>
      <c r="RGL4304" s="204"/>
      <c r="RGM4304" s="204"/>
      <c r="RGN4304" s="185" t="s">
        <v>667</v>
      </c>
      <c r="RGO4304" s="205">
        <v>14460</v>
      </c>
      <c r="RGP4304" s="204"/>
      <c r="RGQ4304" s="204"/>
      <c r="RGS4304" s="204"/>
      <c r="RGT4304" s="204"/>
      <c r="RGU4304" s="204"/>
      <c r="RGV4304" s="185" t="s">
        <v>667</v>
      </c>
      <c r="RGW4304" s="205">
        <v>14460</v>
      </c>
      <c r="RGX4304" s="204"/>
      <c r="RGY4304" s="204"/>
      <c r="RHA4304" s="204"/>
      <c r="RHB4304" s="204"/>
      <c r="RHC4304" s="204"/>
      <c r="RHD4304" s="185" t="s">
        <v>667</v>
      </c>
      <c r="RHE4304" s="205">
        <v>14460</v>
      </c>
      <c r="RHF4304" s="204"/>
      <c r="RHG4304" s="204"/>
      <c r="RHI4304" s="204"/>
      <c r="RHJ4304" s="204"/>
      <c r="RHK4304" s="204"/>
      <c r="RHL4304" s="185" t="s">
        <v>667</v>
      </c>
      <c r="RHM4304" s="205">
        <v>14460</v>
      </c>
      <c r="RHN4304" s="204"/>
      <c r="RHO4304" s="204"/>
      <c r="RHQ4304" s="204"/>
      <c r="RHR4304" s="204"/>
      <c r="RHS4304" s="204"/>
      <c r="RHT4304" s="185" t="s">
        <v>667</v>
      </c>
      <c r="RHU4304" s="205">
        <v>14460</v>
      </c>
      <c r="RHV4304" s="204"/>
      <c r="RHW4304" s="204"/>
      <c r="RHY4304" s="204"/>
      <c r="RHZ4304" s="204"/>
      <c r="RIA4304" s="204"/>
      <c r="RIB4304" s="185" t="s">
        <v>667</v>
      </c>
      <c r="RIC4304" s="205">
        <v>14460</v>
      </c>
      <c r="RID4304" s="204"/>
      <c r="RIE4304" s="204"/>
      <c r="RIG4304" s="204"/>
      <c r="RIH4304" s="204"/>
      <c r="RII4304" s="204"/>
      <c r="RIJ4304" s="185" t="s">
        <v>667</v>
      </c>
      <c r="RIK4304" s="205">
        <v>14460</v>
      </c>
      <c r="RIL4304" s="204"/>
      <c r="RIM4304" s="204"/>
      <c r="RIO4304" s="204"/>
      <c r="RIP4304" s="204"/>
      <c r="RIQ4304" s="204"/>
      <c r="RIR4304" s="185" t="s">
        <v>667</v>
      </c>
      <c r="RIS4304" s="205">
        <v>14460</v>
      </c>
      <c r="RIT4304" s="204"/>
      <c r="RIU4304" s="204"/>
      <c r="RIW4304" s="204"/>
      <c r="RIX4304" s="204"/>
      <c r="RIY4304" s="204"/>
      <c r="RIZ4304" s="185" t="s">
        <v>667</v>
      </c>
      <c r="RJA4304" s="205">
        <v>14460</v>
      </c>
      <c r="RJB4304" s="204"/>
      <c r="RJC4304" s="204"/>
      <c r="RJE4304" s="204"/>
      <c r="RJF4304" s="204"/>
      <c r="RJG4304" s="204"/>
      <c r="RJH4304" s="185" t="s">
        <v>667</v>
      </c>
      <c r="RJI4304" s="205">
        <v>14460</v>
      </c>
      <c r="RJJ4304" s="204"/>
      <c r="RJK4304" s="204"/>
      <c r="RJM4304" s="204"/>
      <c r="RJN4304" s="204"/>
      <c r="RJO4304" s="204"/>
      <c r="RJP4304" s="185" t="s">
        <v>667</v>
      </c>
      <c r="RJQ4304" s="205">
        <v>14460</v>
      </c>
      <c r="RJR4304" s="204"/>
      <c r="RJS4304" s="204"/>
      <c r="RJU4304" s="204"/>
      <c r="RJV4304" s="204"/>
      <c r="RJW4304" s="204"/>
      <c r="RJX4304" s="185" t="s">
        <v>667</v>
      </c>
      <c r="RJY4304" s="205">
        <v>14460</v>
      </c>
      <c r="RJZ4304" s="204"/>
      <c r="RKA4304" s="204"/>
      <c r="RKC4304" s="204"/>
      <c r="RKD4304" s="204"/>
      <c r="RKE4304" s="204"/>
      <c r="RKF4304" s="185" t="s">
        <v>667</v>
      </c>
      <c r="RKG4304" s="205">
        <v>14460</v>
      </c>
      <c r="RKH4304" s="204"/>
      <c r="RKI4304" s="204"/>
      <c r="RKK4304" s="204"/>
      <c r="RKL4304" s="204"/>
      <c r="RKM4304" s="204"/>
      <c r="RKN4304" s="185" t="s">
        <v>667</v>
      </c>
      <c r="RKO4304" s="205">
        <v>14460</v>
      </c>
      <c r="RKP4304" s="204"/>
      <c r="RKQ4304" s="204"/>
      <c r="RKS4304" s="204"/>
      <c r="RKT4304" s="204"/>
      <c r="RKU4304" s="204"/>
      <c r="RKV4304" s="185" t="s">
        <v>667</v>
      </c>
      <c r="RKW4304" s="205">
        <v>14460</v>
      </c>
      <c r="RKX4304" s="204"/>
      <c r="RKY4304" s="204"/>
      <c r="RLA4304" s="204"/>
      <c r="RLB4304" s="204"/>
      <c r="RLC4304" s="204"/>
      <c r="RLD4304" s="185" t="s">
        <v>667</v>
      </c>
      <c r="RLE4304" s="205">
        <v>14460</v>
      </c>
      <c r="RLF4304" s="204"/>
      <c r="RLG4304" s="204"/>
      <c r="RLI4304" s="204"/>
      <c r="RLJ4304" s="204"/>
      <c r="RLK4304" s="204"/>
      <c r="RLL4304" s="185" t="s">
        <v>667</v>
      </c>
      <c r="RLM4304" s="205">
        <v>14460</v>
      </c>
      <c r="RLN4304" s="204"/>
      <c r="RLO4304" s="204"/>
      <c r="RLQ4304" s="204"/>
      <c r="RLR4304" s="204"/>
      <c r="RLS4304" s="204"/>
      <c r="RLT4304" s="185" t="s">
        <v>667</v>
      </c>
      <c r="RLU4304" s="205">
        <v>14460</v>
      </c>
      <c r="RLV4304" s="204"/>
      <c r="RLW4304" s="204"/>
      <c r="RLY4304" s="204"/>
      <c r="RLZ4304" s="204"/>
      <c r="RMA4304" s="204"/>
      <c r="RMB4304" s="185" t="s">
        <v>667</v>
      </c>
      <c r="RMC4304" s="205">
        <v>14460</v>
      </c>
      <c r="RMD4304" s="204"/>
      <c r="RME4304" s="204"/>
      <c r="RMG4304" s="204"/>
      <c r="RMH4304" s="204"/>
      <c r="RMI4304" s="204"/>
      <c r="RMJ4304" s="185" t="s">
        <v>667</v>
      </c>
      <c r="RMK4304" s="205">
        <v>14460</v>
      </c>
      <c r="RML4304" s="204"/>
      <c r="RMM4304" s="204"/>
      <c r="RMO4304" s="204"/>
      <c r="RMP4304" s="204"/>
      <c r="RMQ4304" s="204"/>
      <c r="RMR4304" s="185" t="s">
        <v>667</v>
      </c>
      <c r="RMS4304" s="205">
        <v>14460</v>
      </c>
      <c r="RMT4304" s="204"/>
      <c r="RMU4304" s="204"/>
      <c r="RMW4304" s="204"/>
      <c r="RMX4304" s="204"/>
      <c r="RMY4304" s="204"/>
      <c r="RMZ4304" s="185" t="s">
        <v>667</v>
      </c>
      <c r="RNA4304" s="205">
        <v>14460</v>
      </c>
      <c r="RNB4304" s="204"/>
      <c r="RNC4304" s="204"/>
      <c r="RNE4304" s="204"/>
      <c r="RNF4304" s="204"/>
      <c r="RNG4304" s="204"/>
      <c r="RNH4304" s="185" t="s">
        <v>667</v>
      </c>
      <c r="RNI4304" s="205">
        <v>14460</v>
      </c>
      <c r="RNJ4304" s="204"/>
      <c r="RNK4304" s="204"/>
      <c r="RNM4304" s="204"/>
      <c r="RNN4304" s="204"/>
      <c r="RNO4304" s="204"/>
      <c r="RNP4304" s="185" t="s">
        <v>667</v>
      </c>
      <c r="RNQ4304" s="205">
        <v>14460</v>
      </c>
      <c r="RNR4304" s="204"/>
      <c r="RNS4304" s="204"/>
      <c r="RNU4304" s="204"/>
      <c r="RNV4304" s="204"/>
      <c r="RNW4304" s="204"/>
      <c r="RNX4304" s="185" t="s">
        <v>667</v>
      </c>
      <c r="RNY4304" s="205">
        <v>14460</v>
      </c>
      <c r="RNZ4304" s="204"/>
      <c r="ROA4304" s="204"/>
      <c r="ROC4304" s="204"/>
      <c r="ROD4304" s="204"/>
      <c r="ROE4304" s="204"/>
      <c r="ROF4304" s="185" t="s">
        <v>667</v>
      </c>
      <c r="ROG4304" s="205">
        <v>14460</v>
      </c>
      <c r="ROH4304" s="204"/>
      <c r="ROI4304" s="204"/>
      <c r="ROK4304" s="204"/>
      <c r="ROL4304" s="204"/>
      <c r="ROM4304" s="204"/>
      <c r="RON4304" s="185" t="s">
        <v>667</v>
      </c>
      <c r="ROO4304" s="205">
        <v>14460</v>
      </c>
      <c r="ROP4304" s="204"/>
      <c r="ROQ4304" s="204"/>
      <c r="ROS4304" s="204"/>
      <c r="ROT4304" s="204"/>
      <c r="ROU4304" s="204"/>
      <c r="ROV4304" s="185" t="s">
        <v>667</v>
      </c>
      <c r="ROW4304" s="205">
        <v>14460</v>
      </c>
      <c r="ROX4304" s="204"/>
      <c r="ROY4304" s="204"/>
      <c r="RPA4304" s="204"/>
      <c r="RPB4304" s="204"/>
      <c r="RPC4304" s="204"/>
      <c r="RPD4304" s="185" t="s">
        <v>667</v>
      </c>
      <c r="RPE4304" s="205">
        <v>14460</v>
      </c>
      <c r="RPF4304" s="204"/>
      <c r="RPG4304" s="204"/>
      <c r="RPI4304" s="204"/>
      <c r="RPJ4304" s="204"/>
      <c r="RPK4304" s="204"/>
      <c r="RPL4304" s="185" t="s">
        <v>667</v>
      </c>
      <c r="RPM4304" s="205">
        <v>14460</v>
      </c>
      <c r="RPN4304" s="204"/>
      <c r="RPO4304" s="204"/>
      <c r="RPQ4304" s="204"/>
      <c r="RPR4304" s="204"/>
      <c r="RPS4304" s="204"/>
      <c r="RPT4304" s="185" t="s">
        <v>667</v>
      </c>
      <c r="RPU4304" s="205">
        <v>14460</v>
      </c>
      <c r="RPV4304" s="204"/>
      <c r="RPW4304" s="204"/>
      <c r="RPY4304" s="204"/>
      <c r="RPZ4304" s="204"/>
      <c r="RQA4304" s="204"/>
      <c r="RQB4304" s="185" t="s">
        <v>667</v>
      </c>
      <c r="RQC4304" s="205">
        <v>14460</v>
      </c>
      <c r="RQD4304" s="204"/>
      <c r="RQE4304" s="204"/>
      <c r="RQG4304" s="204"/>
      <c r="RQH4304" s="204"/>
      <c r="RQI4304" s="204"/>
      <c r="RQJ4304" s="185" t="s">
        <v>667</v>
      </c>
      <c r="RQK4304" s="205">
        <v>14460</v>
      </c>
      <c r="RQL4304" s="204"/>
      <c r="RQM4304" s="204"/>
      <c r="RQO4304" s="204"/>
      <c r="RQP4304" s="204"/>
      <c r="RQQ4304" s="204"/>
      <c r="RQR4304" s="185" t="s">
        <v>667</v>
      </c>
      <c r="RQS4304" s="205">
        <v>14460</v>
      </c>
      <c r="RQT4304" s="204"/>
      <c r="RQU4304" s="204"/>
      <c r="RQW4304" s="204"/>
      <c r="RQX4304" s="204"/>
      <c r="RQY4304" s="204"/>
      <c r="RQZ4304" s="185" t="s">
        <v>667</v>
      </c>
      <c r="RRA4304" s="205">
        <v>14460</v>
      </c>
      <c r="RRB4304" s="204"/>
      <c r="RRC4304" s="204"/>
      <c r="RRE4304" s="204"/>
      <c r="RRF4304" s="204"/>
      <c r="RRG4304" s="204"/>
      <c r="RRH4304" s="185" t="s">
        <v>667</v>
      </c>
      <c r="RRI4304" s="205">
        <v>14460</v>
      </c>
      <c r="RRJ4304" s="204"/>
      <c r="RRK4304" s="204"/>
      <c r="RRM4304" s="204"/>
      <c r="RRN4304" s="204"/>
      <c r="RRO4304" s="204"/>
      <c r="RRP4304" s="185" t="s">
        <v>667</v>
      </c>
      <c r="RRQ4304" s="205">
        <v>14460</v>
      </c>
      <c r="RRR4304" s="204"/>
      <c r="RRS4304" s="204"/>
      <c r="RRU4304" s="204"/>
      <c r="RRV4304" s="204"/>
      <c r="RRW4304" s="204"/>
      <c r="RRX4304" s="185" t="s">
        <v>667</v>
      </c>
      <c r="RRY4304" s="205">
        <v>14460</v>
      </c>
      <c r="RRZ4304" s="204"/>
      <c r="RSA4304" s="204"/>
      <c r="RSC4304" s="204"/>
      <c r="RSD4304" s="204"/>
      <c r="RSE4304" s="204"/>
      <c r="RSF4304" s="185" t="s">
        <v>667</v>
      </c>
      <c r="RSG4304" s="205">
        <v>14460</v>
      </c>
      <c r="RSH4304" s="204"/>
      <c r="RSI4304" s="204"/>
      <c r="RSK4304" s="204"/>
      <c r="RSL4304" s="204"/>
      <c r="RSM4304" s="204"/>
      <c r="RSN4304" s="185" t="s">
        <v>667</v>
      </c>
      <c r="RSO4304" s="205">
        <v>14460</v>
      </c>
      <c r="RSP4304" s="204"/>
      <c r="RSQ4304" s="204"/>
      <c r="RSS4304" s="204"/>
      <c r="RST4304" s="204"/>
      <c r="RSU4304" s="204"/>
      <c r="RSV4304" s="185" t="s">
        <v>667</v>
      </c>
      <c r="RSW4304" s="205">
        <v>14460</v>
      </c>
      <c r="RSX4304" s="204"/>
      <c r="RSY4304" s="204"/>
      <c r="RTA4304" s="204"/>
      <c r="RTB4304" s="204"/>
      <c r="RTC4304" s="204"/>
      <c r="RTD4304" s="185" t="s">
        <v>667</v>
      </c>
      <c r="RTE4304" s="205">
        <v>14460</v>
      </c>
      <c r="RTF4304" s="204"/>
      <c r="RTG4304" s="204"/>
      <c r="RTI4304" s="204"/>
      <c r="RTJ4304" s="204"/>
      <c r="RTK4304" s="204"/>
      <c r="RTL4304" s="185" t="s">
        <v>667</v>
      </c>
      <c r="RTM4304" s="205">
        <v>14460</v>
      </c>
      <c r="RTN4304" s="204"/>
      <c r="RTO4304" s="204"/>
      <c r="RTQ4304" s="204"/>
      <c r="RTR4304" s="204"/>
      <c r="RTS4304" s="204"/>
      <c r="RTT4304" s="185" t="s">
        <v>667</v>
      </c>
      <c r="RTU4304" s="205">
        <v>14460</v>
      </c>
      <c r="RTV4304" s="204"/>
      <c r="RTW4304" s="204"/>
      <c r="RTY4304" s="204"/>
      <c r="RTZ4304" s="204"/>
      <c r="RUA4304" s="204"/>
      <c r="RUB4304" s="185" t="s">
        <v>667</v>
      </c>
      <c r="RUC4304" s="205">
        <v>14460</v>
      </c>
      <c r="RUD4304" s="204"/>
      <c r="RUE4304" s="204"/>
      <c r="RUG4304" s="204"/>
      <c r="RUH4304" s="204"/>
      <c r="RUI4304" s="204"/>
      <c r="RUJ4304" s="185" t="s">
        <v>667</v>
      </c>
      <c r="RUK4304" s="205">
        <v>14460</v>
      </c>
      <c r="RUL4304" s="204"/>
      <c r="RUM4304" s="204"/>
      <c r="RUO4304" s="204"/>
      <c r="RUP4304" s="204"/>
      <c r="RUQ4304" s="204"/>
      <c r="RUR4304" s="185" t="s">
        <v>667</v>
      </c>
      <c r="RUS4304" s="205">
        <v>14460</v>
      </c>
      <c r="RUT4304" s="204"/>
      <c r="RUU4304" s="204"/>
      <c r="RUW4304" s="204"/>
      <c r="RUX4304" s="204"/>
      <c r="RUY4304" s="204"/>
      <c r="RUZ4304" s="185" t="s">
        <v>667</v>
      </c>
      <c r="RVA4304" s="205">
        <v>14460</v>
      </c>
      <c r="RVB4304" s="204"/>
      <c r="RVC4304" s="204"/>
      <c r="RVE4304" s="204"/>
      <c r="RVF4304" s="204"/>
      <c r="RVG4304" s="204"/>
      <c r="RVH4304" s="185" t="s">
        <v>667</v>
      </c>
      <c r="RVI4304" s="205">
        <v>14460</v>
      </c>
      <c r="RVJ4304" s="204"/>
      <c r="RVK4304" s="204"/>
      <c r="RVM4304" s="204"/>
      <c r="RVN4304" s="204"/>
      <c r="RVO4304" s="204"/>
      <c r="RVP4304" s="185" t="s">
        <v>667</v>
      </c>
      <c r="RVQ4304" s="205">
        <v>14460</v>
      </c>
      <c r="RVR4304" s="204"/>
      <c r="RVS4304" s="204"/>
      <c r="RVU4304" s="204"/>
      <c r="RVV4304" s="204"/>
      <c r="RVW4304" s="204"/>
      <c r="RVX4304" s="185" t="s">
        <v>667</v>
      </c>
      <c r="RVY4304" s="205">
        <v>14460</v>
      </c>
      <c r="RVZ4304" s="204"/>
      <c r="RWA4304" s="204"/>
      <c r="RWC4304" s="204"/>
      <c r="RWD4304" s="204"/>
      <c r="RWE4304" s="204"/>
      <c r="RWF4304" s="185" t="s">
        <v>667</v>
      </c>
      <c r="RWG4304" s="205">
        <v>14460</v>
      </c>
      <c r="RWH4304" s="204"/>
      <c r="RWI4304" s="204"/>
      <c r="RWK4304" s="204"/>
      <c r="RWL4304" s="204"/>
      <c r="RWM4304" s="204"/>
      <c r="RWN4304" s="185" t="s">
        <v>667</v>
      </c>
      <c r="RWO4304" s="205">
        <v>14460</v>
      </c>
      <c r="RWP4304" s="204"/>
      <c r="RWQ4304" s="204"/>
      <c r="RWS4304" s="204"/>
      <c r="RWT4304" s="204"/>
      <c r="RWU4304" s="204"/>
      <c r="RWV4304" s="185" t="s">
        <v>667</v>
      </c>
      <c r="RWW4304" s="205">
        <v>14460</v>
      </c>
      <c r="RWX4304" s="204"/>
      <c r="RWY4304" s="204"/>
      <c r="RXA4304" s="204"/>
      <c r="RXB4304" s="204"/>
      <c r="RXC4304" s="204"/>
      <c r="RXD4304" s="185" t="s">
        <v>667</v>
      </c>
      <c r="RXE4304" s="205">
        <v>14460</v>
      </c>
      <c r="RXF4304" s="204"/>
      <c r="RXG4304" s="204"/>
      <c r="RXI4304" s="204"/>
      <c r="RXJ4304" s="204"/>
      <c r="RXK4304" s="204"/>
      <c r="RXL4304" s="185" t="s">
        <v>667</v>
      </c>
      <c r="RXM4304" s="205">
        <v>14460</v>
      </c>
      <c r="RXN4304" s="204"/>
      <c r="RXO4304" s="204"/>
      <c r="RXQ4304" s="204"/>
      <c r="RXR4304" s="204"/>
      <c r="RXS4304" s="204"/>
      <c r="RXT4304" s="185" t="s">
        <v>667</v>
      </c>
      <c r="RXU4304" s="205">
        <v>14460</v>
      </c>
      <c r="RXV4304" s="204"/>
      <c r="RXW4304" s="204"/>
      <c r="RXY4304" s="204"/>
      <c r="RXZ4304" s="204"/>
      <c r="RYA4304" s="204"/>
      <c r="RYB4304" s="185" t="s">
        <v>667</v>
      </c>
      <c r="RYC4304" s="205">
        <v>14460</v>
      </c>
      <c r="RYD4304" s="204"/>
      <c r="RYE4304" s="204"/>
      <c r="RYG4304" s="204"/>
      <c r="RYH4304" s="204"/>
      <c r="RYI4304" s="204"/>
      <c r="RYJ4304" s="185" t="s">
        <v>667</v>
      </c>
      <c r="RYK4304" s="205">
        <v>14460</v>
      </c>
      <c r="RYL4304" s="204"/>
      <c r="RYM4304" s="204"/>
      <c r="RYO4304" s="204"/>
      <c r="RYP4304" s="204"/>
      <c r="RYQ4304" s="204"/>
      <c r="RYR4304" s="185" t="s">
        <v>667</v>
      </c>
      <c r="RYS4304" s="205">
        <v>14460</v>
      </c>
      <c r="RYT4304" s="204"/>
      <c r="RYU4304" s="204"/>
      <c r="RYW4304" s="204"/>
      <c r="RYX4304" s="204"/>
      <c r="RYY4304" s="204"/>
      <c r="RYZ4304" s="185" t="s">
        <v>667</v>
      </c>
      <c r="RZA4304" s="205">
        <v>14460</v>
      </c>
      <c r="RZB4304" s="204"/>
      <c r="RZC4304" s="204"/>
      <c r="RZE4304" s="204"/>
      <c r="RZF4304" s="204"/>
      <c r="RZG4304" s="204"/>
      <c r="RZH4304" s="185" t="s">
        <v>667</v>
      </c>
      <c r="RZI4304" s="205">
        <v>14460</v>
      </c>
      <c r="RZJ4304" s="204"/>
      <c r="RZK4304" s="204"/>
      <c r="RZM4304" s="204"/>
      <c r="RZN4304" s="204"/>
      <c r="RZO4304" s="204"/>
      <c r="RZP4304" s="185" t="s">
        <v>667</v>
      </c>
      <c r="RZQ4304" s="205">
        <v>14460</v>
      </c>
      <c r="RZR4304" s="204"/>
      <c r="RZS4304" s="204"/>
      <c r="RZU4304" s="204"/>
      <c r="RZV4304" s="204"/>
      <c r="RZW4304" s="204"/>
      <c r="RZX4304" s="185" t="s">
        <v>667</v>
      </c>
      <c r="RZY4304" s="205">
        <v>14460</v>
      </c>
      <c r="RZZ4304" s="204"/>
      <c r="SAA4304" s="204"/>
      <c r="SAC4304" s="204"/>
      <c r="SAD4304" s="204"/>
      <c r="SAE4304" s="204"/>
      <c r="SAF4304" s="185" t="s">
        <v>667</v>
      </c>
      <c r="SAG4304" s="205">
        <v>14460</v>
      </c>
      <c r="SAH4304" s="204"/>
      <c r="SAI4304" s="204"/>
      <c r="SAK4304" s="204"/>
      <c r="SAL4304" s="204"/>
      <c r="SAM4304" s="204"/>
      <c r="SAN4304" s="185" t="s">
        <v>667</v>
      </c>
      <c r="SAO4304" s="205">
        <v>14460</v>
      </c>
      <c r="SAP4304" s="204"/>
      <c r="SAQ4304" s="204"/>
      <c r="SAS4304" s="204"/>
      <c r="SAT4304" s="204"/>
      <c r="SAU4304" s="204"/>
      <c r="SAV4304" s="185" t="s">
        <v>667</v>
      </c>
      <c r="SAW4304" s="205">
        <v>14460</v>
      </c>
      <c r="SAX4304" s="204"/>
      <c r="SAY4304" s="204"/>
      <c r="SBA4304" s="204"/>
      <c r="SBB4304" s="204"/>
      <c r="SBC4304" s="204"/>
      <c r="SBD4304" s="185" t="s">
        <v>667</v>
      </c>
      <c r="SBE4304" s="205">
        <v>14460</v>
      </c>
      <c r="SBF4304" s="204"/>
      <c r="SBG4304" s="204"/>
      <c r="SBI4304" s="204"/>
      <c r="SBJ4304" s="204"/>
      <c r="SBK4304" s="204"/>
      <c r="SBL4304" s="185" t="s">
        <v>667</v>
      </c>
      <c r="SBM4304" s="205">
        <v>14460</v>
      </c>
      <c r="SBN4304" s="204"/>
      <c r="SBO4304" s="204"/>
      <c r="SBQ4304" s="204"/>
      <c r="SBR4304" s="204"/>
      <c r="SBS4304" s="204"/>
      <c r="SBT4304" s="185" t="s">
        <v>667</v>
      </c>
      <c r="SBU4304" s="205">
        <v>14460</v>
      </c>
      <c r="SBV4304" s="204"/>
      <c r="SBW4304" s="204"/>
      <c r="SBY4304" s="204"/>
      <c r="SBZ4304" s="204"/>
      <c r="SCA4304" s="204"/>
      <c r="SCB4304" s="185" t="s">
        <v>667</v>
      </c>
      <c r="SCC4304" s="205">
        <v>14460</v>
      </c>
      <c r="SCD4304" s="204"/>
      <c r="SCE4304" s="204"/>
      <c r="SCG4304" s="204"/>
      <c r="SCH4304" s="204"/>
      <c r="SCI4304" s="204"/>
      <c r="SCJ4304" s="185" t="s">
        <v>667</v>
      </c>
      <c r="SCK4304" s="205">
        <v>14460</v>
      </c>
      <c r="SCL4304" s="204"/>
      <c r="SCM4304" s="204"/>
      <c r="SCO4304" s="204"/>
      <c r="SCP4304" s="204"/>
      <c r="SCQ4304" s="204"/>
      <c r="SCR4304" s="185" t="s">
        <v>667</v>
      </c>
      <c r="SCS4304" s="205">
        <v>14460</v>
      </c>
      <c r="SCT4304" s="204"/>
      <c r="SCU4304" s="204"/>
      <c r="SCW4304" s="204"/>
      <c r="SCX4304" s="204"/>
      <c r="SCY4304" s="204"/>
      <c r="SCZ4304" s="185" t="s">
        <v>667</v>
      </c>
      <c r="SDA4304" s="205">
        <v>14460</v>
      </c>
      <c r="SDB4304" s="204"/>
      <c r="SDC4304" s="204"/>
      <c r="SDE4304" s="204"/>
      <c r="SDF4304" s="204"/>
      <c r="SDG4304" s="204"/>
      <c r="SDH4304" s="185" t="s">
        <v>667</v>
      </c>
      <c r="SDI4304" s="205">
        <v>14460</v>
      </c>
      <c r="SDJ4304" s="204"/>
      <c r="SDK4304" s="204"/>
      <c r="SDM4304" s="204"/>
      <c r="SDN4304" s="204"/>
      <c r="SDO4304" s="204"/>
      <c r="SDP4304" s="185" t="s">
        <v>667</v>
      </c>
      <c r="SDQ4304" s="205">
        <v>14460</v>
      </c>
      <c r="SDR4304" s="204"/>
      <c r="SDS4304" s="204"/>
      <c r="SDU4304" s="204"/>
      <c r="SDV4304" s="204"/>
      <c r="SDW4304" s="204"/>
      <c r="SDX4304" s="185" t="s">
        <v>667</v>
      </c>
      <c r="SDY4304" s="205">
        <v>14460</v>
      </c>
      <c r="SDZ4304" s="204"/>
      <c r="SEA4304" s="204"/>
      <c r="SEC4304" s="204"/>
      <c r="SED4304" s="204"/>
      <c r="SEE4304" s="204"/>
      <c r="SEF4304" s="185" t="s">
        <v>667</v>
      </c>
      <c r="SEG4304" s="205">
        <v>14460</v>
      </c>
      <c r="SEH4304" s="204"/>
      <c r="SEI4304" s="204"/>
      <c r="SEK4304" s="204"/>
      <c r="SEL4304" s="204"/>
      <c r="SEM4304" s="204"/>
      <c r="SEN4304" s="185" t="s">
        <v>667</v>
      </c>
      <c r="SEO4304" s="205">
        <v>14460</v>
      </c>
      <c r="SEP4304" s="204"/>
      <c r="SEQ4304" s="204"/>
      <c r="SES4304" s="204"/>
      <c r="SET4304" s="204"/>
      <c r="SEU4304" s="204"/>
      <c r="SEV4304" s="185" t="s">
        <v>667</v>
      </c>
      <c r="SEW4304" s="205">
        <v>14460</v>
      </c>
      <c r="SEX4304" s="204"/>
      <c r="SEY4304" s="204"/>
      <c r="SFA4304" s="204"/>
      <c r="SFB4304" s="204"/>
      <c r="SFC4304" s="204"/>
      <c r="SFD4304" s="185" t="s">
        <v>667</v>
      </c>
      <c r="SFE4304" s="205">
        <v>14460</v>
      </c>
      <c r="SFF4304" s="204"/>
      <c r="SFG4304" s="204"/>
      <c r="SFI4304" s="204"/>
      <c r="SFJ4304" s="204"/>
      <c r="SFK4304" s="204"/>
      <c r="SFL4304" s="185" t="s">
        <v>667</v>
      </c>
      <c r="SFM4304" s="205">
        <v>14460</v>
      </c>
      <c r="SFN4304" s="204"/>
      <c r="SFO4304" s="204"/>
      <c r="SFQ4304" s="204"/>
      <c r="SFR4304" s="204"/>
      <c r="SFS4304" s="204"/>
      <c r="SFT4304" s="185" t="s">
        <v>667</v>
      </c>
      <c r="SFU4304" s="205">
        <v>14460</v>
      </c>
      <c r="SFV4304" s="204"/>
      <c r="SFW4304" s="204"/>
      <c r="SFY4304" s="204"/>
      <c r="SFZ4304" s="204"/>
      <c r="SGA4304" s="204"/>
      <c r="SGB4304" s="185" t="s">
        <v>667</v>
      </c>
      <c r="SGC4304" s="205">
        <v>14460</v>
      </c>
      <c r="SGD4304" s="204"/>
      <c r="SGE4304" s="204"/>
      <c r="SGG4304" s="204"/>
      <c r="SGH4304" s="204"/>
      <c r="SGI4304" s="204"/>
      <c r="SGJ4304" s="185" t="s">
        <v>667</v>
      </c>
      <c r="SGK4304" s="205">
        <v>14460</v>
      </c>
      <c r="SGL4304" s="204"/>
      <c r="SGM4304" s="204"/>
      <c r="SGO4304" s="204"/>
      <c r="SGP4304" s="204"/>
      <c r="SGQ4304" s="204"/>
      <c r="SGR4304" s="185" t="s">
        <v>667</v>
      </c>
      <c r="SGS4304" s="205">
        <v>14460</v>
      </c>
      <c r="SGT4304" s="204"/>
      <c r="SGU4304" s="204"/>
      <c r="SGW4304" s="204"/>
      <c r="SGX4304" s="204"/>
      <c r="SGY4304" s="204"/>
      <c r="SGZ4304" s="185" t="s">
        <v>667</v>
      </c>
      <c r="SHA4304" s="205">
        <v>14460</v>
      </c>
      <c r="SHB4304" s="204"/>
      <c r="SHC4304" s="204"/>
      <c r="SHE4304" s="204"/>
      <c r="SHF4304" s="204"/>
      <c r="SHG4304" s="204"/>
      <c r="SHH4304" s="185" t="s">
        <v>667</v>
      </c>
      <c r="SHI4304" s="205">
        <v>14460</v>
      </c>
      <c r="SHJ4304" s="204"/>
      <c r="SHK4304" s="204"/>
      <c r="SHM4304" s="204"/>
      <c r="SHN4304" s="204"/>
      <c r="SHO4304" s="204"/>
      <c r="SHP4304" s="185" t="s">
        <v>667</v>
      </c>
      <c r="SHQ4304" s="205">
        <v>14460</v>
      </c>
      <c r="SHR4304" s="204"/>
      <c r="SHS4304" s="204"/>
      <c r="SHU4304" s="204"/>
      <c r="SHV4304" s="204"/>
      <c r="SHW4304" s="204"/>
      <c r="SHX4304" s="185" t="s">
        <v>667</v>
      </c>
      <c r="SHY4304" s="205">
        <v>14460</v>
      </c>
      <c r="SHZ4304" s="204"/>
      <c r="SIA4304" s="204"/>
      <c r="SIC4304" s="204"/>
      <c r="SID4304" s="204"/>
      <c r="SIE4304" s="204"/>
      <c r="SIF4304" s="185" t="s">
        <v>667</v>
      </c>
      <c r="SIG4304" s="205">
        <v>14460</v>
      </c>
      <c r="SIH4304" s="204"/>
      <c r="SII4304" s="204"/>
      <c r="SIK4304" s="204"/>
      <c r="SIL4304" s="204"/>
      <c r="SIM4304" s="204"/>
      <c r="SIN4304" s="185" t="s">
        <v>667</v>
      </c>
      <c r="SIO4304" s="205">
        <v>14460</v>
      </c>
      <c r="SIP4304" s="204"/>
      <c r="SIQ4304" s="204"/>
      <c r="SIS4304" s="204"/>
      <c r="SIT4304" s="204"/>
      <c r="SIU4304" s="204"/>
      <c r="SIV4304" s="185" t="s">
        <v>667</v>
      </c>
      <c r="SIW4304" s="205">
        <v>14460</v>
      </c>
      <c r="SIX4304" s="204"/>
      <c r="SIY4304" s="204"/>
      <c r="SJA4304" s="204"/>
      <c r="SJB4304" s="204"/>
      <c r="SJC4304" s="204"/>
      <c r="SJD4304" s="185" t="s">
        <v>667</v>
      </c>
      <c r="SJE4304" s="205">
        <v>14460</v>
      </c>
      <c r="SJF4304" s="204"/>
      <c r="SJG4304" s="204"/>
      <c r="SJI4304" s="204"/>
      <c r="SJJ4304" s="204"/>
      <c r="SJK4304" s="204"/>
      <c r="SJL4304" s="185" t="s">
        <v>667</v>
      </c>
      <c r="SJM4304" s="205">
        <v>14460</v>
      </c>
      <c r="SJN4304" s="204"/>
      <c r="SJO4304" s="204"/>
      <c r="SJQ4304" s="204"/>
      <c r="SJR4304" s="204"/>
      <c r="SJS4304" s="204"/>
      <c r="SJT4304" s="185" t="s">
        <v>667</v>
      </c>
      <c r="SJU4304" s="205">
        <v>14460</v>
      </c>
      <c r="SJV4304" s="204"/>
      <c r="SJW4304" s="204"/>
      <c r="SJY4304" s="204"/>
      <c r="SJZ4304" s="204"/>
      <c r="SKA4304" s="204"/>
      <c r="SKB4304" s="185" t="s">
        <v>667</v>
      </c>
      <c r="SKC4304" s="205">
        <v>14460</v>
      </c>
      <c r="SKD4304" s="204"/>
      <c r="SKE4304" s="204"/>
      <c r="SKG4304" s="204"/>
      <c r="SKH4304" s="204"/>
      <c r="SKI4304" s="204"/>
      <c r="SKJ4304" s="185" t="s">
        <v>667</v>
      </c>
      <c r="SKK4304" s="205">
        <v>14460</v>
      </c>
      <c r="SKL4304" s="204"/>
      <c r="SKM4304" s="204"/>
      <c r="SKO4304" s="204"/>
      <c r="SKP4304" s="204"/>
      <c r="SKQ4304" s="204"/>
      <c r="SKR4304" s="185" t="s">
        <v>667</v>
      </c>
      <c r="SKS4304" s="205">
        <v>14460</v>
      </c>
      <c r="SKT4304" s="204"/>
      <c r="SKU4304" s="204"/>
      <c r="SKW4304" s="204"/>
      <c r="SKX4304" s="204"/>
      <c r="SKY4304" s="204"/>
      <c r="SKZ4304" s="185" t="s">
        <v>667</v>
      </c>
      <c r="SLA4304" s="205">
        <v>14460</v>
      </c>
      <c r="SLB4304" s="204"/>
      <c r="SLC4304" s="204"/>
      <c r="SLE4304" s="204"/>
      <c r="SLF4304" s="204"/>
      <c r="SLG4304" s="204"/>
      <c r="SLH4304" s="185" t="s">
        <v>667</v>
      </c>
      <c r="SLI4304" s="205">
        <v>14460</v>
      </c>
      <c r="SLJ4304" s="204"/>
      <c r="SLK4304" s="204"/>
      <c r="SLM4304" s="204"/>
      <c r="SLN4304" s="204"/>
      <c r="SLO4304" s="204"/>
      <c r="SLP4304" s="185" t="s">
        <v>667</v>
      </c>
      <c r="SLQ4304" s="205">
        <v>14460</v>
      </c>
      <c r="SLR4304" s="204"/>
      <c r="SLS4304" s="204"/>
      <c r="SLU4304" s="204"/>
      <c r="SLV4304" s="204"/>
      <c r="SLW4304" s="204"/>
      <c r="SLX4304" s="185" t="s">
        <v>667</v>
      </c>
      <c r="SLY4304" s="205">
        <v>14460</v>
      </c>
      <c r="SLZ4304" s="204"/>
      <c r="SMA4304" s="204"/>
      <c r="SMC4304" s="204"/>
      <c r="SMD4304" s="204"/>
      <c r="SME4304" s="204"/>
      <c r="SMF4304" s="185" t="s">
        <v>667</v>
      </c>
      <c r="SMG4304" s="205">
        <v>14460</v>
      </c>
      <c r="SMH4304" s="204"/>
      <c r="SMI4304" s="204"/>
      <c r="SMK4304" s="204"/>
      <c r="SML4304" s="204"/>
      <c r="SMM4304" s="204"/>
      <c r="SMN4304" s="185" t="s">
        <v>667</v>
      </c>
      <c r="SMO4304" s="205">
        <v>14460</v>
      </c>
      <c r="SMP4304" s="204"/>
      <c r="SMQ4304" s="204"/>
      <c r="SMS4304" s="204"/>
      <c r="SMT4304" s="204"/>
      <c r="SMU4304" s="204"/>
      <c r="SMV4304" s="185" t="s">
        <v>667</v>
      </c>
      <c r="SMW4304" s="205">
        <v>14460</v>
      </c>
      <c r="SMX4304" s="204"/>
      <c r="SMY4304" s="204"/>
      <c r="SNA4304" s="204"/>
      <c r="SNB4304" s="204"/>
      <c r="SNC4304" s="204"/>
      <c r="SND4304" s="185" t="s">
        <v>667</v>
      </c>
      <c r="SNE4304" s="205">
        <v>14460</v>
      </c>
      <c r="SNF4304" s="204"/>
      <c r="SNG4304" s="204"/>
      <c r="SNI4304" s="204"/>
      <c r="SNJ4304" s="204"/>
      <c r="SNK4304" s="204"/>
      <c r="SNL4304" s="185" t="s">
        <v>667</v>
      </c>
      <c r="SNM4304" s="205">
        <v>14460</v>
      </c>
      <c r="SNN4304" s="204"/>
      <c r="SNO4304" s="204"/>
      <c r="SNQ4304" s="204"/>
      <c r="SNR4304" s="204"/>
      <c r="SNS4304" s="204"/>
      <c r="SNT4304" s="185" t="s">
        <v>667</v>
      </c>
      <c r="SNU4304" s="205">
        <v>14460</v>
      </c>
      <c r="SNV4304" s="204"/>
      <c r="SNW4304" s="204"/>
      <c r="SNY4304" s="204"/>
      <c r="SNZ4304" s="204"/>
      <c r="SOA4304" s="204"/>
      <c r="SOB4304" s="185" t="s">
        <v>667</v>
      </c>
      <c r="SOC4304" s="205">
        <v>14460</v>
      </c>
      <c r="SOD4304" s="204"/>
      <c r="SOE4304" s="204"/>
      <c r="SOG4304" s="204"/>
      <c r="SOH4304" s="204"/>
      <c r="SOI4304" s="204"/>
      <c r="SOJ4304" s="185" t="s">
        <v>667</v>
      </c>
      <c r="SOK4304" s="205">
        <v>14460</v>
      </c>
      <c r="SOL4304" s="204"/>
      <c r="SOM4304" s="204"/>
      <c r="SOO4304" s="204"/>
      <c r="SOP4304" s="204"/>
      <c r="SOQ4304" s="204"/>
      <c r="SOR4304" s="185" t="s">
        <v>667</v>
      </c>
      <c r="SOS4304" s="205">
        <v>14460</v>
      </c>
      <c r="SOT4304" s="204"/>
      <c r="SOU4304" s="204"/>
      <c r="SOW4304" s="204"/>
      <c r="SOX4304" s="204"/>
      <c r="SOY4304" s="204"/>
      <c r="SOZ4304" s="185" t="s">
        <v>667</v>
      </c>
      <c r="SPA4304" s="205">
        <v>14460</v>
      </c>
      <c r="SPB4304" s="204"/>
      <c r="SPC4304" s="204"/>
      <c r="SPE4304" s="204"/>
      <c r="SPF4304" s="204"/>
      <c r="SPG4304" s="204"/>
      <c r="SPH4304" s="185" t="s">
        <v>667</v>
      </c>
      <c r="SPI4304" s="205">
        <v>14460</v>
      </c>
      <c r="SPJ4304" s="204"/>
      <c r="SPK4304" s="204"/>
      <c r="SPM4304" s="204"/>
      <c r="SPN4304" s="204"/>
      <c r="SPO4304" s="204"/>
      <c r="SPP4304" s="185" t="s">
        <v>667</v>
      </c>
      <c r="SPQ4304" s="205">
        <v>14460</v>
      </c>
      <c r="SPR4304" s="204"/>
      <c r="SPS4304" s="204"/>
      <c r="SPU4304" s="204"/>
      <c r="SPV4304" s="204"/>
      <c r="SPW4304" s="204"/>
      <c r="SPX4304" s="185" t="s">
        <v>667</v>
      </c>
      <c r="SPY4304" s="205">
        <v>14460</v>
      </c>
      <c r="SPZ4304" s="204"/>
      <c r="SQA4304" s="204"/>
      <c r="SQC4304" s="204"/>
      <c r="SQD4304" s="204"/>
      <c r="SQE4304" s="204"/>
      <c r="SQF4304" s="185" t="s">
        <v>667</v>
      </c>
      <c r="SQG4304" s="205">
        <v>14460</v>
      </c>
      <c r="SQH4304" s="204"/>
      <c r="SQI4304" s="204"/>
      <c r="SQK4304" s="204"/>
      <c r="SQL4304" s="204"/>
      <c r="SQM4304" s="204"/>
      <c r="SQN4304" s="185" t="s">
        <v>667</v>
      </c>
      <c r="SQO4304" s="205">
        <v>14460</v>
      </c>
      <c r="SQP4304" s="204"/>
      <c r="SQQ4304" s="204"/>
      <c r="SQS4304" s="204"/>
      <c r="SQT4304" s="204"/>
      <c r="SQU4304" s="204"/>
      <c r="SQV4304" s="185" t="s">
        <v>667</v>
      </c>
      <c r="SQW4304" s="205">
        <v>14460</v>
      </c>
      <c r="SQX4304" s="204"/>
      <c r="SQY4304" s="204"/>
      <c r="SRA4304" s="204"/>
      <c r="SRB4304" s="204"/>
      <c r="SRC4304" s="204"/>
      <c r="SRD4304" s="185" t="s">
        <v>667</v>
      </c>
      <c r="SRE4304" s="205">
        <v>14460</v>
      </c>
      <c r="SRF4304" s="204"/>
      <c r="SRG4304" s="204"/>
      <c r="SRI4304" s="204"/>
      <c r="SRJ4304" s="204"/>
      <c r="SRK4304" s="204"/>
      <c r="SRL4304" s="185" t="s">
        <v>667</v>
      </c>
      <c r="SRM4304" s="205">
        <v>14460</v>
      </c>
      <c r="SRN4304" s="204"/>
      <c r="SRO4304" s="204"/>
      <c r="SRQ4304" s="204"/>
      <c r="SRR4304" s="204"/>
      <c r="SRS4304" s="204"/>
      <c r="SRT4304" s="185" t="s">
        <v>667</v>
      </c>
      <c r="SRU4304" s="205">
        <v>14460</v>
      </c>
      <c r="SRV4304" s="204"/>
      <c r="SRW4304" s="204"/>
      <c r="SRY4304" s="204"/>
      <c r="SRZ4304" s="204"/>
      <c r="SSA4304" s="204"/>
      <c r="SSB4304" s="185" t="s">
        <v>667</v>
      </c>
      <c r="SSC4304" s="205">
        <v>14460</v>
      </c>
      <c r="SSD4304" s="204"/>
      <c r="SSE4304" s="204"/>
      <c r="SSG4304" s="204"/>
      <c r="SSH4304" s="204"/>
      <c r="SSI4304" s="204"/>
      <c r="SSJ4304" s="185" t="s">
        <v>667</v>
      </c>
      <c r="SSK4304" s="205">
        <v>14460</v>
      </c>
      <c r="SSL4304" s="204"/>
      <c r="SSM4304" s="204"/>
      <c r="SSO4304" s="204"/>
      <c r="SSP4304" s="204"/>
      <c r="SSQ4304" s="204"/>
      <c r="SSR4304" s="185" t="s">
        <v>667</v>
      </c>
      <c r="SSS4304" s="205">
        <v>14460</v>
      </c>
      <c r="SST4304" s="204"/>
      <c r="SSU4304" s="204"/>
      <c r="SSW4304" s="204"/>
      <c r="SSX4304" s="204"/>
      <c r="SSY4304" s="204"/>
      <c r="SSZ4304" s="185" t="s">
        <v>667</v>
      </c>
      <c r="STA4304" s="205">
        <v>14460</v>
      </c>
      <c r="STB4304" s="204"/>
      <c r="STC4304" s="204"/>
      <c r="STE4304" s="204"/>
      <c r="STF4304" s="204"/>
      <c r="STG4304" s="204"/>
      <c r="STH4304" s="185" t="s">
        <v>667</v>
      </c>
      <c r="STI4304" s="205">
        <v>14460</v>
      </c>
      <c r="STJ4304" s="204"/>
      <c r="STK4304" s="204"/>
      <c r="STM4304" s="204"/>
      <c r="STN4304" s="204"/>
      <c r="STO4304" s="204"/>
      <c r="STP4304" s="185" t="s">
        <v>667</v>
      </c>
      <c r="STQ4304" s="205">
        <v>14460</v>
      </c>
      <c r="STR4304" s="204"/>
      <c r="STS4304" s="204"/>
      <c r="STU4304" s="204"/>
      <c r="STV4304" s="204"/>
      <c r="STW4304" s="204"/>
      <c r="STX4304" s="185" t="s">
        <v>667</v>
      </c>
      <c r="STY4304" s="205">
        <v>14460</v>
      </c>
      <c r="STZ4304" s="204"/>
      <c r="SUA4304" s="204"/>
      <c r="SUC4304" s="204"/>
      <c r="SUD4304" s="204"/>
      <c r="SUE4304" s="204"/>
      <c r="SUF4304" s="185" t="s">
        <v>667</v>
      </c>
      <c r="SUG4304" s="205">
        <v>14460</v>
      </c>
      <c r="SUH4304" s="204"/>
      <c r="SUI4304" s="204"/>
      <c r="SUK4304" s="204"/>
      <c r="SUL4304" s="204"/>
      <c r="SUM4304" s="204"/>
      <c r="SUN4304" s="185" t="s">
        <v>667</v>
      </c>
      <c r="SUO4304" s="205">
        <v>14460</v>
      </c>
      <c r="SUP4304" s="204"/>
      <c r="SUQ4304" s="204"/>
      <c r="SUS4304" s="204"/>
      <c r="SUT4304" s="204"/>
      <c r="SUU4304" s="204"/>
      <c r="SUV4304" s="185" t="s">
        <v>667</v>
      </c>
      <c r="SUW4304" s="205">
        <v>14460</v>
      </c>
      <c r="SUX4304" s="204"/>
      <c r="SUY4304" s="204"/>
      <c r="SVA4304" s="204"/>
      <c r="SVB4304" s="204"/>
      <c r="SVC4304" s="204"/>
      <c r="SVD4304" s="185" t="s">
        <v>667</v>
      </c>
      <c r="SVE4304" s="205">
        <v>14460</v>
      </c>
      <c r="SVF4304" s="204"/>
      <c r="SVG4304" s="204"/>
      <c r="SVI4304" s="204"/>
      <c r="SVJ4304" s="204"/>
      <c r="SVK4304" s="204"/>
      <c r="SVL4304" s="185" t="s">
        <v>667</v>
      </c>
      <c r="SVM4304" s="205">
        <v>14460</v>
      </c>
      <c r="SVN4304" s="204"/>
      <c r="SVO4304" s="204"/>
      <c r="SVQ4304" s="204"/>
      <c r="SVR4304" s="204"/>
      <c r="SVS4304" s="204"/>
      <c r="SVT4304" s="185" t="s">
        <v>667</v>
      </c>
      <c r="SVU4304" s="205">
        <v>14460</v>
      </c>
      <c r="SVV4304" s="204"/>
      <c r="SVW4304" s="204"/>
      <c r="SVY4304" s="204"/>
      <c r="SVZ4304" s="204"/>
      <c r="SWA4304" s="204"/>
      <c r="SWB4304" s="185" t="s">
        <v>667</v>
      </c>
      <c r="SWC4304" s="205">
        <v>14460</v>
      </c>
      <c r="SWD4304" s="204"/>
      <c r="SWE4304" s="204"/>
      <c r="SWG4304" s="204"/>
      <c r="SWH4304" s="204"/>
      <c r="SWI4304" s="204"/>
      <c r="SWJ4304" s="185" t="s">
        <v>667</v>
      </c>
      <c r="SWK4304" s="205">
        <v>14460</v>
      </c>
      <c r="SWL4304" s="204"/>
      <c r="SWM4304" s="204"/>
      <c r="SWO4304" s="204"/>
      <c r="SWP4304" s="204"/>
      <c r="SWQ4304" s="204"/>
      <c r="SWR4304" s="185" t="s">
        <v>667</v>
      </c>
      <c r="SWS4304" s="205">
        <v>14460</v>
      </c>
      <c r="SWT4304" s="204"/>
      <c r="SWU4304" s="204"/>
      <c r="SWW4304" s="204"/>
      <c r="SWX4304" s="204"/>
      <c r="SWY4304" s="204"/>
      <c r="SWZ4304" s="185" t="s">
        <v>667</v>
      </c>
      <c r="SXA4304" s="205">
        <v>14460</v>
      </c>
      <c r="SXB4304" s="204"/>
      <c r="SXC4304" s="204"/>
      <c r="SXE4304" s="204"/>
      <c r="SXF4304" s="204"/>
      <c r="SXG4304" s="204"/>
      <c r="SXH4304" s="185" t="s">
        <v>667</v>
      </c>
      <c r="SXI4304" s="205">
        <v>14460</v>
      </c>
      <c r="SXJ4304" s="204"/>
      <c r="SXK4304" s="204"/>
      <c r="SXM4304" s="204"/>
      <c r="SXN4304" s="204"/>
      <c r="SXO4304" s="204"/>
      <c r="SXP4304" s="185" t="s">
        <v>667</v>
      </c>
      <c r="SXQ4304" s="205">
        <v>14460</v>
      </c>
      <c r="SXR4304" s="204"/>
      <c r="SXS4304" s="204"/>
      <c r="SXU4304" s="204"/>
      <c r="SXV4304" s="204"/>
      <c r="SXW4304" s="204"/>
      <c r="SXX4304" s="185" t="s">
        <v>667</v>
      </c>
      <c r="SXY4304" s="205">
        <v>14460</v>
      </c>
      <c r="SXZ4304" s="204"/>
      <c r="SYA4304" s="204"/>
      <c r="SYC4304" s="204"/>
      <c r="SYD4304" s="204"/>
      <c r="SYE4304" s="204"/>
      <c r="SYF4304" s="185" t="s">
        <v>667</v>
      </c>
      <c r="SYG4304" s="205">
        <v>14460</v>
      </c>
      <c r="SYH4304" s="204"/>
      <c r="SYI4304" s="204"/>
      <c r="SYK4304" s="204"/>
      <c r="SYL4304" s="204"/>
      <c r="SYM4304" s="204"/>
      <c r="SYN4304" s="185" t="s">
        <v>667</v>
      </c>
      <c r="SYO4304" s="205">
        <v>14460</v>
      </c>
      <c r="SYP4304" s="204"/>
      <c r="SYQ4304" s="204"/>
      <c r="SYS4304" s="204"/>
      <c r="SYT4304" s="204"/>
      <c r="SYU4304" s="204"/>
      <c r="SYV4304" s="185" t="s">
        <v>667</v>
      </c>
      <c r="SYW4304" s="205">
        <v>14460</v>
      </c>
      <c r="SYX4304" s="204"/>
      <c r="SYY4304" s="204"/>
      <c r="SZA4304" s="204"/>
      <c r="SZB4304" s="204"/>
      <c r="SZC4304" s="204"/>
      <c r="SZD4304" s="185" t="s">
        <v>667</v>
      </c>
      <c r="SZE4304" s="205">
        <v>14460</v>
      </c>
      <c r="SZF4304" s="204"/>
      <c r="SZG4304" s="204"/>
      <c r="SZI4304" s="204"/>
      <c r="SZJ4304" s="204"/>
      <c r="SZK4304" s="204"/>
      <c r="SZL4304" s="185" t="s">
        <v>667</v>
      </c>
      <c r="SZM4304" s="205">
        <v>14460</v>
      </c>
      <c r="SZN4304" s="204"/>
      <c r="SZO4304" s="204"/>
      <c r="SZQ4304" s="204"/>
      <c r="SZR4304" s="204"/>
      <c r="SZS4304" s="204"/>
      <c r="SZT4304" s="185" t="s">
        <v>667</v>
      </c>
      <c r="SZU4304" s="205">
        <v>14460</v>
      </c>
      <c r="SZV4304" s="204"/>
      <c r="SZW4304" s="204"/>
      <c r="SZY4304" s="204"/>
      <c r="SZZ4304" s="204"/>
      <c r="TAA4304" s="204"/>
      <c r="TAB4304" s="185" t="s">
        <v>667</v>
      </c>
      <c r="TAC4304" s="205">
        <v>14460</v>
      </c>
      <c r="TAD4304" s="204"/>
      <c r="TAE4304" s="204"/>
      <c r="TAG4304" s="204"/>
      <c r="TAH4304" s="204"/>
      <c r="TAI4304" s="204"/>
      <c r="TAJ4304" s="185" t="s">
        <v>667</v>
      </c>
      <c r="TAK4304" s="205">
        <v>14460</v>
      </c>
      <c r="TAL4304" s="204"/>
      <c r="TAM4304" s="204"/>
      <c r="TAO4304" s="204"/>
      <c r="TAP4304" s="204"/>
      <c r="TAQ4304" s="204"/>
      <c r="TAR4304" s="185" t="s">
        <v>667</v>
      </c>
      <c r="TAS4304" s="205">
        <v>14460</v>
      </c>
      <c r="TAT4304" s="204"/>
      <c r="TAU4304" s="204"/>
      <c r="TAW4304" s="204"/>
      <c r="TAX4304" s="204"/>
      <c r="TAY4304" s="204"/>
      <c r="TAZ4304" s="185" t="s">
        <v>667</v>
      </c>
      <c r="TBA4304" s="205">
        <v>14460</v>
      </c>
      <c r="TBB4304" s="204"/>
      <c r="TBC4304" s="204"/>
      <c r="TBE4304" s="204"/>
      <c r="TBF4304" s="204"/>
      <c r="TBG4304" s="204"/>
      <c r="TBH4304" s="185" t="s">
        <v>667</v>
      </c>
      <c r="TBI4304" s="205">
        <v>14460</v>
      </c>
      <c r="TBJ4304" s="204"/>
      <c r="TBK4304" s="204"/>
      <c r="TBM4304" s="204"/>
      <c r="TBN4304" s="204"/>
      <c r="TBO4304" s="204"/>
      <c r="TBP4304" s="185" t="s">
        <v>667</v>
      </c>
      <c r="TBQ4304" s="205">
        <v>14460</v>
      </c>
      <c r="TBR4304" s="204"/>
      <c r="TBS4304" s="204"/>
      <c r="TBU4304" s="204"/>
      <c r="TBV4304" s="204"/>
      <c r="TBW4304" s="204"/>
      <c r="TBX4304" s="185" t="s">
        <v>667</v>
      </c>
      <c r="TBY4304" s="205">
        <v>14460</v>
      </c>
      <c r="TBZ4304" s="204"/>
      <c r="TCA4304" s="204"/>
      <c r="TCC4304" s="204"/>
      <c r="TCD4304" s="204"/>
      <c r="TCE4304" s="204"/>
      <c r="TCF4304" s="185" t="s">
        <v>667</v>
      </c>
      <c r="TCG4304" s="205">
        <v>14460</v>
      </c>
      <c r="TCH4304" s="204"/>
      <c r="TCI4304" s="204"/>
      <c r="TCK4304" s="204"/>
      <c r="TCL4304" s="204"/>
      <c r="TCM4304" s="204"/>
      <c r="TCN4304" s="185" t="s">
        <v>667</v>
      </c>
      <c r="TCO4304" s="205">
        <v>14460</v>
      </c>
      <c r="TCP4304" s="204"/>
      <c r="TCQ4304" s="204"/>
      <c r="TCS4304" s="204"/>
      <c r="TCT4304" s="204"/>
      <c r="TCU4304" s="204"/>
      <c r="TCV4304" s="185" t="s">
        <v>667</v>
      </c>
      <c r="TCW4304" s="205">
        <v>14460</v>
      </c>
      <c r="TCX4304" s="204"/>
      <c r="TCY4304" s="204"/>
      <c r="TDA4304" s="204"/>
      <c r="TDB4304" s="204"/>
      <c r="TDC4304" s="204"/>
      <c r="TDD4304" s="185" t="s">
        <v>667</v>
      </c>
      <c r="TDE4304" s="205">
        <v>14460</v>
      </c>
      <c r="TDF4304" s="204"/>
      <c r="TDG4304" s="204"/>
      <c r="TDI4304" s="204"/>
      <c r="TDJ4304" s="204"/>
      <c r="TDK4304" s="204"/>
      <c r="TDL4304" s="185" t="s">
        <v>667</v>
      </c>
      <c r="TDM4304" s="205">
        <v>14460</v>
      </c>
      <c r="TDN4304" s="204"/>
      <c r="TDO4304" s="204"/>
      <c r="TDQ4304" s="204"/>
      <c r="TDR4304" s="204"/>
      <c r="TDS4304" s="204"/>
      <c r="TDT4304" s="185" t="s">
        <v>667</v>
      </c>
      <c r="TDU4304" s="205">
        <v>14460</v>
      </c>
      <c r="TDV4304" s="204"/>
      <c r="TDW4304" s="204"/>
      <c r="TDY4304" s="204"/>
      <c r="TDZ4304" s="204"/>
      <c r="TEA4304" s="204"/>
      <c r="TEB4304" s="185" t="s">
        <v>667</v>
      </c>
      <c r="TEC4304" s="205">
        <v>14460</v>
      </c>
      <c r="TED4304" s="204"/>
      <c r="TEE4304" s="204"/>
      <c r="TEG4304" s="204"/>
      <c r="TEH4304" s="204"/>
      <c r="TEI4304" s="204"/>
      <c r="TEJ4304" s="185" t="s">
        <v>667</v>
      </c>
      <c r="TEK4304" s="205">
        <v>14460</v>
      </c>
      <c r="TEL4304" s="204"/>
      <c r="TEM4304" s="204"/>
      <c r="TEO4304" s="204"/>
      <c r="TEP4304" s="204"/>
      <c r="TEQ4304" s="204"/>
      <c r="TER4304" s="185" t="s">
        <v>667</v>
      </c>
      <c r="TES4304" s="205">
        <v>14460</v>
      </c>
      <c r="TET4304" s="204"/>
      <c r="TEU4304" s="204"/>
      <c r="TEW4304" s="204"/>
      <c r="TEX4304" s="204"/>
      <c r="TEY4304" s="204"/>
      <c r="TEZ4304" s="185" t="s">
        <v>667</v>
      </c>
      <c r="TFA4304" s="205">
        <v>14460</v>
      </c>
      <c r="TFB4304" s="204"/>
      <c r="TFC4304" s="204"/>
      <c r="TFE4304" s="204"/>
      <c r="TFF4304" s="204"/>
      <c r="TFG4304" s="204"/>
      <c r="TFH4304" s="185" t="s">
        <v>667</v>
      </c>
      <c r="TFI4304" s="205">
        <v>14460</v>
      </c>
      <c r="TFJ4304" s="204"/>
      <c r="TFK4304" s="204"/>
      <c r="TFM4304" s="204"/>
      <c r="TFN4304" s="204"/>
      <c r="TFO4304" s="204"/>
      <c r="TFP4304" s="185" t="s">
        <v>667</v>
      </c>
      <c r="TFQ4304" s="205">
        <v>14460</v>
      </c>
      <c r="TFR4304" s="204"/>
      <c r="TFS4304" s="204"/>
      <c r="TFU4304" s="204"/>
      <c r="TFV4304" s="204"/>
      <c r="TFW4304" s="204"/>
      <c r="TFX4304" s="185" t="s">
        <v>667</v>
      </c>
      <c r="TFY4304" s="205">
        <v>14460</v>
      </c>
      <c r="TFZ4304" s="204"/>
      <c r="TGA4304" s="204"/>
      <c r="TGC4304" s="204"/>
      <c r="TGD4304" s="204"/>
      <c r="TGE4304" s="204"/>
      <c r="TGF4304" s="185" t="s">
        <v>667</v>
      </c>
      <c r="TGG4304" s="205">
        <v>14460</v>
      </c>
      <c r="TGH4304" s="204"/>
      <c r="TGI4304" s="204"/>
      <c r="TGK4304" s="204"/>
      <c r="TGL4304" s="204"/>
      <c r="TGM4304" s="204"/>
      <c r="TGN4304" s="185" t="s">
        <v>667</v>
      </c>
      <c r="TGO4304" s="205">
        <v>14460</v>
      </c>
      <c r="TGP4304" s="204"/>
      <c r="TGQ4304" s="204"/>
      <c r="TGS4304" s="204"/>
      <c r="TGT4304" s="204"/>
      <c r="TGU4304" s="204"/>
      <c r="TGV4304" s="185" t="s">
        <v>667</v>
      </c>
      <c r="TGW4304" s="205">
        <v>14460</v>
      </c>
      <c r="TGX4304" s="204"/>
      <c r="TGY4304" s="204"/>
      <c r="THA4304" s="204"/>
      <c r="THB4304" s="204"/>
      <c r="THC4304" s="204"/>
      <c r="THD4304" s="185" t="s">
        <v>667</v>
      </c>
      <c r="THE4304" s="205">
        <v>14460</v>
      </c>
      <c r="THF4304" s="204"/>
      <c r="THG4304" s="204"/>
      <c r="THI4304" s="204"/>
      <c r="THJ4304" s="204"/>
      <c r="THK4304" s="204"/>
      <c r="THL4304" s="185" t="s">
        <v>667</v>
      </c>
      <c r="THM4304" s="205">
        <v>14460</v>
      </c>
      <c r="THN4304" s="204"/>
      <c r="THO4304" s="204"/>
      <c r="THQ4304" s="204"/>
      <c r="THR4304" s="204"/>
      <c r="THS4304" s="204"/>
      <c r="THT4304" s="185" t="s">
        <v>667</v>
      </c>
      <c r="THU4304" s="205">
        <v>14460</v>
      </c>
      <c r="THV4304" s="204"/>
      <c r="THW4304" s="204"/>
      <c r="THY4304" s="204"/>
      <c r="THZ4304" s="204"/>
      <c r="TIA4304" s="204"/>
      <c r="TIB4304" s="185" t="s">
        <v>667</v>
      </c>
      <c r="TIC4304" s="205">
        <v>14460</v>
      </c>
      <c r="TID4304" s="204"/>
      <c r="TIE4304" s="204"/>
      <c r="TIG4304" s="204"/>
      <c r="TIH4304" s="204"/>
      <c r="TII4304" s="204"/>
      <c r="TIJ4304" s="185" t="s">
        <v>667</v>
      </c>
      <c r="TIK4304" s="205">
        <v>14460</v>
      </c>
      <c r="TIL4304" s="204"/>
      <c r="TIM4304" s="204"/>
      <c r="TIO4304" s="204"/>
      <c r="TIP4304" s="204"/>
      <c r="TIQ4304" s="204"/>
      <c r="TIR4304" s="185" t="s">
        <v>667</v>
      </c>
      <c r="TIS4304" s="205">
        <v>14460</v>
      </c>
      <c r="TIT4304" s="204"/>
      <c r="TIU4304" s="204"/>
      <c r="TIW4304" s="204"/>
      <c r="TIX4304" s="204"/>
      <c r="TIY4304" s="204"/>
      <c r="TIZ4304" s="185" t="s">
        <v>667</v>
      </c>
      <c r="TJA4304" s="205">
        <v>14460</v>
      </c>
      <c r="TJB4304" s="204"/>
      <c r="TJC4304" s="204"/>
      <c r="TJE4304" s="204"/>
      <c r="TJF4304" s="204"/>
      <c r="TJG4304" s="204"/>
      <c r="TJH4304" s="185" t="s">
        <v>667</v>
      </c>
      <c r="TJI4304" s="205">
        <v>14460</v>
      </c>
      <c r="TJJ4304" s="204"/>
      <c r="TJK4304" s="204"/>
      <c r="TJM4304" s="204"/>
      <c r="TJN4304" s="204"/>
      <c r="TJO4304" s="204"/>
      <c r="TJP4304" s="185" t="s">
        <v>667</v>
      </c>
      <c r="TJQ4304" s="205">
        <v>14460</v>
      </c>
      <c r="TJR4304" s="204"/>
      <c r="TJS4304" s="204"/>
      <c r="TJU4304" s="204"/>
      <c r="TJV4304" s="204"/>
      <c r="TJW4304" s="204"/>
      <c r="TJX4304" s="185" t="s">
        <v>667</v>
      </c>
      <c r="TJY4304" s="205">
        <v>14460</v>
      </c>
      <c r="TJZ4304" s="204"/>
      <c r="TKA4304" s="204"/>
      <c r="TKC4304" s="204"/>
      <c r="TKD4304" s="204"/>
      <c r="TKE4304" s="204"/>
      <c r="TKF4304" s="185" t="s">
        <v>667</v>
      </c>
      <c r="TKG4304" s="205">
        <v>14460</v>
      </c>
      <c r="TKH4304" s="204"/>
      <c r="TKI4304" s="204"/>
      <c r="TKK4304" s="204"/>
      <c r="TKL4304" s="204"/>
      <c r="TKM4304" s="204"/>
      <c r="TKN4304" s="185" t="s">
        <v>667</v>
      </c>
      <c r="TKO4304" s="205">
        <v>14460</v>
      </c>
      <c r="TKP4304" s="204"/>
      <c r="TKQ4304" s="204"/>
      <c r="TKS4304" s="204"/>
      <c r="TKT4304" s="204"/>
      <c r="TKU4304" s="204"/>
      <c r="TKV4304" s="185" t="s">
        <v>667</v>
      </c>
      <c r="TKW4304" s="205">
        <v>14460</v>
      </c>
      <c r="TKX4304" s="204"/>
      <c r="TKY4304" s="204"/>
      <c r="TLA4304" s="204"/>
      <c r="TLB4304" s="204"/>
      <c r="TLC4304" s="204"/>
      <c r="TLD4304" s="185" t="s">
        <v>667</v>
      </c>
      <c r="TLE4304" s="205">
        <v>14460</v>
      </c>
      <c r="TLF4304" s="204"/>
      <c r="TLG4304" s="204"/>
      <c r="TLI4304" s="204"/>
      <c r="TLJ4304" s="204"/>
      <c r="TLK4304" s="204"/>
      <c r="TLL4304" s="185" t="s">
        <v>667</v>
      </c>
      <c r="TLM4304" s="205">
        <v>14460</v>
      </c>
      <c r="TLN4304" s="204"/>
      <c r="TLO4304" s="204"/>
      <c r="TLQ4304" s="204"/>
      <c r="TLR4304" s="204"/>
      <c r="TLS4304" s="204"/>
      <c r="TLT4304" s="185" t="s">
        <v>667</v>
      </c>
      <c r="TLU4304" s="205">
        <v>14460</v>
      </c>
      <c r="TLV4304" s="204"/>
      <c r="TLW4304" s="204"/>
      <c r="TLY4304" s="204"/>
      <c r="TLZ4304" s="204"/>
      <c r="TMA4304" s="204"/>
      <c r="TMB4304" s="185" t="s">
        <v>667</v>
      </c>
      <c r="TMC4304" s="205">
        <v>14460</v>
      </c>
      <c r="TMD4304" s="204"/>
      <c r="TME4304" s="204"/>
      <c r="TMG4304" s="204"/>
      <c r="TMH4304" s="204"/>
      <c r="TMI4304" s="204"/>
      <c r="TMJ4304" s="185" t="s">
        <v>667</v>
      </c>
      <c r="TMK4304" s="205">
        <v>14460</v>
      </c>
      <c r="TML4304" s="204"/>
      <c r="TMM4304" s="204"/>
      <c r="TMO4304" s="204"/>
      <c r="TMP4304" s="204"/>
      <c r="TMQ4304" s="204"/>
      <c r="TMR4304" s="185" t="s">
        <v>667</v>
      </c>
      <c r="TMS4304" s="205">
        <v>14460</v>
      </c>
      <c r="TMT4304" s="204"/>
      <c r="TMU4304" s="204"/>
      <c r="TMW4304" s="204"/>
      <c r="TMX4304" s="204"/>
      <c r="TMY4304" s="204"/>
      <c r="TMZ4304" s="185" t="s">
        <v>667</v>
      </c>
      <c r="TNA4304" s="205">
        <v>14460</v>
      </c>
      <c r="TNB4304" s="204"/>
      <c r="TNC4304" s="204"/>
      <c r="TNE4304" s="204"/>
      <c r="TNF4304" s="204"/>
      <c r="TNG4304" s="204"/>
      <c r="TNH4304" s="185" t="s">
        <v>667</v>
      </c>
      <c r="TNI4304" s="205">
        <v>14460</v>
      </c>
      <c r="TNJ4304" s="204"/>
      <c r="TNK4304" s="204"/>
      <c r="TNM4304" s="204"/>
      <c r="TNN4304" s="204"/>
      <c r="TNO4304" s="204"/>
      <c r="TNP4304" s="185" t="s">
        <v>667</v>
      </c>
      <c r="TNQ4304" s="205">
        <v>14460</v>
      </c>
      <c r="TNR4304" s="204"/>
      <c r="TNS4304" s="204"/>
      <c r="TNU4304" s="204"/>
      <c r="TNV4304" s="204"/>
      <c r="TNW4304" s="204"/>
      <c r="TNX4304" s="185" t="s">
        <v>667</v>
      </c>
      <c r="TNY4304" s="205">
        <v>14460</v>
      </c>
      <c r="TNZ4304" s="204"/>
      <c r="TOA4304" s="204"/>
      <c r="TOC4304" s="204"/>
      <c r="TOD4304" s="204"/>
      <c r="TOE4304" s="204"/>
      <c r="TOF4304" s="185" t="s">
        <v>667</v>
      </c>
      <c r="TOG4304" s="205">
        <v>14460</v>
      </c>
      <c r="TOH4304" s="204"/>
      <c r="TOI4304" s="204"/>
      <c r="TOK4304" s="204"/>
      <c r="TOL4304" s="204"/>
      <c r="TOM4304" s="204"/>
      <c r="TON4304" s="185" t="s">
        <v>667</v>
      </c>
      <c r="TOO4304" s="205">
        <v>14460</v>
      </c>
      <c r="TOP4304" s="204"/>
      <c r="TOQ4304" s="204"/>
      <c r="TOS4304" s="204"/>
      <c r="TOT4304" s="204"/>
      <c r="TOU4304" s="204"/>
      <c r="TOV4304" s="185" t="s">
        <v>667</v>
      </c>
      <c r="TOW4304" s="205">
        <v>14460</v>
      </c>
      <c r="TOX4304" s="204"/>
      <c r="TOY4304" s="204"/>
      <c r="TPA4304" s="204"/>
      <c r="TPB4304" s="204"/>
      <c r="TPC4304" s="204"/>
      <c r="TPD4304" s="185" t="s">
        <v>667</v>
      </c>
      <c r="TPE4304" s="205">
        <v>14460</v>
      </c>
      <c r="TPF4304" s="204"/>
      <c r="TPG4304" s="204"/>
      <c r="TPI4304" s="204"/>
      <c r="TPJ4304" s="204"/>
      <c r="TPK4304" s="204"/>
      <c r="TPL4304" s="185" t="s">
        <v>667</v>
      </c>
      <c r="TPM4304" s="205">
        <v>14460</v>
      </c>
      <c r="TPN4304" s="204"/>
      <c r="TPO4304" s="204"/>
      <c r="TPQ4304" s="204"/>
      <c r="TPR4304" s="204"/>
      <c r="TPS4304" s="204"/>
      <c r="TPT4304" s="185" t="s">
        <v>667</v>
      </c>
      <c r="TPU4304" s="205">
        <v>14460</v>
      </c>
      <c r="TPV4304" s="204"/>
      <c r="TPW4304" s="204"/>
      <c r="TPY4304" s="204"/>
      <c r="TPZ4304" s="204"/>
      <c r="TQA4304" s="204"/>
      <c r="TQB4304" s="185" t="s">
        <v>667</v>
      </c>
      <c r="TQC4304" s="205">
        <v>14460</v>
      </c>
      <c r="TQD4304" s="204"/>
      <c r="TQE4304" s="204"/>
      <c r="TQG4304" s="204"/>
      <c r="TQH4304" s="204"/>
      <c r="TQI4304" s="204"/>
      <c r="TQJ4304" s="185" t="s">
        <v>667</v>
      </c>
      <c r="TQK4304" s="205">
        <v>14460</v>
      </c>
      <c r="TQL4304" s="204"/>
      <c r="TQM4304" s="204"/>
      <c r="TQO4304" s="204"/>
      <c r="TQP4304" s="204"/>
      <c r="TQQ4304" s="204"/>
      <c r="TQR4304" s="185" t="s">
        <v>667</v>
      </c>
      <c r="TQS4304" s="205">
        <v>14460</v>
      </c>
      <c r="TQT4304" s="204"/>
      <c r="TQU4304" s="204"/>
      <c r="TQW4304" s="204"/>
      <c r="TQX4304" s="204"/>
      <c r="TQY4304" s="204"/>
      <c r="TQZ4304" s="185" t="s">
        <v>667</v>
      </c>
      <c r="TRA4304" s="205">
        <v>14460</v>
      </c>
      <c r="TRB4304" s="204"/>
      <c r="TRC4304" s="204"/>
      <c r="TRE4304" s="204"/>
      <c r="TRF4304" s="204"/>
      <c r="TRG4304" s="204"/>
      <c r="TRH4304" s="185" t="s">
        <v>667</v>
      </c>
      <c r="TRI4304" s="205">
        <v>14460</v>
      </c>
      <c r="TRJ4304" s="204"/>
      <c r="TRK4304" s="204"/>
      <c r="TRM4304" s="204"/>
      <c r="TRN4304" s="204"/>
      <c r="TRO4304" s="204"/>
      <c r="TRP4304" s="185" t="s">
        <v>667</v>
      </c>
      <c r="TRQ4304" s="205">
        <v>14460</v>
      </c>
      <c r="TRR4304" s="204"/>
      <c r="TRS4304" s="204"/>
      <c r="TRU4304" s="204"/>
      <c r="TRV4304" s="204"/>
      <c r="TRW4304" s="204"/>
      <c r="TRX4304" s="185" t="s">
        <v>667</v>
      </c>
      <c r="TRY4304" s="205">
        <v>14460</v>
      </c>
      <c r="TRZ4304" s="204"/>
      <c r="TSA4304" s="204"/>
      <c r="TSC4304" s="204"/>
      <c r="TSD4304" s="204"/>
      <c r="TSE4304" s="204"/>
      <c r="TSF4304" s="185" t="s">
        <v>667</v>
      </c>
      <c r="TSG4304" s="205">
        <v>14460</v>
      </c>
      <c r="TSH4304" s="204"/>
      <c r="TSI4304" s="204"/>
      <c r="TSK4304" s="204"/>
      <c r="TSL4304" s="204"/>
      <c r="TSM4304" s="204"/>
      <c r="TSN4304" s="185" t="s">
        <v>667</v>
      </c>
      <c r="TSO4304" s="205">
        <v>14460</v>
      </c>
      <c r="TSP4304" s="204"/>
      <c r="TSQ4304" s="204"/>
      <c r="TSS4304" s="204"/>
      <c r="TST4304" s="204"/>
      <c r="TSU4304" s="204"/>
      <c r="TSV4304" s="185" t="s">
        <v>667</v>
      </c>
      <c r="TSW4304" s="205">
        <v>14460</v>
      </c>
      <c r="TSX4304" s="204"/>
      <c r="TSY4304" s="204"/>
      <c r="TTA4304" s="204"/>
      <c r="TTB4304" s="204"/>
      <c r="TTC4304" s="204"/>
      <c r="TTD4304" s="185" t="s">
        <v>667</v>
      </c>
      <c r="TTE4304" s="205">
        <v>14460</v>
      </c>
      <c r="TTF4304" s="204"/>
      <c r="TTG4304" s="204"/>
      <c r="TTI4304" s="204"/>
      <c r="TTJ4304" s="204"/>
      <c r="TTK4304" s="204"/>
      <c r="TTL4304" s="185" t="s">
        <v>667</v>
      </c>
      <c r="TTM4304" s="205">
        <v>14460</v>
      </c>
      <c r="TTN4304" s="204"/>
      <c r="TTO4304" s="204"/>
      <c r="TTQ4304" s="204"/>
      <c r="TTR4304" s="204"/>
      <c r="TTS4304" s="204"/>
      <c r="TTT4304" s="185" t="s">
        <v>667</v>
      </c>
      <c r="TTU4304" s="205">
        <v>14460</v>
      </c>
      <c r="TTV4304" s="204"/>
      <c r="TTW4304" s="204"/>
      <c r="TTY4304" s="204"/>
      <c r="TTZ4304" s="204"/>
      <c r="TUA4304" s="204"/>
      <c r="TUB4304" s="185" t="s">
        <v>667</v>
      </c>
      <c r="TUC4304" s="205">
        <v>14460</v>
      </c>
      <c r="TUD4304" s="204"/>
      <c r="TUE4304" s="204"/>
      <c r="TUG4304" s="204"/>
      <c r="TUH4304" s="204"/>
      <c r="TUI4304" s="204"/>
      <c r="TUJ4304" s="185" t="s">
        <v>667</v>
      </c>
      <c r="TUK4304" s="205">
        <v>14460</v>
      </c>
      <c r="TUL4304" s="204"/>
      <c r="TUM4304" s="204"/>
      <c r="TUO4304" s="204"/>
      <c r="TUP4304" s="204"/>
      <c r="TUQ4304" s="204"/>
      <c r="TUR4304" s="185" t="s">
        <v>667</v>
      </c>
      <c r="TUS4304" s="205">
        <v>14460</v>
      </c>
      <c r="TUT4304" s="204"/>
      <c r="TUU4304" s="204"/>
      <c r="TUW4304" s="204"/>
      <c r="TUX4304" s="204"/>
      <c r="TUY4304" s="204"/>
      <c r="TUZ4304" s="185" t="s">
        <v>667</v>
      </c>
      <c r="TVA4304" s="205">
        <v>14460</v>
      </c>
      <c r="TVB4304" s="204"/>
      <c r="TVC4304" s="204"/>
      <c r="TVE4304" s="204"/>
      <c r="TVF4304" s="204"/>
      <c r="TVG4304" s="204"/>
      <c r="TVH4304" s="185" t="s">
        <v>667</v>
      </c>
      <c r="TVI4304" s="205">
        <v>14460</v>
      </c>
      <c r="TVJ4304" s="204"/>
      <c r="TVK4304" s="204"/>
      <c r="TVM4304" s="204"/>
      <c r="TVN4304" s="204"/>
      <c r="TVO4304" s="204"/>
      <c r="TVP4304" s="185" t="s">
        <v>667</v>
      </c>
      <c r="TVQ4304" s="205">
        <v>14460</v>
      </c>
      <c r="TVR4304" s="204"/>
      <c r="TVS4304" s="204"/>
      <c r="TVU4304" s="204"/>
      <c r="TVV4304" s="204"/>
      <c r="TVW4304" s="204"/>
      <c r="TVX4304" s="185" t="s">
        <v>667</v>
      </c>
      <c r="TVY4304" s="205">
        <v>14460</v>
      </c>
      <c r="TVZ4304" s="204"/>
      <c r="TWA4304" s="204"/>
      <c r="TWC4304" s="204"/>
      <c r="TWD4304" s="204"/>
      <c r="TWE4304" s="204"/>
      <c r="TWF4304" s="185" t="s">
        <v>667</v>
      </c>
      <c r="TWG4304" s="205">
        <v>14460</v>
      </c>
      <c r="TWH4304" s="204"/>
      <c r="TWI4304" s="204"/>
      <c r="TWK4304" s="204"/>
      <c r="TWL4304" s="204"/>
      <c r="TWM4304" s="204"/>
      <c r="TWN4304" s="185" t="s">
        <v>667</v>
      </c>
      <c r="TWO4304" s="205">
        <v>14460</v>
      </c>
      <c r="TWP4304" s="204"/>
      <c r="TWQ4304" s="204"/>
      <c r="TWS4304" s="204"/>
      <c r="TWT4304" s="204"/>
      <c r="TWU4304" s="204"/>
      <c r="TWV4304" s="185" t="s">
        <v>667</v>
      </c>
      <c r="TWW4304" s="205">
        <v>14460</v>
      </c>
      <c r="TWX4304" s="204"/>
      <c r="TWY4304" s="204"/>
      <c r="TXA4304" s="204"/>
      <c r="TXB4304" s="204"/>
      <c r="TXC4304" s="204"/>
      <c r="TXD4304" s="185" t="s">
        <v>667</v>
      </c>
      <c r="TXE4304" s="205">
        <v>14460</v>
      </c>
      <c r="TXF4304" s="204"/>
      <c r="TXG4304" s="204"/>
      <c r="TXI4304" s="204"/>
      <c r="TXJ4304" s="204"/>
      <c r="TXK4304" s="204"/>
      <c r="TXL4304" s="185" t="s">
        <v>667</v>
      </c>
      <c r="TXM4304" s="205">
        <v>14460</v>
      </c>
      <c r="TXN4304" s="204"/>
      <c r="TXO4304" s="204"/>
      <c r="TXQ4304" s="204"/>
      <c r="TXR4304" s="204"/>
      <c r="TXS4304" s="204"/>
      <c r="TXT4304" s="185" t="s">
        <v>667</v>
      </c>
      <c r="TXU4304" s="205">
        <v>14460</v>
      </c>
      <c r="TXV4304" s="204"/>
      <c r="TXW4304" s="204"/>
      <c r="TXY4304" s="204"/>
      <c r="TXZ4304" s="204"/>
      <c r="TYA4304" s="204"/>
      <c r="TYB4304" s="185" t="s">
        <v>667</v>
      </c>
      <c r="TYC4304" s="205">
        <v>14460</v>
      </c>
      <c r="TYD4304" s="204"/>
      <c r="TYE4304" s="204"/>
      <c r="TYG4304" s="204"/>
      <c r="TYH4304" s="204"/>
      <c r="TYI4304" s="204"/>
      <c r="TYJ4304" s="185" t="s">
        <v>667</v>
      </c>
      <c r="TYK4304" s="205">
        <v>14460</v>
      </c>
      <c r="TYL4304" s="204"/>
      <c r="TYM4304" s="204"/>
      <c r="TYO4304" s="204"/>
      <c r="TYP4304" s="204"/>
      <c r="TYQ4304" s="204"/>
      <c r="TYR4304" s="185" t="s">
        <v>667</v>
      </c>
      <c r="TYS4304" s="205">
        <v>14460</v>
      </c>
      <c r="TYT4304" s="204"/>
      <c r="TYU4304" s="204"/>
      <c r="TYW4304" s="204"/>
      <c r="TYX4304" s="204"/>
      <c r="TYY4304" s="204"/>
      <c r="TYZ4304" s="185" t="s">
        <v>667</v>
      </c>
      <c r="TZA4304" s="205">
        <v>14460</v>
      </c>
      <c r="TZB4304" s="204"/>
      <c r="TZC4304" s="204"/>
      <c r="TZE4304" s="204"/>
      <c r="TZF4304" s="204"/>
      <c r="TZG4304" s="204"/>
      <c r="TZH4304" s="185" t="s">
        <v>667</v>
      </c>
      <c r="TZI4304" s="205">
        <v>14460</v>
      </c>
      <c r="TZJ4304" s="204"/>
      <c r="TZK4304" s="204"/>
      <c r="TZM4304" s="204"/>
      <c r="TZN4304" s="204"/>
      <c r="TZO4304" s="204"/>
      <c r="TZP4304" s="185" t="s">
        <v>667</v>
      </c>
      <c r="TZQ4304" s="205">
        <v>14460</v>
      </c>
      <c r="TZR4304" s="204"/>
      <c r="TZS4304" s="204"/>
      <c r="TZU4304" s="204"/>
      <c r="TZV4304" s="204"/>
      <c r="TZW4304" s="204"/>
      <c r="TZX4304" s="185" t="s">
        <v>667</v>
      </c>
      <c r="TZY4304" s="205">
        <v>14460</v>
      </c>
      <c r="TZZ4304" s="204"/>
      <c r="UAA4304" s="204"/>
      <c r="UAC4304" s="204"/>
      <c r="UAD4304" s="204"/>
      <c r="UAE4304" s="204"/>
      <c r="UAF4304" s="185" t="s">
        <v>667</v>
      </c>
      <c r="UAG4304" s="205">
        <v>14460</v>
      </c>
      <c r="UAH4304" s="204"/>
      <c r="UAI4304" s="204"/>
      <c r="UAK4304" s="204"/>
      <c r="UAL4304" s="204"/>
      <c r="UAM4304" s="204"/>
      <c r="UAN4304" s="185" t="s">
        <v>667</v>
      </c>
      <c r="UAO4304" s="205">
        <v>14460</v>
      </c>
      <c r="UAP4304" s="204"/>
      <c r="UAQ4304" s="204"/>
      <c r="UAS4304" s="204"/>
      <c r="UAT4304" s="204"/>
      <c r="UAU4304" s="204"/>
      <c r="UAV4304" s="185" t="s">
        <v>667</v>
      </c>
      <c r="UAW4304" s="205">
        <v>14460</v>
      </c>
      <c r="UAX4304" s="204"/>
      <c r="UAY4304" s="204"/>
      <c r="UBA4304" s="204"/>
      <c r="UBB4304" s="204"/>
      <c r="UBC4304" s="204"/>
      <c r="UBD4304" s="185" t="s">
        <v>667</v>
      </c>
      <c r="UBE4304" s="205">
        <v>14460</v>
      </c>
      <c r="UBF4304" s="204"/>
      <c r="UBG4304" s="204"/>
      <c r="UBI4304" s="204"/>
      <c r="UBJ4304" s="204"/>
      <c r="UBK4304" s="204"/>
      <c r="UBL4304" s="185" t="s">
        <v>667</v>
      </c>
      <c r="UBM4304" s="205">
        <v>14460</v>
      </c>
      <c r="UBN4304" s="204"/>
      <c r="UBO4304" s="204"/>
      <c r="UBQ4304" s="204"/>
      <c r="UBR4304" s="204"/>
      <c r="UBS4304" s="204"/>
      <c r="UBT4304" s="185" t="s">
        <v>667</v>
      </c>
      <c r="UBU4304" s="205">
        <v>14460</v>
      </c>
      <c r="UBV4304" s="204"/>
      <c r="UBW4304" s="204"/>
      <c r="UBY4304" s="204"/>
      <c r="UBZ4304" s="204"/>
      <c r="UCA4304" s="204"/>
      <c r="UCB4304" s="185" t="s">
        <v>667</v>
      </c>
      <c r="UCC4304" s="205">
        <v>14460</v>
      </c>
      <c r="UCD4304" s="204"/>
      <c r="UCE4304" s="204"/>
      <c r="UCG4304" s="204"/>
      <c r="UCH4304" s="204"/>
      <c r="UCI4304" s="204"/>
      <c r="UCJ4304" s="185" t="s">
        <v>667</v>
      </c>
      <c r="UCK4304" s="205">
        <v>14460</v>
      </c>
      <c r="UCL4304" s="204"/>
      <c r="UCM4304" s="204"/>
      <c r="UCO4304" s="204"/>
      <c r="UCP4304" s="204"/>
      <c r="UCQ4304" s="204"/>
      <c r="UCR4304" s="185" t="s">
        <v>667</v>
      </c>
      <c r="UCS4304" s="205">
        <v>14460</v>
      </c>
      <c r="UCT4304" s="204"/>
      <c r="UCU4304" s="204"/>
      <c r="UCW4304" s="204"/>
      <c r="UCX4304" s="204"/>
      <c r="UCY4304" s="204"/>
      <c r="UCZ4304" s="185" t="s">
        <v>667</v>
      </c>
      <c r="UDA4304" s="205">
        <v>14460</v>
      </c>
      <c r="UDB4304" s="204"/>
      <c r="UDC4304" s="204"/>
      <c r="UDE4304" s="204"/>
      <c r="UDF4304" s="204"/>
      <c r="UDG4304" s="204"/>
      <c r="UDH4304" s="185" t="s">
        <v>667</v>
      </c>
      <c r="UDI4304" s="205">
        <v>14460</v>
      </c>
      <c r="UDJ4304" s="204"/>
      <c r="UDK4304" s="204"/>
      <c r="UDM4304" s="204"/>
      <c r="UDN4304" s="204"/>
      <c r="UDO4304" s="204"/>
      <c r="UDP4304" s="185" t="s">
        <v>667</v>
      </c>
      <c r="UDQ4304" s="205">
        <v>14460</v>
      </c>
      <c r="UDR4304" s="204"/>
      <c r="UDS4304" s="204"/>
      <c r="UDU4304" s="204"/>
      <c r="UDV4304" s="204"/>
      <c r="UDW4304" s="204"/>
      <c r="UDX4304" s="185" t="s">
        <v>667</v>
      </c>
      <c r="UDY4304" s="205">
        <v>14460</v>
      </c>
      <c r="UDZ4304" s="204"/>
      <c r="UEA4304" s="204"/>
      <c r="UEC4304" s="204"/>
      <c r="UED4304" s="204"/>
      <c r="UEE4304" s="204"/>
      <c r="UEF4304" s="185" t="s">
        <v>667</v>
      </c>
      <c r="UEG4304" s="205">
        <v>14460</v>
      </c>
      <c r="UEH4304" s="204"/>
      <c r="UEI4304" s="204"/>
      <c r="UEK4304" s="204"/>
      <c r="UEL4304" s="204"/>
      <c r="UEM4304" s="204"/>
      <c r="UEN4304" s="185" t="s">
        <v>667</v>
      </c>
      <c r="UEO4304" s="205">
        <v>14460</v>
      </c>
      <c r="UEP4304" s="204"/>
      <c r="UEQ4304" s="204"/>
      <c r="UES4304" s="204"/>
      <c r="UET4304" s="204"/>
      <c r="UEU4304" s="204"/>
      <c r="UEV4304" s="185" t="s">
        <v>667</v>
      </c>
      <c r="UEW4304" s="205">
        <v>14460</v>
      </c>
      <c r="UEX4304" s="204"/>
      <c r="UEY4304" s="204"/>
      <c r="UFA4304" s="204"/>
      <c r="UFB4304" s="204"/>
      <c r="UFC4304" s="204"/>
      <c r="UFD4304" s="185" t="s">
        <v>667</v>
      </c>
      <c r="UFE4304" s="205">
        <v>14460</v>
      </c>
      <c r="UFF4304" s="204"/>
      <c r="UFG4304" s="204"/>
      <c r="UFI4304" s="204"/>
      <c r="UFJ4304" s="204"/>
      <c r="UFK4304" s="204"/>
      <c r="UFL4304" s="185" t="s">
        <v>667</v>
      </c>
      <c r="UFM4304" s="205">
        <v>14460</v>
      </c>
      <c r="UFN4304" s="204"/>
      <c r="UFO4304" s="204"/>
      <c r="UFQ4304" s="204"/>
      <c r="UFR4304" s="204"/>
      <c r="UFS4304" s="204"/>
      <c r="UFT4304" s="185" t="s">
        <v>667</v>
      </c>
      <c r="UFU4304" s="205">
        <v>14460</v>
      </c>
      <c r="UFV4304" s="204"/>
      <c r="UFW4304" s="204"/>
      <c r="UFY4304" s="204"/>
      <c r="UFZ4304" s="204"/>
      <c r="UGA4304" s="204"/>
      <c r="UGB4304" s="185" t="s">
        <v>667</v>
      </c>
      <c r="UGC4304" s="205">
        <v>14460</v>
      </c>
      <c r="UGD4304" s="204"/>
      <c r="UGE4304" s="204"/>
      <c r="UGG4304" s="204"/>
      <c r="UGH4304" s="204"/>
      <c r="UGI4304" s="204"/>
      <c r="UGJ4304" s="185" t="s">
        <v>667</v>
      </c>
      <c r="UGK4304" s="205">
        <v>14460</v>
      </c>
      <c r="UGL4304" s="204"/>
      <c r="UGM4304" s="204"/>
      <c r="UGO4304" s="204"/>
      <c r="UGP4304" s="204"/>
      <c r="UGQ4304" s="204"/>
      <c r="UGR4304" s="185" t="s">
        <v>667</v>
      </c>
      <c r="UGS4304" s="205">
        <v>14460</v>
      </c>
      <c r="UGT4304" s="204"/>
      <c r="UGU4304" s="204"/>
      <c r="UGW4304" s="204"/>
      <c r="UGX4304" s="204"/>
      <c r="UGY4304" s="204"/>
      <c r="UGZ4304" s="185" t="s">
        <v>667</v>
      </c>
      <c r="UHA4304" s="205">
        <v>14460</v>
      </c>
      <c r="UHB4304" s="204"/>
      <c r="UHC4304" s="204"/>
      <c r="UHE4304" s="204"/>
      <c r="UHF4304" s="204"/>
      <c r="UHG4304" s="204"/>
      <c r="UHH4304" s="185" t="s">
        <v>667</v>
      </c>
      <c r="UHI4304" s="205">
        <v>14460</v>
      </c>
      <c r="UHJ4304" s="204"/>
      <c r="UHK4304" s="204"/>
      <c r="UHM4304" s="204"/>
      <c r="UHN4304" s="204"/>
      <c r="UHO4304" s="204"/>
      <c r="UHP4304" s="185" t="s">
        <v>667</v>
      </c>
      <c r="UHQ4304" s="205">
        <v>14460</v>
      </c>
      <c r="UHR4304" s="204"/>
      <c r="UHS4304" s="204"/>
      <c r="UHU4304" s="204"/>
      <c r="UHV4304" s="204"/>
      <c r="UHW4304" s="204"/>
      <c r="UHX4304" s="185" t="s">
        <v>667</v>
      </c>
      <c r="UHY4304" s="205">
        <v>14460</v>
      </c>
      <c r="UHZ4304" s="204"/>
      <c r="UIA4304" s="204"/>
      <c r="UIC4304" s="204"/>
      <c r="UID4304" s="204"/>
      <c r="UIE4304" s="204"/>
      <c r="UIF4304" s="185" t="s">
        <v>667</v>
      </c>
      <c r="UIG4304" s="205">
        <v>14460</v>
      </c>
      <c r="UIH4304" s="204"/>
      <c r="UII4304" s="204"/>
      <c r="UIK4304" s="204"/>
      <c r="UIL4304" s="204"/>
      <c r="UIM4304" s="204"/>
      <c r="UIN4304" s="185" t="s">
        <v>667</v>
      </c>
      <c r="UIO4304" s="205">
        <v>14460</v>
      </c>
      <c r="UIP4304" s="204"/>
      <c r="UIQ4304" s="204"/>
      <c r="UIS4304" s="204"/>
      <c r="UIT4304" s="204"/>
      <c r="UIU4304" s="204"/>
      <c r="UIV4304" s="185" t="s">
        <v>667</v>
      </c>
      <c r="UIW4304" s="205">
        <v>14460</v>
      </c>
      <c r="UIX4304" s="204"/>
      <c r="UIY4304" s="204"/>
      <c r="UJA4304" s="204"/>
      <c r="UJB4304" s="204"/>
      <c r="UJC4304" s="204"/>
      <c r="UJD4304" s="185" t="s">
        <v>667</v>
      </c>
      <c r="UJE4304" s="205">
        <v>14460</v>
      </c>
      <c r="UJF4304" s="204"/>
      <c r="UJG4304" s="204"/>
      <c r="UJI4304" s="204"/>
      <c r="UJJ4304" s="204"/>
      <c r="UJK4304" s="204"/>
      <c r="UJL4304" s="185" t="s">
        <v>667</v>
      </c>
      <c r="UJM4304" s="205">
        <v>14460</v>
      </c>
      <c r="UJN4304" s="204"/>
      <c r="UJO4304" s="204"/>
      <c r="UJQ4304" s="204"/>
      <c r="UJR4304" s="204"/>
      <c r="UJS4304" s="204"/>
      <c r="UJT4304" s="185" t="s">
        <v>667</v>
      </c>
      <c r="UJU4304" s="205">
        <v>14460</v>
      </c>
      <c r="UJV4304" s="204"/>
      <c r="UJW4304" s="204"/>
      <c r="UJY4304" s="204"/>
      <c r="UJZ4304" s="204"/>
      <c r="UKA4304" s="204"/>
      <c r="UKB4304" s="185" t="s">
        <v>667</v>
      </c>
      <c r="UKC4304" s="205">
        <v>14460</v>
      </c>
      <c r="UKD4304" s="204"/>
      <c r="UKE4304" s="204"/>
      <c r="UKG4304" s="204"/>
      <c r="UKH4304" s="204"/>
      <c r="UKI4304" s="204"/>
      <c r="UKJ4304" s="185" t="s">
        <v>667</v>
      </c>
      <c r="UKK4304" s="205">
        <v>14460</v>
      </c>
      <c r="UKL4304" s="204"/>
      <c r="UKM4304" s="204"/>
      <c r="UKO4304" s="204"/>
      <c r="UKP4304" s="204"/>
      <c r="UKQ4304" s="204"/>
      <c r="UKR4304" s="185" t="s">
        <v>667</v>
      </c>
      <c r="UKS4304" s="205">
        <v>14460</v>
      </c>
      <c r="UKT4304" s="204"/>
      <c r="UKU4304" s="204"/>
      <c r="UKW4304" s="204"/>
      <c r="UKX4304" s="204"/>
      <c r="UKY4304" s="204"/>
      <c r="UKZ4304" s="185" t="s">
        <v>667</v>
      </c>
      <c r="ULA4304" s="205">
        <v>14460</v>
      </c>
      <c r="ULB4304" s="204"/>
      <c r="ULC4304" s="204"/>
      <c r="ULE4304" s="204"/>
      <c r="ULF4304" s="204"/>
      <c r="ULG4304" s="204"/>
      <c r="ULH4304" s="185" t="s">
        <v>667</v>
      </c>
      <c r="ULI4304" s="205">
        <v>14460</v>
      </c>
      <c r="ULJ4304" s="204"/>
      <c r="ULK4304" s="204"/>
      <c r="ULM4304" s="204"/>
      <c r="ULN4304" s="204"/>
      <c r="ULO4304" s="204"/>
      <c r="ULP4304" s="185" t="s">
        <v>667</v>
      </c>
      <c r="ULQ4304" s="205">
        <v>14460</v>
      </c>
      <c r="ULR4304" s="204"/>
      <c r="ULS4304" s="204"/>
      <c r="ULU4304" s="204"/>
      <c r="ULV4304" s="204"/>
      <c r="ULW4304" s="204"/>
      <c r="ULX4304" s="185" t="s">
        <v>667</v>
      </c>
      <c r="ULY4304" s="205">
        <v>14460</v>
      </c>
      <c r="ULZ4304" s="204"/>
      <c r="UMA4304" s="204"/>
      <c r="UMC4304" s="204"/>
      <c r="UMD4304" s="204"/>
      <c r="UME4304" s="204"/>
      <c r="UMF4304" s="185" t="s">
        <v>667</v>
      </c>
      <c r="UMG4304" s="205">
        <v>14460</v>
      </c>
      <c r="UMH4304" s="204"/>
      <c r="UMI4304" s="204"/>
      <c r="UMK4304" s="204"/>
      <c r="UML4304" s="204"/>
      <c r="UMM4304" s="204"/>
      <c r="UMN4304" s="185" t="s">
        <v>667</v>
      </c>
      <c r="UMO4304" s="205">
        <v>14460</v>
      </c>
      <c r="UMP4304" s="204"/>
      <c r="UMQ4304" s="204"/>
      <c r="UMS4304" s="204"/>
      <c r="UMT4304" s="204"/>
      <c r="UMU4304" s="204"/>
      <c r="UMV4304" s="185" t="s">
        <v>667</v>
      </c>
      <c r="UMW4304" s="205">
        <v>14460</v>
      </c>
      <c r="UMX4304" s="204"/>
      <c r="UMY4304" s="204"/>
      <c r="UNA4304" s="204"/>
      <c r="UNB4304" s="204"/>
      <c r="UNC4304" s="204"/>
      <c r="UND4304" s="185" t="s">
        <v>667</v>
      </c>
      <c r="UNE4304" s="205">
        <v>14460</v>
      </c>
      <c r="UNF4304" s="204"/>
      <c r="UNG4304" s="204"/>
      <c r="UNI4304" s="204"/>
      <c r="UNJ4304" s="204"/>
      <c r="UNK4304" s="204"/>
      <c r="UNL4304" s="185" t="s">
        <v>667</v>
      </c>
      <c r="UNM4304" s="205">
        <v>14460</v>
      </c>
      <c r="UNN4304" s="204"/>
      <c r="UNO4304" s="204"/>
      <c r="UNQ4304" s="204"/>
      <c r="UNR4304" s="204"/>
      <c r="UNS4304" s="204"/>
      <c r="UNT4304" s="185" t="s">
        <v>667</v>
      </c>
      <c r="UNU4304" s="205">
        <v>14460</v>
      </c>
      <c r="UNV4304" s="204"/>
      <c r="UNW4304" s="204"/>
      <c r="UNY4304" s="204"/>
      <c r="UNZ4304" s="204"/>
      <c r="UOA4304" s="204"/>
      <c r="UOB4304" s="185" t="s">
        <v>667</v>
      </c>
      <c r="UOC4304" s="205">
        <v>14460</v>
      </c>
      <c r="UOD4304" s="204"/>
      <c r="UOE4304" s="204"/>
      <c r="UOG4304" s="204"/>
      <c r="UOH4304" s="204"/>
      <c r="UOI4304" s="204"/>
      <c r="UOJ4304" s="185" t="s">
        <v>667</v>
      </c>
      <c r="UOK4304" s="205">
        <v>14460</v>
      </c>
      <c r="UOL4304" s="204"/>
      <c r="UOM4304" s="204"/>
      <c r="UOO4304" s="204"/>
      <c r="UOP4304" s="204"/>
      <c r="UOQ4304" s="204"/>
      <c r="UOR4304" s="185" t="s">
        <v>667</v>
      </c>
      <c r="UOS4304" s="205">
        <v>14460</v>
      </c>
      <c r="UOT4304" s="204"/>
      <c r="UOU4304" s="204"/>
      <c r="UOW4304" s="204"/>
      <c r="UOX4304" s="204"/>
      <c r="UOY4304" s="204"/>
      <c r="UOZ4304" s="185" t="s">
        <v>667</v>
      </c>
      <c r="UPA4304" s="205">
        <v>14460</v>
      </c>
      <c r="UPB4304" s="204"/>
      <c r="UPC4304" s="204"/>
      <c r="UPE4304" s="204"/>
      <c r="UPF4304" s="204"/>
      <c r="UPG4304" s="204"/>
      <c r="UPH4304" s="185" t="s">
        <v>667</v>
      </c>
      <c r="UPI4304" s="205">
        <v>14460</v>
      </c>
      <c r="UPJ4304" s="204"/>
      <c r="UPK4304" s="204"/>
      <c r="UPM4304" s="204"/>
      <c r="UPN4304" s="204"/>
      <c r="UPO4304" s="204"/>
      <c r="UPP4304" s="185" t="s">
        <v>667</v>
      </c>
      <c r="UPQ4304" s="205">
        <v>14460</v>
      </c>
      <c r="UPR4304" s="204"/>
      <c r="UPS4304" s="204"/>
      <c r="UPU4304" s="204"/>
      <c r="UPV4304" s="204"/>
      <c r="UPW4304" s="204"/>
      <c r="UPX4304" s="185" t="s">
        <v>667</v>
      </c>
      <c r="UPY4304" s="205">
        <v>14460</v>
      </c>
      <c r="UPZ4304" s="204"/>
      <c r="UQA4304" s="204"/>
      <c r="UQC4304" s="204"/>
      <c r="UQD4304" s="204"/>
      <c r="UQE4304" s="204"/>
      <c r="UQF4304" s="185" t="s">
        <v>667</v>
      </c>
      <c r="UQG4304" s="205">
        <v>14460</v>
      </c>
      <c r="UQH4304" s="204"/>
      <c r="UQI4304" s="204"/>
      <c r="UQK4304" s="204"/>
      <c r="UQL4304" s="204"/>
      <c r="UQM4304" s="204"/>
      <c r="UQN4304" s="185" t="s">
        <v>667</v>
      </c>
      <c r="UQO4304" s="205">
        <v>14460</v>
      </c>
      <c r="UQP4304" s="204"/>
      <c r="UQQ4304" s="204"/>
      <c r="UQS4304" s="204"/>
      <c r="UQT4304" s="204"/>
      <c r="UQU4304" s="204"/>
      <c r="UQV4304" s="185" t="s">
        <v>667</v>
      </c>
      <c r="UQW4304" s="205">
        <v>14460</v>
      </c>
      <c r="UQX4304" s="204"/>
      <c r="UQY4304" s="204"/>
      <c r="URA4304" s="204"/>
      <c r="URB4304" s="204"/>
      <c r="URC4304" s="204"/>
      <c r="URD4304" s="185" t="s">
        <v>667</v>
      </c>
      <c r="URE4304" s="205">
        <v>14460</v>
      </c>
      <c r="URF4304" s="204"/>
      <c r="URG4304" s="204"/>
      <c r="URI4304" s="204"/>
      <c r="URJ4304" s="204"/>
      <c r="URK4304" s="204"/>
      <c r="URL4304" s="185" t="s">
        <v>667</v>
      </c>
      <c r="URM4304" s="205">
        <v>14460</v>
      </c>
      <c r="URN4304" s="204"/>
      <c r="URO4304" s="204"/>
      <c r="URQ4304" s="204"/>
      <c r="URR4304" s="204"/>
      <c r="URS4304" s="204"/>
      <c r="URT4304" s="185" t="s">
        <v>667</v>
      </c>
      <c r="URU4304" s="205">
        <v>14460</v>
      </c>
      <c r="URV4304" s="204"/>
      <c r="URW4304" s="204"/>
      <c r="URY4304" s="204"/>
      <c r="URZ4304" s="204"/>
      <c r="USA4304" s="204"/>
      <c r="USB4304" s="185" t="s">
        <v>667</v>
      </c>
      <c r="USC4304" s="205">
        <v>14460</v>
      </c>
      <c r="USD4304" s="204"/>
      <c r="USE4304" s="204"/>
      <c r="USG4304" s="204"/>
      <c r="USH4304" s="204"/>
      <c r="USI4304" s="204"/>
      <c r="USJ4304" s="185" t="s">
        <v>667</v>
      </c>
      <c r="USK4304" s="205">
        <v>14460</v>
      </c>
      <c r="USL4304" s="204"/>
      <c r="USM4304" s="204"/>
      <c r="USO4304" s="204"/>
      <c r="USP4304" s="204"/>
      <c r="USQ4304" s="204"/>
      <c r="USR4304" s="185" t="s">
        <v>667</v>
      </c>
      <c r="USS4304" s="205">
        <v>14460</v>
      </c>
      <c r="UST4304" s="204"/>
      <c r="USU4304" s="204"/>
      <c r="USW4304" s="204"/>
      <c r="USX4304" s="204"/>
      <c r="USY4304" s="204"/>
      <c r="USZ4304" s="185" t="s">
        <v>667</v>
      </c>
      <c r="UTA4304" s="205">
        <v>14460</v>
      </c>
      <c r="UTB4304" s="204"/>
      <c r="UTC4304" s="204"/>
      <c r="UTE4304" s="204"/>
      <c r="UTF4304" s="204"/>
      <c r="UTG4304" s="204"/>
      <c r="UTH4304" s="185" t="s">
        <v>667</v>
      </c>
      <c r="UTI4304" s="205">
        <v>14460</v>
      </c>
      <c r="UTJ4304" s="204"/>
      <c r="UTK4304" s="204"/>
      <c r="UTM4304" s="204"/>
      <c r="UTN4304" s="204"/>
      <c r="UTO4304" s="204"/>
      <c r="UTP4304" s="185" t="s">
        <v>667</v>
      </c>
      <c r="UTQ4304" s="205">
        <v>14460</v>
      </c>
      <c r="UTR4304" s="204"/>
      <c r="UTS4304" s="204"/>
      <c r="UTU4304" s="204"/>
      <c r="UTV4304" s="204"/>
      <c r="UTW4304" s="204"/>
      <c r="UTX4304" s="185" t="s">
        <v>667</v>
      </c>
      <c r="UTY4304" s="205">
        <v>14460</v>
      </c>
      <c r="UTZ4304" s="204"/>
      <c r="UUA4304" s="204"/>
      <c r="UUC4304" s="204"/>
      <c r="UUD4304" s="204"/>
      <c r="UUE4304" s="204"/>
      <c r="UUF4304" s="185" t="s">
        <v>667</v>
      </c>
      <c r="UUG4304" s="205">
        <v>14460</v>
      </c>
      <c r="UUH4304" s="204"/>
      <c r="UUI4304" s="204"/>
      <c r="UUK4304" s="204"/>
      <c r="UUL4304" s="204"/>
      <c r="UUM4304" s="204"/>
      <c r="UUN4304" s="185" t="s">
        <v>667</v>
      </c>
      <c r="UUO4304" s="205">
        <v>14460</v>
      </c>
      <c r="UUP4304" s="204"/>
      <c r="UUQ4304" s="204"/>
      <c r="UUS4304" s="204"/>
      <c r="UUT4304" s="204"/>
      <c r="UUU4304" s="204"/>
      <c r="UUV4304" s="185" t="s">
        <v>667</v>
      </c>
      <c r="UUW4304" s="205">
        <v>14460</v>
      </c>
      <c r="UUX4304" s="204"/>
      <c r="UUY4304" s="204"/>
      <c r="UVA4304" s="204"/>
      <c r="UVB4304" s="204"/>
      <c r="UVC4304" s="204"/>
      <c r="UVD4304" s="185" t="s">
        <v>667</v>
      </c>
      <c r="UVE4304" s="205">
        <v>14460</v>
      </c>
      <c r="UVF4304" s="204"/>
      <c r="UVG4304" s="204"/>
      <c r="UVI4304" s="204"/>
      <c r="UVJ4304" s="204"/>
      <c r="UVK4304" s="204"/>
      <c r="UVL4304" s="185" t="s">
        <v>667</v>
      </c>
      <c r="UVM4304" s="205">
        <v>14460</v>
      </c>
      <c r="UVN4304" s="204"/>
      <c r="UVO4304" s="204"/>
      <c r="UVQ4304" s="204"/>
      <c r="UVR4304" s="204"/>
      <c r="UVS4304" s="204"/>
      <c r="UVT4304" s="185" t="s">
        <v>667</v>
      </c>
      <c r="UVU4304" s="205">
        <v>14460</v>
      </c>
      <c r="UVV4304" s="204"/>
      <c r="UVW4304" s="204"/>
      <c r="UVY4304" s="204"/>
      <c r="UVZ4304" s="204"/>
      <c r="UWA4304" s="204"/>
      <c r="UWB4304" s="185" t="s">
        <v>667</v>
      </c>
      <c r="UWC4304" s="205">
        <v>14460</v>
      </c>
      <c r="UWD4304" s="204"/>
      <c r="UWE4304" s="204"/>
      <c r="UWG4304" s="204"/>
      <c r="UWH4304" s="204"/>
      <c r="UWI4304" s="204"/>
      <c r="UWJ4304" s="185" t="s">
        <v>667</v>
      </c>
      <c r="UWK4304" s="205">
        <v>14460</v>
      </c>
      <c r="UWL4304" s="204"/>
      <c r="UWM4304" s="204"/>
      <c r="UWO4304" s="204"/>
      <c r="UWP4304" s="204"/>
      <c r="UWQ4304" s="204"/>
      <c r="UWR4304" s="185" t="s">
        <v>667</v>
      </c>
      <c r="UWS4304" s="205">
        <v>14460</v>
      </c>
      <c r="UWT4304" s="204"/>
      <c r="UWU4304" s="204"/>
      <c r="UWW4304" s="204"/>
      <c r="UWX4304" s="204"/>
      <c r="UWY4304" s="204"/>
      <c r="UWZ4304" s="185" t="s">
        <v>667</v>
      </c>
      <c r="UXA4304" s="205">
        <v>14460</v>
      </c>
      <c r="UXB4304" s="204"/>
      <c r="UXC4304" s="204"/>
      <c r="UXE4304" s="204"/>
      <c r="UXF4304" s="204"/>
      <c r="UXG4304" s="204"/>
      <c r="UXH4304" s="185" t="s">
        <v>667</v>
      </c>
      <c r="UXI4304" s="205">
        <v>14460</v>
      </c>
      <c r="UXJ4304" s="204"/>
      <c r="UXK4304" s="204"/>
      <c r="UXM4304" s="204"/>
      <c r="UXN4304" s="204"/>
      <c r="UXO4304" s="204"/>
      <c r="UXP4304" s="185" t="s">
        <v>667</v>
      </c>
      <c r="UXQ4304" s="205">
        <v>14460</v>
      </c>
      <c r="UXR4304" s="204"/>
      <c r="UXS4304" s="204"/>
      <c r="UXU4304" s="204"/>
      <c r="UXV4304" s="204"/>
      <c r="UXW4304" s="204"/>
      <c r="UXX4304" s="185" t="s">
        <v>667</v>
      </c>
      <c r="UXY4304" s="205">
        <v>14460</v>
      </c>
      <c r="UXZ4304" s="204"/>
      <c r="UYA4304" s="204"/>
      <c r="UYC4304" s="204"/>
      <c r="UYD4304" s="204"/>
      <c r="UYE4304" s="204"/>
      <c r="UYF4304" s="185" t="s">
        <v>667</v>
      </c>
      <c r="UYG4304" s="205">
        <v>14460</v>
      </c>
      <c r="UYH4304" s="204"/>
      <c r="UYI4304" s="204"/>
      <c r="UYK4304" s="204"/>
      <c r="UYL4304" s="204"/>
      <c r="UYM4304" s="204"/>
      <c r="UYN4304" s="185" t="s">
        <v>667</v>
      </c>
      <c r="UYO4304" s="205">
        <v>14460</v>
      </c>
      <c r="UYP4304" s="204"/>
      <c r="UYQ4304" s="204"/>
      <c r="UYS4304" s="204"/>
      <c r="UYT4304" s="204"/>
      <c r="UYU4304" s="204"/>
      <c r="UYV4304" s="185" t="s">
        <v>667</v>
      </c>
      <c r="UYW4304" s="205">
        <v>14460</v>
      </c>
      <c r="UYX4304" s="204"/>
      <c r="UYY4304" s="204"/>
      <c r="UZA4304" s="204"/>
      <c r="UZB4304" s="204"/>
      <c r="UZC4304" s="204"/>
      <c r="UZD4304" s="185" t="s">
        <v>667</v>
      </c>
      <c r="UZE4304" s="205">
        <v>14460</v>
      </c>
      <c r="UZF4304" s="204"/>
      <c r="UZG4304" s="204"/>
      <c r="UZI4304" s="204"/>
      <c r="UZJ4304" s="204"/>
      <c r="UZK4304" s="204"/>
      <c r="UZL4304" s="185" t="s">
        <v>667</v>
      </c>
      <c r="UZM4304" s="205">
        <v>14460</v>
      </c>
      <c r="UZN4304" s="204"/>
      <c r="UZO4304" s="204"/>
      <c r="UZQ4304" s="204"/>
      <c r="UZR4304" s="204"/>
      <c r="UZS4304" s="204"/>
      <c r="UZT4304" s="185" t="s">
        <v>667</v>
      </c>
      <c r="UZU4304" s="205">
        <v>14460</v>
      </c>
      <c r="UZV4304" s="204"/>
      <c r="UZW4304" s="204"/>
      <c r="UZY4304" s="204"/>
      <c r="UZZ4304" s="204"/>
      <c r="VAA4304" s="204"/>
      <c r="VAB4304" s="185" t="s">
        <v>667</v>
      </c>
      <c r="VAC4304" s="205">
        <v>14460</v>
      </c>
      <c r="VAD4304" s="204"/>
      <c r="VAE4304" s="204"/>
      <c r="VAG4304" s="204"/>
      <c r="VAH4304" s="204"/>
      <c r="VAI4304" s="204"/>
      <c r="VAJ4304" s="185" t="s">
        <v>667</v>
      </c>
      <c r="VAK4304" s="205">
        <v>14460</v>
      </c>
      <c r="VAL4304" s="204"/>
      <c r="VAM4304" s="204"/>
      <c r="VAO4304" s="204"/>
      <c r="VAP4304" s="204"/>
      <c r="VAQ4304" s="204"/>
      <c r="VAR4304" s="185" t="s">
        <v>667</v>
      </c>
      <c r="VAS4304" s="205">
        <v>14460</v>
      </c>
      <c r="VAT4304" s="204"/>
      <c r="VAU4304" s="204"/>
      <c r="VAW4304" s="204"/>
      <c r="VAX4304" s="204"/>
      <c r="VAY4304" s="204"/>
      <c r="VAZ4304" s="185" t="s">
        <v>667</v>
      </c>
      <c r="VBA4304" s="205">
        <v>14460</v>
      </c>
      <c r="VBB4304" s="204"/>
      <c r="VBC4304" s="204"/>
      <c r="VBE4304" s="204"/>
      <c r="VBF4304" s="204"/>
      <c r="VBG4304" s="204"/>
      <c r="VBH4304" s="185" t="s">
        <v>667</v>
      </c>
      <c r="VBI4304" s="205">
        <v>14460</v>
      </c>
      <c r="VBJ4304" s="204"/>
      <c r="VBK4304" s="204"/>
      <c r="VBM4304" s="204"/>
      <c r="VBN4304" s="204"/>
      <c r="VBO4304" s="204"/>
      <c r="VBP4304" s="185" t="s">
        <v>667</v>
      </c>
      <c r="VBQ4304" s="205">
        <v>14460</v>
      </c>
      <c r="VBR4304" s="204"/>
      <c r="VBS4304" s="204"/>
      <c r="VBU4304" s="204"/>
      <c r="VBV4304" s="204"/>
      <c r="VBW4304" s="204"/>
      <c r="VBX4304" s="185" t="s">
        <v>667</v>
      </c>
      <c r="VBY4304" s="205">
        <v>14460</v>
      </c>
      <c r="VBZ4304" s="204"/>
      <c r="VCA4304" s="204"/>
      <c r="VCC4304" s="204"/>
      <c r="VCD4304" s="204"/>
      <c r="VCE4304" s="204"/>
      <c r="VCF4304" s="185" t="s">
        <v>667</v>
      </c>
      <c r="VCG4304" s="205">
        <v>14460</v>
      </c>
      <c r="VCH4304" s="204"/>
      <c r="VCI4304" s="204"/>
      <c r="VCK4304" s="204"/>
      <c r="VCL4304" s="204"/>
      <c r="VCM4304" s="204"/>
      <c r="VCN4304" s="185" t="s">
        <v>667</v>
      </c>
      <c r="VCO4304" s="205">
        <v>14460</v>
      </c>
      <c r="VCP4304" s="204"/>
      <c r="VCQ4304" s="204"/>
      <c r="VCS4304" s="204"/>
      <c r="VCT4304" s="204"/>
      <c r="VCU4304" s="204"/>
      <c r="VCV4304" s="185" t="s">
        <v>667</v>
      </c>
      <c r="VCW4304" s="205">
        <v>14460</v>
      </c>
      <c r="VCX4304" s="204"/>
      <c r="VCY4304" s="204"/>
      <c r="VDA4304" s="204"/>
      <c r="VDB4304" s="204"/>
      <c r="VDC4304" s="204"/>
      <c r="VDD4304" s="185" t="s">
        <v>667</v>
      </c>
      <c r="VDE4304" s="205">
        <v>14460</v>
      </c>
      <c r="VDF4304" s="204"/>
      <c r="VDG4304" s="204"/>
      <c r="VDI4304" s="204"/>
      <c r="VDJ4304" s="204"/>
      <c r="VDK4304" s="204"/>
      <c r="VDL4304" s="185" t="s">
        <v>667</v>
      </c>
      <c r="VDM4304" s="205">
        <v>14460</v>
      </c>
      <c r="VDN4304" s="204"/>
      <c r="VDO4304" s="204"/>
      <c r="VDQ4304" s="204"/>
      <c r="VDR4304" s="204"/>
      <c r="VDS4304" s="204"/>
      <c r="VDT4304" s="185" t="s">
        <v>667</v>
      </c>
      <c r="VDU4304" s="205">
        <v>14460</v>
      </c>
      <c r="VDV4304" s="204"/>
      <c r="VDW4304" s="204"/>
      <c r="VDY4304" s="204"/>
      <c r="VDZ4304" s="204"/>
      <c r="VEA4304" s="204"/>
      <c r="VEB4304" s="185" t="s">
        <v>667</v>
      </c>
      <c r="VEC4304" s="205">
        <v>14460</v>
      </c>
      <c r="VED4304" s="204"/>
      <c r="VEE4304" s="204"/>
      <c r="VEG4304" s="204"/>
      <c r="VEH4304" s="204"/>
      <c r="VEI4304" s="204"/>
      <c r="VEJ4304" s="185" t="s">
        <v>667</v>
      </c>
      <c r="VEK4304" s="205">
        <v>14460</v>
      </c>
      <c r="VEL4304" s="204"/>
      <c r="VEM4304" s="204"/>
      <c r="VEO4304" s="204"/>
      <c r="VEP4304" s="204"/>
      <c r="VEQ4304" s="204"/>
      <c r="VER4304" s="185" t="s">
        <v>667</v>
      </c>
      <c r="VES4304" s="205">
        <v>14460</v>
      </c>
      <c r="VET4304" s="204"/>
      <c r="VEU4304" s="204"/>
      <c r="VEW4304" s="204"/>
      <c r="VEX4304" s="204"/>
      <c r="VEY4304" s="204"/>
      <c r="VEZ4304" s="185" t="s">
        <v>667</v>
      </c>
      <c r="VFA4304" s="205">
        <v>14460</v>
      </c>
      <c r="VFB4304" s="204"/>
      <c r="VFC4304" s="204"/>
      <c r="VFE4304" s="204"/>
      <c r="VFF4304" s="204"/>
      <c r="VFG4304" s="204"/>
      <c r="VFH4304" s="185" t="s">
        <v>667</v>
      </c>
      <c r="VFI4304" s="205">
        <v>14460</v>
      </c>
      <c r="VFJ4304" s="204"/>
      <c r="VFK4304" s="204"/>
      <c r="VFM4304" s="204"/>
      <c r="VFN4304" s="204"/>
      <c r="VFO4304" s="204"/>
      <c r="VFP4304" s="185" t="s">
        <v>667</v>
      </c>
      <c r="VFQ4304" s="205">
        <v>14460</v>
      </c>
      <c r="VFR4304" s="204"/>
      <c r="VFS4304" s="204"/>
      <c r="VFU4304" s="204"/>
      <c r="VFV4304" s="204"/>
      <c r="VFW4304" s="204"/>
      <c r="VFX4304" s="185" t="s">
        <v>667</v>
      </c>
      <c r="VFY4304" s="205">
        <v>14460</v>
      </c>
      <c r="VFZ4304" s="204"/>
      <c r="VGA4304" s="204"/>
      <c r="VGC4304" s="204"/>
      <c r="VGD4304" s="204"/>
      <c r="VGE4304" s="204"/>
      <c r="VGF4304" s="185" t="s">
        <v>667</v>
      </c>
      <c r="VGG4304" s="205">
        <v>14460</v>
      </c>
      <c r="VGH4304" s="204"/>
      <c r="VGI4304" s="204"/>
      <c r="VGK4304" s="204"/>
      <c r="VGL4304" s="204"/>
      <c r="VGM4304" s="204"/>
      <c r="VGN4304" s="185" t="s">
        <v>667</v>
      </c>
      <c r="VGO4304" s="205">
        <v>14460</v>
      </c>
      <c r="VGP4304" s="204"/>
      <c r="VGQ4304" s="204"/>
      <c r="VGS4304" s="204"/>
      <c r="VGT4304" s="204"/>
      <c r="VGU4304" s="204"/>
      <c r="VGV4304" s="185" t="s">
        <v>667</v>
      </c>
      <c r="VGW4304" s="205">
        <v>14460</v>
      </c>
      <c r="VGX4304" s="204"/>
      <c r="VGY4304" s="204"/>
      <c r="VHA4304" s="204"/>
      <c r="VHB4304" s="204"/>
      <c r="VHC4304" s="204"/>
      <c r="VHD4304" s="185" t="s">
        <v>667</v>
      </c>
      <c r="VHE4304" s="205">
        <v>14460</v>
      </c>
      <c r="VHF4304" s="204"/>
      <c r="VHG4304" s="204"/>
      <c r="VHI4304" s="204"/>
      <c r="VHJ4304" s="204"/>
      <c r="VHK4304" s="204"/>
      <c r="VHL4304" s="185" t="s">
        <v>667</v>
      </c>
      <c r="VHM4304" s="205">
        <v>14460</v>
      </c>
      <c r="VHN4304" s="204"/>
      <c r="VHO4304" s="204"/>
      <c r="VHQ4304" s="204"/>
      <c r="VHR4304" s="204"/>
      <c r="VHS4304" s="204"/>
      <c r="VHT4304" s="185" t="s">
        <v>667</v>
      </c>
      <c r="VHU4304" s="205">
        <v>14460</v>
      </c>
      <c r="VHV4304" s="204"/>
      <c r="VHW4304" s="204"/>
      <c r="VHY4304" s="204"/>
      <c r="VHZ4304" s="204"/>
      <c r="VIA4304" s="204"/>
      <c r="VIB4304" s="185" t="s">
        <v>667</v>
      </c>
      <c r="VIC4304" s="205">
        <v>14460</v>
      </c>
      <c r="VID4304" s="204"/>
      <c r="VIE4304" s="204"/>
      <c r="VIG4304" s="204"/>
      <c r="VIH4304" s="204"/>
      <c r="VII4304" s="204"/>
      <c r="VIJ4304" s="185" t="s">
        <v>667</v>
      </c>
      <c r="VIK4304" s="205">
        <v>14460</v>
      </c>
      <c r="VIL4304" s="204"/>
      <c r="VIM4304" s="204"/>
      <c r="VIO4304" s="204"/>
      <c r="VIP4304" s="204"/>
      <c r="VIQ4304" s="204"/>
      <c r="VIR4304" s="185" t="s">
        <v>667</v>
      </c>
      <c r="VIS4304" s="205">
        <v>14460</v>
      </c>
      <c r="VIT4304" s="204"/>
      <c r="VIU4304" s="204"/>
      <c r="VIW4304" s="204"/>
      <c r="VIX4304" s="204"/>
      <c r="VIY4304" s="204"/>
      <c r="VIZ4304" s="185" t="s">
        <v>667</v>
      </c>
      <c r="VJA4304" s="205">
        <v>14460</v>
      </c>
      <c r="VJB4304" s="204"/>
      <c r="VJC4304" s="204"/>
      <c r="VJE4304" s="204"/>
      <c r="VJF4304" s="204"/>
      <c r="VJG4304" s="204"/>
      <c r="VJH4304" s="185" t="s">
        <v>667</v>
      </c>
      <c r="VJI4304" s="205">
        <v>14460</v>
      </c>
      <c r="VJJ4304" s="204"/>
      <c r="VJK4304" s="204"/>
      <c r="VJM4304" s="204"/>
      <c r="VJN4304" s="204"/>
      <c r="VJO4304" s="204"/>
      <c r="VJP4304" s="185" t="s">
        <v>667</v>
      </c>
      <c r="VJQ4304" s="205">
        <v>14460</v>
      </c>
      <c r="VJR4304" s="204"/>
      <c r="VJS4304" s="204"/>
      <c r="VJU4304" s="204"/>
      <c r="VJV4304" s="204"/>
      <c r="VJW4304" s="204"/>
      <c r="VJX4304" s="185" t="s">
        <v>667</v>
      </c>
      <c r="VJY4304" s="205">
        <v>14460</v>
      </c>
      <c r="VJZ4304" s="204"/>
      <c r="VKA4304" s="204"/>
      <c r="VKC4304" s="204"/>
      <c r="VKD4304" s="204"/>
      <c r="VKE4304" s="204"/>
      <c r="VKF4304" s="185" t="s">
        <v>667</v>
      </c>
      <c r="VKG4304" s="205">
        <v>14460</v>
      </c>
      <c r="VKH4304" s="204"/>
      <c r="VKI4304" s="204"/>
      <c r="VKK4304" s="204"/>
      <c r="VKL4304" s="204"/>
      <c r="VKM4304" s="204"/>
      <c r="VKN4304" s="185" t="s">
        <v>667</v>
      </c>
      <c r="VKO4304" s="205">
        <v>14460</v>
      </c>
      <c r="VKP4304" s="204"/>
      <c r="VKQ4304" s="204"/>
      <c r="VKS4304" s="204"/>
      <c r="VKT4304" s="204"/>
      <c r="VKU4304" s="204"/>
      <c r="VKV4304" s="185" t="s">
        <v>667</v>
      </c>
      <c r="VKW4304" s="205">
        <v>14460</v>
      </c>
      <c r="VKX4304" s="204"/>
      <c r="VKY4304" s="204"/>
      <c r="VLA4304" s="204"/>
      <c r="VLB4304" s="204"/>
      <c r="VLC4304" s="204"/>
      <c r="VLD4304" s="185" t="s">
        <v>667</v>
      </c>
      <c r="VLE4304" s="205">
        <v>14460</v>
      </c>
      <c r="VLF4304" s="204"/>
      <c r="VLG4304" s="204"/>
      <c r="VLI4304" s="204"/>
      <c r="VLJ4304" s="204"/>
      <c r="VLK4304" s="204"/>
      <c r="VLL4304" s="185" t="s">
        <v>667</v>
      </c>
      <c r="VLM4304" s="205">
        <v>14460</v>
      </c>
      <c r="VLN4304" s="204"/>
      <c r="VLO4304" s="204"/>
      <c r="VLQ4304" s="204"/>
      <c r="VLR4304" s="204"/>
      <c r="VLS4304" s="204"/>
      <c r="VLT4304" s="185" t="s">
        <v>667</v>
      </c>
      <c r="VLU4304" s="205">
        <v>14460</v>
      </c>
      <c r="VLV4304" s="204"/>
      <c r="VLW4304" s="204"/>
      <c r="VLY4304" s="204"/>
      <c r="VLZ4304" s="204"/>
      <c r="VMA4304" s="204"/>
      <c r="VMB4304" s="185" t="s">
        <v>667</v>
      </c>
      <c r="VMC4304" s="205">
        <v>14460</v>
      </c>
      <c r="VMD4304" s="204"/>
      <c r="VME4304" s="204"/>
      <c r="VMG4304" s="204"/>
      <c r="VMH4304" s="204"/>
      <c r="VMI4304" s="204"/>
      <c r="VMJ4304" s="185" t="s">
        <v>667</v>
      </c>
      <c r="VMK4304" s="205">
        <v>14460</v>
      </c>
      <c r="VML4304" s="204"/>
      <c r="VMM4304" s="204"/>
      <c r="VMO4304" s="204"/>
      <c r="VMP4304" s="204"/>
      <c r="VMQ4304" s="204"/>
      <c r="VMR4304" s="185" t="s">
        <v>667</v>
      </c>
      <c r="VMS4304" s="205">
        <v>14460</v>
      </c>
      <c r="VMT4304" s="204"/>
      <c r="VMU4304" s="204"/>
      <c r="VMW4304" s="204"/>
      <c r="VMX4304" s="204"/>
      <c r="VMY4304" s="204"/>
      <c r="VMZ4304" s="185" t="s">
        <v>667</v>
      </c>
      <c r="VNA4304" s="205">
        <v>14460</v>
      </c>
      <c r="VNB4304" s="204"/>
      <c r="VNC4304" s="204"/>
      <c r="VNE4304" s="204"/>
      <c r="VNF4304" s="204"/>
      <c r="VNG4304" s="204"/>
      <c r="VNH4304" s="185" t="s">
        <v>667</v>
      </c>
      <c r="VNI4304" s="205">
        <v>14460</v>
      </c>
      <c r="VNJ4304" s="204"/>
      <c r="VNK4304" s="204"/>
      <c r="VNM4304" s="204"/>
      <c r="VNN4304" s="204"/>
      <c r="VNO4304" s="204"/>
      <c r="VNP4304" s="185" t="s">
        <v>667</v>
      </c>
      <c r="VNQ4304" s="205">
        <v>14460</v>
      </c>
      <c r="VNR4304" s="204"/>
      <c r="VNS4304" s="204"/>
      <c r="VNU4304" s="204"/>
      <c r="VNV4304" s="204"/>
      <c r="VNW4304" s="204"/>
      <c r="VNX4304" s="185" t="s">
        <v>667</v>
      </c>
      <c r="VNY4304" s="205">
        <v>14460</v>
      </c>
      <c r="VNZ4304" s="204"/>
      <c r="VOA4304" s="204"/>
      <c r="VOC4304" s="204"/>
      <c r="VOD4304" s="204"/>
      <c r="VOE4304" s="204"/>
      <c r="VOF4304" s="185" t="s">
        <v>667</v>
      </c>
      <c r="VOG4304" s="205">
        <v>14460</v>
      </c>
      <c r="VOH4304" s="204"/>
      <c r="VOI4304" s="204"/>
      <c r="VOK4304" s="204"/>
      <c r="VOL4304" s="204"/>
      <c r="VOM4304" s="204"/>
      <c r="VON4304" s="185" t="s">
        <v>667</v>
      </c>
      <c r="VOO4304" s="205">
        <v>14460</v>
      </c>
      <c r="VOP4304" s="204"/>
      <c r="VOQ4304" s="204"/>
      <c r="VOS4304" s="204"/>
      <c r="VOT4304" s="204"/>
      <c r="VOU4304" s="204"/>
      <c r="VOV4304" s="185" t="s">
        <v>667</v>
      </c>
      <c r="VOW4304" s="205">
        <v>14460</v>
      </c>
      <c r="VOX4304" s="204"/>
      <c r="VOY4304" s="204"/>
      <c r="VPA4304" s="204"/>
      <c r="VPB4304" s="204"/>
      <c r="VPC4304" s="204"/>
      <c r="VPD4304" s="185" t="s">
        <v>667</v>
      </c>
      <c r="VPE4304" s="205">
        <v>14460</v>
      </c>
      <c r="VPF4304" s="204"/>
      <c r="VPG4304" s="204"/>
      <c r="VPI4304" s="204"/>
      <c r="VPJ4304" s="204"/>
      <c r="VPK4304" s="204"/>
      <c r="VPL4304" s="185" t="s">
        <v>667</v>
      </c>
      <c r="VPM4304" s="205">
        <v>14460</v>
      </c>
      <c r="VPN4304" s="204"/>
      <c r="VPO4304" s="204"/>
      <c r="VPQ4304" s="204"/>
      <c r="VPR4304" s="204"/>
      <c r="VPS4304" s="204"/>
      <c r="VPT4304" s="185" t="s">
        <v>667</v>
      </c>
      <c r="VPU4304" s="205">
        <v>14460</v>
      </c>
      <c r="VPV4304" s="204"/>
      <c r="VPW4304" s="204"/>
      <c r="VPY4304" s="204"/>
      <c r="VPZ4304" s="204"/>
      <c r="VQA4304" s="204"/>
      <c r="VQB4304" s="185" t="s">
        <v>667</v>
      </c>
      <c r="VQC4304" s="205">
        <v>14460</v>
      </c>
      <c r="VQD4304" s="204"/>
      <c r="VQE4304" s="204"/>
      <c r="VQG4304" s="204"/>
      <c r="VQH4304" s="204"/>
      <c r="VQI4304" s="204"/>
      <c r="VQJ4304" s="185" t="s">
        <v>667</v>
      </c>
      <c r="VQK4304" s="205">
        <v>14460</v>
      </c>
      <c r="VQL4304" s="204"/>
      <c r="VQM4304" s="204"/>
      <c r="VQO4304" s="204"/>
      <c r="VQP4304" s="204"/>
      <c r="VQQ4304" s="204"/>
      <c r="VQR4304" s="185" t="s">
        <v>667</v>
      </c>
      <c r="VQS4304" s="205">
        <v>14460</v>
      </c>
      <c r="VQT4304" s="204"/>
      <c r="VQU4304" s="204"/>
      <c r="VQW4304" s="204"/>
      <c r="VQX4304" s="204"/>
      <c r="VQY4304" s="204"/>
      <c r="VQZ4304" s="185" t="s">
        <v>667</v>
      </c>
      <c r="VRA4304" s="205">
        <v>14460</v>
      </c>
      <c r="VRB4304" s="204"/>
      <c r="VRC4304" s="204"/>
      <c r="VRE4304" s="204"/>
      <c r="VRF4304" s="204"/>
      <c r="VRG4304" s="204"/>
      <c r="VRH4304" s="185" t="s">
        <v>667</v>
      </c>
      <c r="VRI4304" s="205">
        <v>14460</v>
      </c>
      <c r="VRJ4304" s="204"/>
      <c r="VRK4304" s="204"/>
      <c r="VRM4304" s="204"/>
      <c r="VRN4304" s="204"/>
      <c r="VRO4304" s="204"/>
      <c r="VRP4304" s="185" t="s">
        <v>667</v>
      </c>
      <c r="VRQ4304" s="205">
        <v>14460</v>
      </c>
      <c r="VRR4304" s="204"/>
      <c r="VRS4304" s="204"/>
      <c r="VRU4304" s="204"/>
      <c r="VRV4304" s="204"/>
      <c r="VRW4304" s="204"/>
      <c r="VRX4304" s="185" t="s">
        <v>667</v>
      </c>
      <c r="VRY4304" s="205">
        <v>14460</v>
      </c>
      <c r="VRZ4304" s="204"/>
      <c r="VSA4304" s="204"/>
      <c r="VSC4304" s="204"/>
      <c r="VSD4304" s="204"/>
      <c r="VSE4304" s="204"/>
      <c r="VSF4304" s="185" t="s">
        <v>667</v>
      </c>
      <c r="VSG4304" s="205">
        <v>14460</v>
      </c>
      <c r="VSH4304" s="204"/>
      <c r="VSI4304" s="204"/>
      <c r="VSK4304" s="204"/>
      <c r="VSL4304" s="204"/>
      <c r="VSM4304" s="204"/>
      <c r="VSN4304" s="185" t="s">
        <v>667</v>
      </c>
      <c r="VSO4304" s="205">
        <v>14460</v>
      </c>
      <c r="VSP4304" s="204"/>
      <c r="VSQ4304" s="204"/>
      <c r="VSS4304" s="204"/>
      <c r="VST4304" s="204"/>
      <c r="VSU4304" s="204"/>
      <c r="VSV4304" s="185" t="s">
        <v>667</v>
      </c>
      <c r="VSW4304" s="205">
        <v>14460</v>
      </c>
      <c r="VSX4304" s="204"/>
      <c r="VSY4304" s="204"/>
      <c r="VTA4304" s="204"/>
      <c r="VTB4304" s="204"/>
      <c r="VTC4304" s="204"/>
      <c r="VTD4304" s="185" t="s">
        <v>667</v>
      </c>
      <c r="VTE4304" s="205">
        <v>14460</v>
      </c>
      <c r="VTF4304" s="204"/>
      <c r="VTG4304" s="204"/>
      <c r="VTI4304" s="204"/>
      <c r="VTJ4304" s="204"/>
      <c r="VTK4304" s="204"/>
      <c r="VTL4304" s="185" t="s">
        <v>667</v>
      </c>
      <c r="VTM4304" s="205">
        <v>14460</v>
      </c>
      <c r="VTN4304" s="204"/>
      <c r="VTO4304" s="204"/>
      <c r="VTQ4304" s="204"/>
      <c r="VTR4304" s="204"/>
      <c r="VTS4304" s="204"/>
      <c r="VTT4304" s="185" t="s">
        <v>667</v>
      </c>
      <c r="VTU4304" s="205">
        <v>14460</v>
      </c>
      <c r="VTV4304" s="204"/>
      <c r="VTW4304" s="204"/>
      <c r="VTY4304" s="204"/>
      <c r="VTZ4304" s="204"/>
      <c r="VUA4304" s="204"/>
      <c r="VUB4304" s="185" t="s">
        <v>667</v>
      </c>
      <c r="VUC4304" s="205">
        <v>14460</v>
      </c>
      <c r="VUD4304" s="204"/>
      <c r="VUE4304" s="204"/>
      <c r="VUG4304" s="204"/>
      <c r="VUH4304" s="204"/>
      <c r="VUI4304" s="204"/>
      <c r="VUJ4304" s="185" t="s">
        <v>667</v>
      </c>
      <c r="VUK4304" s="205">
        <v>14460</v>
      </c>
      <c r="VUL4304" s="204"/>
      <c r="VUM4304" s="204"/>
      <c r="VUO4304" s="204"/>
      <c r="VUP4304" s="204"/>
      <c r="VUQ4304" s="204"/>
      <c r="VUR4304" s="185" t="s">
        <v>667</v>
      </c>
      <c r="VUS4304" s="205">
        <v>14460</v>
      </c>
      <c r="VUT4304" s="204"/>
      <c r="VUU4304" s="204"/>
      <c r="VUW4304" s="204"/>
      <c r="VUX4304" s="204"/>
      <c r="VUY4304" s="204"/>
      <c r="VUZ4304" s="185" t="s">
        <v>667</v>
      </c>
      <c r="VVA4304" s="205">
        <v>14460</v>
      </c>
      <c r="VVB4304" s="204"/>
      <c r="VVC4304" s="204"/>
      <c r="VVE4304" s="204"/>
      <c r="VVF4304" s="204"/>
      <c r="VVG4304" s="204"/>
      <c r="VVH4304" s="185" t="s">
        <v>667</v>
      </c>
      <c r="VVI4304" s="205">
        <v>14460</v>
      </c>
      <c r="VVJ4304" s="204"/>
      <c r="VVK4304" s="204"/>
      <c r="VVM4304" s="204"/>
      <c r="VVN4304" s="204"/>
      <c r="VVO4304" s="204"/>
      <c r="VVP4304" s="185" t="s">
        <v>667</v>
      </c>
      <c r="VVQ4304" s="205">
        <v>14460</v>
      </c>
      <c r="VVR4304" s="204"/>
      <c r="VVS4304" s="204"/>
      <c r="VVU4304" s="204"/>
      <c r="VVV4304" s="204"/>
      <c r="VVW4304" s="204"/>
      <c r="VVX4304" s="185" t="s">
        <v>667</v>
      </c>
      <c r="VVY4304" s="205">
        <v>14460</v>
      </c>
      <c r="VVZ4304" s="204"/>
      <c r="VWA4304" s="204"/>
      <c r="VWC4304" s="204"/>
      <c r="VWD4304" s="204"/>
      <c r="VWE4304" s="204"/>
      <c r="VWF4304" s="185" t="s">
        <v>667</v>
      </c>
      <c r="VWG4304" s="205">
        <v>14460</v>
      </c>
      <c r="VWH4304" s="204"/>
      <c r="VWI4304" s="204"/>
      <c r="VWK4304" s="204"/>
      <c r="VWL4304" s="204"/>
      <c r="VWM4304" s="204"/>
      <c r="VWN4304" s="185" t="s">
        <v>667</v>
      </c>
      <c r="VWO4304" s="205">
        <v>14460</v>
      </c>
      <c r="VWP4304" s="204"/>
      <c r="VWQ4304" s="204"/>
      <c r="VWS4304" s="204"/>
      <c r="VWT4304" s="204"/>
      <c r="VWU4304" s="204"/>
      <c r="VWV4304" s="185" t="s">
        <v>667</v>
      </c>
      <c r="VWW4304" s="205">
        <v>14460</v>
      </c>
      <c r="VWX4304" s="204"/>
      <c r="VWY4304" s="204"/>
      <c r="VXA4304" s="204"/>
      <c r="VXB4304" s="204"/>
      <c r="VXC4304" s="204"/>
      <c r="VXD4304" s="185" t="s">
        <v>667</v>
      </c>
      <c r="VXE4304" s="205">
        <v>14460</v>
      </c>
      <c r="VXF4304" s="204"/>
      <c r="VXG4304" s="204"/>
      <c r="VXI4304" s="204"/>
      <c r="VXJ4304" s="204"/>
      <c r="VXK4304" s="204"/>
      <c r="VXL4304" s="185" t="s">
        <v>667</v>
      </c>
      <c r="VXM4304" s="205">
        <v>14460</v>
      </c>
      <c r="VXN4304" s="204"/>
      <c r="VXO4304" s="204"/>
      <c r="VXQ4304" s="204"/>
      <c r="VXR4304" s="204"/>
      <c r="VXS4304" s="204"/>
      <c r="VXT4304" s="185" t="s">
        <v>667</v>
      </c>
      <c r="VXU4304" s="205">
        <v>14460</v>
      </c>
      <c r="VXV4304" s="204"/>
      <c r="VXW4304" s="204"/>
      <c r="VXY4304" s="204"/>
      <c r="VXZ4304" s="204"/>
      <c r="VYA4304" s="204"/>
      <c r="VYB4304" s="185" t="s">
        <v>667</v>
      </c>
      <c r="VYC4304" s="205">
        <v>14460</v>
      </c>
      <c r="VYD4304" s="204"/>
      <c r="VYE4304" s="204"/>
      <c r="VYG4304" s="204"/>
      <c r="VYH4304" s="204"/>
      <c r="VYI4304" s="204"/>
      <c r="VYJ4304" s="185" t="s">
        <v>667</v>
      </c>
      <c r="VYK4304" s="205">
        <v>14460</v>
      </c>
      <c r="VYL4304" s="204"/>
      <c r="VYM4304" s="204"/>
      <c r="VYO4304" s="204"/>
      <c r="VYP4304" s="204"/>
      <c r="VYQ4304" s="204"/>
      <c r="VYR4304" s="185" t="s">
        <v>667</v>
      </c>
      <c r="VYS4304" s="205">
        <v>14460</v>
      </c>
      <c r="VYT4304" s="204"/>
      <c r="VYU4304" s="204"/>
      <c r="VYW4304" s="204"/>
      <c r="VYX4304" s="204"/>
      <c r="VYY4304" s="204"/>
      <c r="VYZ4304" s="185" t="s">
        <v>667</v>
      </c>
      <c r="VZA4304" s="205">
        <v>14460</v>
      </c>
      <c r="VZB4304" s="204"/>
      <c r="VZC4304" s="204"/>
      <c r="VZE4304" s="204"/>
      <c r="VZF4304" s="204"/>
      <c r="VZG4304" s="204"/>
      <c r="VZH4304" s="185" t="s">
        <v>667</v>
      </c>
      <c r="VZI4304" s="205">
        <v>14460</v>
      </c>
      <c r="VZJ4304" s="204"/>
      <c r="VZK4304" s="204"/>
      <c r="VZM4304" s="204"/>
      <c r="VZN4304" s="204"/>
      <c r="VZO4304" s="204"/>
      <c r="VZP4304" s="185" t="s">
        <v>667</v>
      </c>
      <c r="VZQ4304" s="205">
        <v>14460</v>
      </c>
      <c r="VZR4304" s="204"/>
      <c r="VZS4304" s="204"/>
      <c r="VZU4304" s="204"/>
      <c r="VZV4304" s="204"/>
      <c r="VZW4304" s="204"/>
      <c r="VZX4304" s="185" t="s">
        <v>667</v>
      </c>
      <c r="VZY4304" s="205">
        <v>14460</v>
      </c>
      <c r="VZZ4304" s="204"/>
      <c r="WAA4304" s="204"/>
      <c r="WAC4304" s="204"/>
      <c r="WAD4304" s="204"/>
      <c r="WAE4304" s="204"/>
      <c r="WAF4304" s="185" t="s">
        <v>667</v>
      </c>
      <c r="WAG4304" s="205">
        <v>14460</v>
      </c>
      <c r="WAH4304" s="204"/>
      <c r="WAI4304" s="204"/>
      <c r="WAK4304" s="204"/>
      <c r="WAL4304" s="204"/>
      <c r="WAM4304" s="204"/>
      <c r="WAN4304" s="185" t="s">
        <v>667</v>
      </c>
      <c r="WAO4304" s="205">
        <v>14460</v>
      </c>
      <c r="WAP4304" s="204"/>
      <c r="WAQ4304" s="204"/>
      <c r="WAS4304" s="204"/>
      <c r="WAT4304" s="204"/>
      <c r="WAU4304" s="204"/>
      <c r="WAV4304" s="185" t="s">
        <v>667</v>
      </c>
      <c r="WAW4304" s="205">
        <v>14460</v>
      </c>
      <c r="WAX4304" s="204"/>
      <c r="WAY4304" s="204"/>
      <c r="WBA4304" s="204"/>
      <c r="WBB4304" s="204"/>
      <c r="WBC4304" s="204"/>
      <c r="WBD4304" s="185" t="s">
        <v>667</v>
      </c>
      <c r="WBE4304" s="205">
        <v>14460</v>
      </c>
      <c r="WBF4304" s="204"/>
      <c r="WBG4304" s="204"/>
      <c r="WBI4304" s="204"/>
      <c r="WBJ4304" s="204"/>
      <c r="WBK4304" s="204"/>
      <c r="WBL4304" s="185" t="s">
        <v>667</v>
      </c>
      <c r="WBM4304" s="205">
        <v>14460</v>
      </c>
      <c r="WBN4304" s="204"/>
      <c r="WBO4304" s="204"/>
      <c r="WBQ4304" s="204"/>
      <c r="WBR4304" s="204"/>
      <c r="WBS4304" s="204"/>
      <c r="WBT4304" s="185" t="s">
        <v>667</v>
      </c>
      <c r="WBU4304" s="205">
        <v>14460</v>
      </c>
      <c r="WBV4304" s="204"/>
      <c r="WBW4304" s="204"/>
      <c r="WBY4304" s="204"/>
      <c r="WBZ4304" s="204"/>
      <c r="WCA4304" s="204"/>
      <c r="WCB4304" s="185" t="s">
        <v>667</v>
      </c>
      <c r="WCC4304" s="205">
        <v>14460</v>
      </c>
      <c r="WCD4304" s="204"/>
      <c r="WCE4304" s="204"/>
      <c r="WCG4304" s="204"/>
      <c r="WCH4304" s="204"/>
      <c r="WCI4304" s="204"/>
      <c r="WCJ4304" s="185" t="s">
        <v>667</v>
      </c>
      <c r="WCK4304" s="205">
        <v>14460</v>
      </c>
      <c r="WCL4304" s="204"/>
      <c r="WCM4304" s="204"/>
      <c r="WCO4304" s="204"/>
      <c r="WCP4304" s="204"/>
      <c r="WCQ4304" s="204"/>
      <c r="WCR4304" s="185" t="s">
        <v>667</v>
      </c>
      <c r="WCS4304" s="205">
        <v>14460</v>
      </c>
      <c r="WCT4304" s="204"/>
      <c r="WCU4304" s="204"/>
      <c r="WCW4304" s="204"/>
      <c r="WCX4304" s="204"/>
      <c r="WCY4304" s="204"/>
      <c r="WCZ4304" s="185" t="s">
        <v>667</v>
      </c>
      <c r="WDA4304" s="205">
        <v>14460</v>
      </c>
      <c r="WDB4304" s="204"/>
      <c r="WDC4304" s="204"/>
      <c r="WDE4304" s="204"/>
      <c r="WDF4304" s="204"/>
      <c r="WDG4304" s="204"/>
      <c r="WDH4304" s="185" t="s">
        <v>667</v>
      </c>
      <c r="WDI4304" s="205">
        <v>14460</v>
      </c>
      <c r="WDJ4304" s="204"/>
      <c r="WDK4304" s="204"/>
      <c r="WDM4304" s="204"/>
      <c r="WDN4304" s="204"/>
      <c r="WDO4304" s="204"/>
      <c r="WDP4304" s="185" t="s">
        <v>667</v>
      </c>
      <c r="WDQ4304" s="205">
        <v>14460</v>
      </c>
      <c r="WDR4304" s="204"/>
      <c r="WDS4304" s="204"/>
      <c r="WDU4304" s="204"/>
      <c r="WDV4304" s="204"/>
      <c r="WDW4304" s="204"/>
      <c r="WDX4304" s="185" t="s">
        <v>667</v>
      </c>
      <c r="WDY4304" s="205">
        <v>14460</v>
      </c>
      <c r="WDZ4304" s="204"/>
      <c r="WEA4304" s="204"/>
      <c r="WEC4304" s="204"/>
      <c r="WED4304" s="204"/>
      <c r="WEE4304" s="204"/>
      <c r="WEF4304" s="185" t="s">
        <v>667</v>
      </c>
      <c r="WEG4304" s="205">
        <v>14460</v>
      </c>
      <c r="WEH4304" s="204"/>
      <c r="WEI4304" s="204"/>
      <c r="WEK4304" s="204"/>
      <c r="WEL4304" s="204"/>
      <c r="WEM4304" s="204"/>
      <c r="WEN4304" s="185" t="s">
        <v>667</v>
      </c>
      <c r="WEO4304" s="205">
        <v>14460</v>
      </c>
      <c r="WEP4304" s="204"/>
      <c r="WEQ4304" s="204"/>
      <c r="WES4304" s="204"/>
      <c r="WET4304" s="204"/>
      <c r="WEU4304" s="204"/>
      <c r="WEV4304" s="185" t="s">
        <v>667</v>
      </c>
      <c r="WEW4304" s="205">
        <v>14460</v>
      </c>
      <c r="WEX4304" s="204"/>
      <c r="WEY4304" s="204"/>
      <c r="WFA4304" s="204"/>
      <c r="WFB4304" s="204"/>
      <c r="WFC4304" s="204"/>
      <c r="WFD4304" s="185" t="s">
        <v>667</v>
      </c>
      <c r="WFE4304" s="205">
        <v>14460</v>
      </c>
      <c r="WFF4304" s="204"/>
      <c r="WFG4304" s="204"/>
      <c r="WFI4304" s="204"/>
      <c r="WFJ4304" s="204"/>
      <c r="WFK4304" s="204"/>
      <c r="WFL4304" s="185" t="s">
        <v>667</v>
      </c>
      <c r="WFM4304" s="205">
        <v>14460</v>
      </c>
      <c r="WFN4304" s="204"/>
      <c r="WFO4304" s="204"/>
      <c r="WFQ4304" s="204"/>
      <c r="WFR4304" s="204"/>
      <c r="WFS4304" s="204"/>
      <c r="WFT4304" s="185" t="s">
        <v>667</v>
      </c>
      <c r="WFU4304" s="205">
        <v>14460</v>
      </c>
      <c r="WFV4304" s="204"/>
      <c r="WFW4304" s="204"/>
      <c r="WFY4304" s="204"/>
      <c r="WFZ4304" s="204"/>
      <c r="WGA4304" s="204"/>
      <c r="WGB4304" s="185" t="s">
        <v>667</v>
      </c>
      <c r="WGC4304" s="205">
        <v>14460</v>
      </c>
      <c r="WGD4304" s="204"/>
      <c r="WGE4304" s="204"/>
      <c r="WGG4304" s="204"/>
      <c r="WGH4304" s="204"/>
      <c r="WGI4304" s="204"/>
      <c r="WGJ4304" s="185" t="s">
        <v>667</v>
      </c>
      <c r="WGK4304" s="205">
        <v>14460</v>
      </c>
      <c r="WGL4304" s="204"/>
      <c r="WGM4304" s="204"/>
      <c r="WGO4304" s="204"/>
      <c r="WGP4304" s="204"/>
      <c r="WGQ4304" s="204"/>
      <c r="WGR4304" s="185" t="s">
        <v>667</v>
      </c>
      <c r="WGS4304" s="205">
        <v>14460</v>
      </c>
      <c r="WGT4304" s="204"/>
      <c r="WGU4304" s="204"/>
      <c r="WGW4304" s="204"/>
      <c r="WGX4304" s="204"/>
      <c r="WGY4304" s="204"/>
      <c r="WGZ4304" s="185" t="s">
        <v>667</v>
      </c>
      <c r="WHA4304" s="205">
        <v>14460</v>
      </c>
      <c r="WHB4304" s="204"/>
      <c r="WHC4304" s="204"/>
      <c r="WHE4304" s="204"/>
      <c r="WHF4304" s="204"/>
      <c r="WHG4304" s="204"/>
      <c r="WHH4304" s="185" t="s">
        <v>667</v>
      </c>
      <c r="WHI4304" s="205">
        <v>14460</v>
      </c>
      <c r="WHJ4304" s="204"/>
      <c r="WHK4304" s="204"/>
      <c r="WHM4304" s="204"/>
      <c r="WHN4304" s="204"/>
      <c r="WHO4304" s="204"/>
      <c r="WHP4304" s="185" t="s">
        <v>667</v>
      </c>
      <c r="WHQ4304" s="205">
        <v>14460</v>
      </c>
      <c r="WHR4304" s="204"/>
      <c r="WHS4304" s="204"/>
      <c r="WHU4304" s="204"/>
      <c r="WHV4304" s="204"/>
      <c r="WHW4304" s="204"/>
      <c r="WHX4304" s="185" t="s">
        <v>667</v>
      </c>
      <c r="WHY4304" s="205">
        <v>14460</v>
      </c>
      <c r="WHZ4304" s="204"/>
      <c r="WIA4304" s="204"/>
      <c r="WIC4304" s="204"/>
      <c r="WID4304" s="204"/>
      <c r="WIE4304" s="204"/>
      <c r="WIF4304" s="185" t="s">
        <v>667</v>
      </c>
      <c r="WIG4304" s="205">
        <v>14460</v>
      </c>
      <c r="WIH4304" s="204"/>
      <c r="WII4304" s="204"/>
      <c r="WIK4304" s="204"/>
      <c r="WIL4304" s="204"/>
      <c r="WIM4304" s="204"/>
      <c r="WIN4304" s="185" t="s">
        <v>667</v>
      </c>
      <c r="WIO4304" s="205">
        <v>14460</v>
      </c>
      <c r="WIP4304" s="204"/>
      <c r="WIQ4304" s="204"/>
      <c r="WIS4304" s="204"/>
      <c r="WIT4304" s="204"/>
      <c r="WIU4304" s="204"/>
      <c r="WIV4304" s="185" t="s">
        <v>667</v>
      </c>
      <c r="WIW4304" s="205">
        <v>14460</v>
      </c>
      <c r="WIX4304" s="204"/>
      <c r="WIY4304" s="204"/>
      <c r="WJA4304" s="204"/>
      <c r="WJB4304" s="204"/>
      <c r="WJC4304" s="204"/>
      <c r="WJD4304" s="185" t="s">
        <v>667</v>
      </c>
      <c r="WJE4304" s="205">
        <v>14460</v>
      </c>
      <c r="WJF4304" s="204"/>
      <c r="WJG4304" s="204"/>
      <c r="WJI4304" s="204"/>
      <c r="WJJ4304" s="204"/>
      <c r="WJK4304" s="204"/>
      <c r="WJL4304" s="185" t="s">
        <v>667</v>
      </c>
      <c r="WJM4304" s="205">
        <v>14460</v>
      </c>
      <c r="WJN4304" s="204"/>
      <c r="WJO4304" s="204"/>
      <c r="WJQ4304" s="204"/>
      <c r="WJR4304" s="204"/>
      <c r="WJS4304" s="204"/>
      <c r="WJT4304" s="185" t="s">
        <v>667</v>
      </c>
      <c r="WJU4304" s="205">
        <v>14460</v>
      </c>
      <c r="WJV4304" s="204"/>
      <c r="WJW4304" s="204"/>
      <c r="WJY4304" s="204"/>
      <c r="WJZ4304" s="204"/>
      <c r="WKA4304" s="204"/>
      <c r="WKB4304" s="185" t="s">
        <v>667</v>
      </c>
      <c r="WKC4304" s="205">
        <v>14460</v>
      </c>
      <c r="WKD4304" s="204"/>
      <c r="WKE4304" s="204"/>
      <c r="WKG4304" s="204"/>
      <c r="WKH4304" s="204"/>
      <c r="WKI4304" s="204"/>
      <c r="WKJ4304" s="185" t="s">
        <v>667</v>
      </c>
      <c r="WKK4304" s="205">
        <v>14460</v>
      </c>
      <c r="WKL4304" s="204"/>
      <c r="WKM4304" s="204"/>
      <c r="WKO4304" s="204"/>
      <c r="WKP4304" s="204"/>
      <c r="WKQ4304" s="204"/>
      <c r="WKR4304" s="185" t="s">
        <v>667</v>
      </c>
      <c r="WKS4304" s="205">
        <v>14460</v>
      </c>
      <c r="WKT4304" s="204"/>
      <c r="WKU4304" s="204"/>
      <c r="WKW4304" s="204"/>
      <c r="WKX4304" s="204"/>
      <c r="WKY4304" s="204"/>
      <c r="WKZ4304" s="185" t="s">
        <v>667</v>
      </c>
      <c r="WLA4304" s="205">
        <v>14460</v>
      </c>
      <c r="WLB4304" s="204"/>
      <c r="WLC4304" s="204"/>
      <c r="WLE4304" s="204"/>
      <c r="WLF4304" s="204"/>
      <c r="WLG4304" s="204"/>
      <c r="WLH4304" s="185" t="s">
        <v>667</v>
      </c>
      <c r="WLI4304" s="205">
        <v>14460</v>
      </c>
      <c r="WLJ4304" s="204"/>
      <c r="WLK4304" s="204"/>
      <c r="WLM4304" s="204"/>
      <c r="WLN4304" s="204"/>
      <c r="WLO4304" s="204"/>
      <c r="WLP4304" s="185" t="s">
        <v>667</v>
      </c>
      <c r="WLQ4304" s="205">
        <v>14460</v>
      </c>
      <c r="WLR4304" s="204"/>
      <c r="WLS4304" s="204"/>
      <c r="WLU4304" s="204"/>
      <c r="WLV4304" s="204"/>
      <c r="WLW4304" s="204"/>
      <c r="WLX4304" s="185" t="s">
        <v>667</v>
      </c>
      <c r="WLY4304" s="205">
        <v>14460</v>
      </c>
      <c r="WLZ4304" s="204"/>
      <c r="WMA4304" s="204"/>
      <c r="WMC4304" s="204"/>
      <c r="WMD4304" s="204"/>
      <c r="WME4304" s="204"/>
      <c r="WMF4304" s="185" t="s">
        <v>667</v>
      </c>
      <c r="WMG4304" s="205">
        <v>14460</v>
      </c>
      <c r="WMH4304" s="204"/>
      <c r="WMI4304" s="204"/>
      <c r="WMK4304" s="204"/>
      <c r="WML4304" s="204"/>
      <c r="WMM4304" s="204"/>
      <c r="WMN4304" s="185" t="s">
        <v>667</v>
      </c>
      <c r="WMO4304" s="205">
        <v>14460</v>
      </c>
      <c r="WMP4304" s="204"/>
      <c r="WMQ4304" s="204"/>
      <c r="WMS4304" s="204"/>
      <c r="WMT4304" s="204"/>
      <c r="WMU4304" s="204"/>
      <c r="WMV4304" s="185" t="s">
        <v>667</v>
      </c>
      <c r="WMW4304" s="205">
        <v>14460</v>
      </c>
      <c r="WMX4304" s="204"/>
      <c r="WMY4304" s="204"/>
      <c r="WNA4304" s="204"/>
      <c r="WNB4304" s="204"/>
      <c r="WNC4304" s="204"/>
      <c r="WND4304" s="185" t="s">
        <v>667</v>
      </c>
      <c r="WNE4304" s="205">
        <v>14460</v>
      </c>
      <c r="WNF4304" s="204"/>
      <c r="WNG4304" s="204"/>
      <c r="WNI4304" s="204"/>
      <c r="WNJ4304" s="204"/>
      <c r="WNK4304" s="204"/>
      <c r="WNL4304" s="185" t="s">
        <v>667</v>
      </c>
      <c r="WNM4304" s="205">
        <v>14460</v>
      </c>
      <c r="WNN4304" s="204"/>
      <c r="WNO4304" s="204"/>
      <c r="WNQ4304" s="204"/>
      <c r="WNR4304" s="204"/>
      <c r="WNS4304" s="204"/>
      <c r="WNT4304" s="185" t="s">
        <v>667</v>
      </c>
      <c r="WNU4304" s="205">
        <v>14460</v>
      </c>
      <c r="WNV4304" s="204"/>
      <c r="WNW4304" s="204"/>
      <c r="WNY4304" s="204"/>
      <c r="WNZ4304" s="204"/>
      <c r="WOA4304" s="204"/>
      <c r="WOB4304" s="185" t="s">
        <v>667</v>
      </c>
      <c r="WOC4304" s="205">
        <v>14460</v>
      </c>
      <c r="WOD4304" s="204"/>
      <c r="WOE4304" s="204"/>
      <c r="WOG4304" s="204"/>
      <c r="WOH4304" s="204"/>
      <c r="WOI4304" s="204"/>
      <c r="WOJ4304" s="185" t="s">
        <v>667</v>
      </c>
      <c r="WOK4304" s="205">
        <v>14460</v>
      </c>
      <c r="WOL4304" s="204"/>
      <c r="WOM4304" s="204"/>
      <c r="WOO4304" s="204"/>
      <c r="WOP4304" s="204"/>
      <c r="WOQ4304" s="204"/>
      <c r="WOR4304" s="185" t="s">
        <v>667</v>
      </c>
      <c r="WOS4304" s="205">
        <v>14460</v>
      </c>
      <c r="WOT4304" s="204"/>
      <c r="WOU4304" s="204"/>
      <c r="WOW4304" s="204"/>
      <c r="WOX4304" s="204"/>
      <c r="WOY4304" s="204"/>
      <c r="WOZ4304" s="185" t="s">
        <v>667</v>
      </c>
      <c r="WPA4304" s="205">
        <v>14460</v>
      </c>
      <c r="WPB4304" s="204"/>
      <c r="WPC4304" s="204"/>
      <c r="WPE4304" s="204"/>
      <c r="WPF4304" s="204"/>
      <c r="WPG4304" s="204"/>
      <c r="WPH4304" s="185" t="s">
        <v>667</v>
      </c>
      <c r="WPI4304" s="205">
        <v>14460</v>
      </c>
      <c r="WPJ4304" s="204"/>
      <c r="WPK4304" s="204"/>
      <c r="WPM4304" s="204"/>
      <c r="WPN4304" s="204"/>
      <c r="WPO4304" s="204"/>
      <c r="WPP4304" s="185" t="s">
        <v>667</v>
      </c>
      <c r="WPQ4304" s="205">
        <v>14460</v>
      </c>
      <c r="WPR4304" s="204"/>
      <c r="WPS4304" s="204"/>
      <c r="WPU4304" s="204"/>
      <c r="WPV4304" s="204"/>
      <c r="WPW4304" s="204"/>
      <c r="WPX4304" s="185" t="s">
        <v>667</v>
      </c>
      <c r="WPY4304" s="205">
        <v>14460</v>
      </c>
      <c r="WPZ4304" s="204"/>
      <c r="WQA4304" s="204"/>
      <c r="WQC4304" s="204"/>
      <c r="WQD4304" s="204"/>
      <c r="WQE4304" s="204"/>
      <c r="WQF4304" s="185" t="s">
        <v>667</v>
      </c>
      <c r="WQG4304" s="205">
        <v>14460</v>
      </c>
      <c r="WQH4304" s="204"/>
      <c r="WQI4304" s="204"/>
      <c r="WQK4304" s="204"/>
      <c r="WQL4304" s="204"/>
      <c r="WQM4304" s="204"/>
      <c r="WQN4304" s="185" t="s">
        <v>667</v>
      </c>
      <c r="WQO4304" s="205">
        <v>14460</v>
      </c>
      <c r="WQP4304" s="204"/>
      <c r="WQQ4304" s="204"/>
      <c r="WQS4304" s="204"/>
      <c r="WQT4304" s="204"/>
      <c r="WQU4304" s="204"/>
      <c r="WQV4304" s="185" t="s">
        <v>667</v>
      </c>
      <c r="WQW4304" s="205">
        <v>14460</v>
      </c>
      <c r="WQX4304" s="204"/>
      <c r="WQY4304" s="204"/>
      <c r="WRA4304" s="204"/>
      <c r="WRB4304" s="204"/>
      <c r="WRC4304" s="204"/>
      <c r="WRD4304" s="185" t="s">
        <v>667</v>
      </c>
      <c r="WRE4304" s="205">
        <v>14460</v>
      </c>
      <c r="WRF4304" s="204"/>
      <c r="WRG4304" s="204"/>
      <c r="WRI4304" s="204"/>
      <c r="WRJ4304" s="204"/>
      <c r="WRK4304" s="204"/>
      <c r="WRL4304" s="185" t="s">
        <v>667</v>
      </c>
      <c r="WRM4304" s="205">
        <v>14460</v>
      </c>
      <c r="WRN4304" s="204"/>
      <c r="WRO4304" s="204"/>
      <c r="WRQ4304" s="204"/>
      <c r="WRR4304" s="204"/>
      <c r="WRS4304" s="204"/>
      <c r="WRT4304" s="185" t="s">
        <v>667</v>
      </c>
      <c r="WRU4304" s="205">
        <v>14460</v>
      </c>
      <c r="WRV4304" s="204"/>
      <c r="WRW4304" s="204"/>
      <c r="WRY4304" s="204"/>
      <c r="WRZ4304" s="204"/>
      <c r="WSA4304" s="204"/>
      <c r="WSB4304" s="185" t="s">
        <v>667</v>
      </c>
      <c r="WSC4304" s="205">
        <v>14460</v>
      </c>
      <c r="WSD4304" s="204"/>
      <c r="WSE4304" s="204"/>
      <c r="WSG4304" s="204"/>
      <c r="WSH4304" s="204"/>
      <c r="WSI4304" s="204"/>
      <c r="WSJ4304" s="185" t="s">
        <v>667</v>
      </c>
      <c r="WSK4304" s="205">
        <v>14460</v>
      </c>
      <c r="WSL4304" s="204"/>
      <c r="WSM4304" s="204"/>
      <c r="WSO4304" s="204"/>
      <c r="WSP4304" s="204"/>
      <c r="WSQ4304" s="204"/>
      <c r="WSR4304" s="185" t="s">
        <v>667</v>
      </c>
      <c r="WSS4304" s="205">
        <v>14460</v>
      </c>
      <c r="WST4304" s="204"/>
      <c r="WSU4304" s="204"/>
      <c r="WSW4304" s="204"/>
      <c r="WSX4304" s="204"/>
      <c r="WSY4304" s="204"/>
      <c r="WSZ4304" s="185" t="s">
        <v>667</v>
      </c>
      <c r="WTA4304" s="205">
        <v>14460</v>
      </c>
      <c r="WTB4304" s="204"/>
      <c r="WTC4304" s="204"/>
      <c r="WTE4304" s="204"/>
      <c r="WTF4304" s="204"/>
      <c r="WTG4304" s="204"/>
      <c r="WTH4304" s="185" t="s">
        <v>667</v>
      </c>
      <c r="WTI4304" s="205">
        <v>14460</v>
      </c>
      <c r="WTJ4304" s="204"/>
      <c r="WTK4304" s="204"/>
      <c r="WTM4304" s="204"/>
      <c r="WTN4304" s="204"/>
      <c r="WTO4304" s="204"/>
      <c r="WTP4304" s="185" t="s">
        <v>667</v>
      </c>
      <c r="WTQ4304" s="205">
        <v>14460</v>
      </c>
      <c r="WTR4304" s="204"/>
      <c r="WTS4304" s="204"/>
      <c r="WTU4304" s="204"/>
      <c r="WTV4304" s="204"/>
      <c r="WTW4304" s="204"/>
      <c r="WTX4304" s="185" t="s">
        <v>667</v>
      </c>
      <c r="WTY4304" s="205">
        <v>14460</v>
      </c>
      <c r="WTZ4304" s="204"/>
      <c r="WUA4304" s="204"/>
      <c r="WUC4304" s="204"/>
      <c r="WUD4304" s="204"/>
      <c r="WUE4304" s="204"/>
      <c r="WUF4304" s="185" t="s">
        <v>667</v>
      </c>
      <c r="WUG4304" s="205">
        <v>14460</v>
      </c>
      <c r="WUH4304" s="204"/>
      <c r="WUI4304" s="204"/>
      <c r="WUK4304" s="204"/>
      <c r="WUL4304" s="204"/>
      <c r="WUM4304" s="204"/>
      <c r="WUN4304" s="185" t="s">
        <v>667</v>
      </c>
      <c r="WUO4304" s="205">
        <v>14460</v>
      </c>
      <c r="WUP4304" s="204"/>
      <c r="WUQ4304" s="204"/>
      <c r="WUS4304" s="204"/>
      <c r="WUT4304" s="204"/>
      <c r="WUU4304" s="204"/>
      <c r="WUV4304" s="185" t="s">
        <v>667</v>
      </c>
      <c r="WUW4304" s="205">
        <v>14460</v>
      </c>
      <c r="WUX4304" s="204"/>
      <c r="WUY4304" s="204"/>
      <c r="WVA4304" s="204"/>
      <c r="WVB4304" s="204"/>
      <c r="WVC4304" s="204"/>
      <c r="WVD4304" s="185" t="s">
        <v>667</v>
      </c>
      <c r="WVE4304" s="205">
        <v>14460</v>
      </c>
      <c r="WVF4304" s="204"/>
      <c r="WVG4304" s="204"/>
      <c r="WVI4304" s="204"/>
      <c r="WVJ4304" s="204"/>
      <c r="WVK4304" s="204"/>
      <c r="WVL4304" s="185" t="s">
        <v>667</v>
      </c>
      <c r="WVM4304" s="205">
        <v>14460</v>
      </c>
      <c r="WVN4304" s="204"/>
      <c r="WVO4304" s="204"/>
      <c r="WVQ4304" s="204"/>
      <c r="WVR4304" s="204"/>
      <c r="WVS4304" s="204"/>
      <c r="WVT4304" s="185" t="s">
        <v>667</v>
      </c>
      <c r="WVU4304" s="205">
        <v>14460</v>
      </c>
      <c r="WVV4304" s="204"/>
      <c r="WVW4304" s="204"/>
      <c r="WVY4304" s="204"/>
      <c r="WVZ4304" s="204"/>
      <c r="WWA4304" s="204"/>
      <c r="WWB4304" s="185" t="s">
        <v>667</v>
      </c>
      <c r="WWC4304" s="205">
        <v>14460</v>
      </c>
      <c r="WWD4304" s="204"/>
      <c r="WWE4304" s="204"/>
      <c r="WWG4304" s="204"/>
      <c r="WWH4304" s="204"/>
      <c r="WWI4304" s="204"/>
      <c r="WWJ4304" s="185" t="s">
        <v>667</v>
      </c>
      <c r="WWK4304" s="205">
        <v>14460</v>
      </c>
      <c r="WWL4304" s="204"/>
      <c r="WWM4304" s="204"/>
      <c r="WWO4304" s="204"/>
      <c r="WWP4304" s="204"/>
      <c r="WWQ4304" s="204"/>
      <c r="WWR4304" s="185" t="s">
        <v>667</v>
      </c>
      <c r="WWS4304" s="205">
        <v>14460</v>
      </c>
      <c r="WWT4304" s="204"/>
      <c r="WWU4304" s="204"/>
      <c r="WWW4304" s="204"/>
      <c r="WWX4304" s="204"/>
      <c r="WWY4304" s="204"/>
      <c r="WWZ4304" s="185" t="s">
        <v>667</v>
      </c>
      <c r="WXA4304" s="205">
        <v>14460</v>
      </c>
      <c r="WXB4304" s="204"/>
      <c r="WXC4304" s="204"/>
      <c r="WXE4304" s="204"/>
      <c r="WXF4304" s="204"/>
      <c r="WXG4304" s="204"/>
      <c r="WXH4304" s="185" t="s">
        <v>667</v>
      </c>
      <c r="WXI4304" s="205">
        <v>14460</v>
      </c>
      <c r="WXJ4304" s="204"/>
      <c r="WXK4304" s="204"/>
      <c r="WXM4304" s="204"/>
      <c r="WXN4304" s="204"/>
      <c r="WXO4304" s="204"/>
      <c r="WXP4304" s="185" t="s">
        <v>667</v>
      </c>
      <c r="WXQ4304" s="205">
        <v>14460</v>
      </c>
      <c r="WXR4304" s="204"/>
      <c r="WXS4304" s="204"/>
      <c r="WXU4304" s="204"/>
      <c r="WXV4304" s="204"/>
      <c r="WXW4304" s="204"/>
      <c r="WXX4304" s="185" t="s">
        <v>667</v>
      </c>
      <c r="WXY4304" s="205">
        <v>14460</v>
      </c>
      <c r="WXZ4304" s="204"/>
      <c r="WYA4304" s="204"/>
      <c r="WYC4304" s="204"/>
      <c r="WYD4304" s="204"/>
      <c r="WYE4304" s="204"/>
      <c r="WYF4304" s="185" t="s">
        <v>667</v>
      </c>
      <c r="WYG4304" s="205">
        <v>14460</v>
      </c>
      <c r="WYH4304" s="204"/>
      <c r="WYI4304" s="204"/>
      <c r="WYK4304" s="204"/>
      <c r="WYL4304" s="204"/>
      <c r="WYM4304" s="204"/>
      <c r="WYN4304" s="185" t="s">
        <v>667</v>
      </c>
      <c r="WYO4304" s="205">
        <v>14460</v>
      </c>
      <c r="WYP4304" s="204"/>
      <c r="WYQ4304" s="204"/>
      <c r="WYS4304" s="204"/>
      <c r="WYT4304" s="204"/>
      <c r="WYU4304" s="204"/>
      <c r="WYV4304" s="185" t="s">
        <v>667</v>
      </c>
      <c r="WYW4304" s="205">
        <v>14460</v>
      </c>
      <c r="WYX4304" s="204"/>
      <c r="WYY4304" s="204"/>
      <c r="WZA4304" s="204"/>
      <c r="WZB4304" s="204"/>
      <c r="WZC4304" s="204"/>
      <c r="WZD4304" s="185" t="s">
        <v>667</v>
      </c>
      <c r="WZE4304" s="205">
        <v>14460</v>
      </c>
      <c r="WZF4304" s="204"/>
      <c r="WZG4304" s="204"/>
      <c r="WZI4304" s="204"/>
      <c r="WZJ4304" s="204"/>
      <c r="WZK4304" s="204"/>
      <c r="WZL4304" s="185" t="s">
        <v>667</v>
      </c>
      <c r="WZM4304" s="205">
        <v>14460</v>
      </c>
      <c r="WZN4304" s="204"/>
      <c r="WZO4304" s="204"/>
      <c r="WZQ4304" s="204"/>
      <c r="WZR4304" s="204"/>
      <c r="WZS4304" s="204"/>
      <c r="WZT4304" s="185" t="s">
        <v>667</v>
      </c>
      <c r="WZU4304" s="205">
        <v>14460</v>
      </c>
      <c r="WZV4304" s="204"/>
      <c r="WZW4304" s="204"/>
      <c r="WZY4304" s="204"/>
      <c r="WZZ4304" s="204"/>
      <c r="XAA4304" s="204"/>
      <c r="XAB4304" s="185" t="s">
        <v>667</v>
      </c>
      <c r="XAC4304" s="205">
        <v>14460</v>
      </c>
      <c r="XAD4304" s="204"/>
      <c r="XAE4304" s="204"/>
      <c r="XAG4304" s="204"/>
      <c r="XAH4304" s="204"/>
      <c r="XAI4304" s="204"/>
      <c r="XAJ4304" s="185" t="s">
        <v>667</v>
      </c>
      <c r="XAK4304" s="205">
        <v>14460</v>
      </c>
      <c r="XAL4304" s="204"/>
      <c r="XAM4304" s="204"/>
      <c r="XAO4304" s="204"/>
      <c r="XAP4304" s="204"/>
      <c r="XAQ4304" s="204"/>
      <c r="XAR4304" s="185" t="s">
        <v>667</v>
      </c>
      <c r="XAS4304" s="205">
        <v>14460</v>
      </c>
      <c r="XAT4304" s="204"/>
      <c r="XAU4304" s="204"/>
      <c r="XAW4304" s="204"/>
      <c r="XAX4304" s="204"/>
      <c r="XAY4304" s="204"/>
      <c r="XAZ4304" s="185" t="s">
        <v>667</v>
      </c>
      <c r="XBA4304" s="205">
        <v>14460</v>
      </c>
      <c r="XBB4304" s="204"/>
      <c r="XBC4304" s="204"/>
      <c r="XBE4304" s="204"/>
      <c r="XBF4304" s="204"/>
      <c r="XBG4304" s="204"/>
      <c r="XBH4304" s="185" t="s">
        <v>667</v>
      </c>
      <c r="XBI4304" s="205">
        <v>14460</v>
      </c>
      <c r="XBJ4304" s="204"/>
      <c r="XBK4304" s="204"/>
      <c r="XBM4304" s="204"/>
      <c r="XBN4304" s="204"/>
      <c r="XBO4304" s="204"/>
      <c r="XBP4304" s="185" t="s">
        <v>667</v>
      </c>
      <c r="XBQ4304" s="205">
        <v>14460</v>
      </c>
      <c r="XBR4304" s="204"/>
      <c r="XBS4304" s="204"/>
      <c r="XBU4304" s="204"/>
      <c r="XBV4304" s="204"/>
      <c r="XBW4304" s="204"/>
      <c r="XBX4304" s="185" t="s">
        <v>667</v>
      </c>
      <c r="XBY4304" s="205">
        <v>14460</v>
      </c>
      <c r="XBZ4304" s="204"/>
      <c r="XCA4304" s="204"/>
      <c r="XCC4304" s="204"/>
      <c r="XCD4304" s="204"/>
      <c r="XCE4304" s="204"/>
      <c r="XCF4304" s="185" t="s">
        <v>667</v>
      </c>
      <c r="XCG4304" s="205">
        <v>14460</v>
      </c>
      <c r="XCH4304" s="204"/>
      <c r="XCI4304" s="204"/>
      <c r="XCK4304" s="204"/>
      <c r="XCL4304" s="204"/>
      <c r="XCM4304" s="204"/>
      <c r="XCN4304" s="185" t="s">
        <v>667</v>
      </c>
      <c r="XCO4304" s="205">
        <v>14460</v>
      </c>
      <c r="XCP4304" s="204"/>
      <c r="XCQ4304" s="204"/>
      <c r="XCS4304" s="204"/>
      <c r="XCT4304" s="204"/>
      <c r="XCU4304" s="204"/>
      <c r="XCV4304" s="185" t="s">
        <v>667</v>
      </c>
      <c r="XCW4304" s="205">
        <v>14460</v>
      </c>
      <c r="XCX4304" s="204"/>
      <c r="XCY4304" s="204"/>
      <c r="XDA4304" s="204"/>
      <c r="XDB4304" s="204"/>
      <c r="XDC4304" s="204"/>
      <c r="XDD4304" s="185" t="s">
        <v>667</v>
      </c>
      <c r="XDE4304" s="205">
        <v>14460</v>
      </c>
      <c r="XDF4304" s="204"/>
      <c r="XDG4304" s="204"/>
      <c r="XDI4304" s="204"/>
      <c r="XDJ4304" s="204"/>
      <c r="XDK4304" s="204"/>
      <c r="XDL4304" s="185" t="s">
        <v>667</v>
      </c>
      <c r="XDM4304" s="205">
        <v>14460</v>
      </c>
      <c r="XDN4304" s="204"/>
      <c r="XDO4304" s="204"/>
      <c r="XDQ4304" s="204"/>
      <c r="XDR4304" s="204"/>
      <c r="XDS4304" s="204"/>
      <c r="XDT4304" s="185" t="s">
        <v>667</v>
      </c>
      <c r="XDU4304" s="205">
        <v>14460</v>
      </c>
      <c r="XDV4304" s="204"/>
      <c r="XDW4304" s="204"/>
      <c r="XDY4304" s="204"/>
      <c r="XDZ4304" s="204"/>
      <c r="XEA4304" s="204"/>
      <c r="XEB4304" s="185" t="s">
        <v>667</v>
      </c>
      <c r="XEC4304" s="205">
        <v>14460</v>
      </c>
      <c r="XED4304" s="204"/>
      <c r="XEE4304" s="204"/>
      <c r="XEG4304" s="204"/>
      <c r="XEH4304" s="204"/>
      <c r="XEI4304" s="204"/>
      <c r="XEJ4304" s="185" t="s">
        <v>667</v>
      </c>
      <c r="XEK4304" s="205">
        <v>14460</v>
      </c>
      <c r="XEL4304" s="204"/>
      <c r="XEM4304" s="204"/>
      <c r="XEO4304" s="204"/>
      <c r="XEP4304" s="204"/>
      <c r="XEQ4304" s="204"/>
      <c r="XER4304" s="185" t="s">
        <v>667</v>
      </c>
      <c r="XES4304" s="205">
        <v>14460</v>
      </c>
      <c r="XET4304" s="204"/>
      <c r="XEU4304" s="204"/>
      <c r="XEW4304" s="204"/>
      <c r="XEX4304" s="204"/>
      <c r="XEY4304" s="204"/>
      <c r="XEZ4304" s="185" t="s">
        <v>667</v>
      </c>
      <c r="XFA4304" s="205">
        <v>14460</v>
      </c>
      <c r="XFB4304" s="204"/>
      <c r="XFC4304" s="204"/>
    </row>
    <row r="4305" spans="1:8">
      <c r="A4305" s="270">
        <v>45232</v>
      </c>
      <c r="B4305" s="267"/>
      <c r="C4305" s="267" t="s">
        <v>79</v>
      </c>
      <c r="D4305" s="3" t="s">
        <v>79</v>
      </c>
      <c r="E4305" s="1497">
        <v>2000</v>
      </c>
      <c r="F4305" s="1497"/>
      <c r="G4305" s="267" t="s">
        <v>56</v>
      </c>
      <c r="H4305" s="3"/>
    </row>
    <row r="4306" spans="1:8">
      <c r="A4306" s="270">
        <v>45232</v>
      </c>
      <c r="B4306" s="267"/>
      <c r="C4306" s="267" t="s">
        <v>77</v>
      </c>
      <c r="D4306" s="15" t="s">
        <v>2055</v>
      </c>
      <c r="E4306" s="1497"/>
      <c r="F4306" s="1497">
        <v>49500</v>
      </c>
      <c r="G4306" s="267" t="s">
        <v>56</v>
      </c>
      <c r="H4306" s="3"/>
    </row>
    <row r="4307" spans="1:8">
      <c r="A4307" s="270">
        <v>45232</v>
      </c>
      <c r="B4307" s="267"/>
      <c r="C4307" s="267" t="s">
        <v>205</v>
      </c>
      <c r="D4307" s="3" t="s">
        <v>1852</v>
      </c>
      <c r="E4307" s="1497">
        <v>2500</v>
      </c>
      <c r="F4307" s="1497"/>
      <c r="G4307" s="267" t="s">
        <v>56</v>
      </c>
      <c r="H4307" s="3" t="s">
        <v>2465</v>
      </c>
    </row>
    <row r="4308" spans="1:8">
      <c r="A4308" s="270">
        <v>45232</v>
      </c>
      <c r="B4308" s="267"/>
      <c r="C4308" s="267" t="s">
        <v>55</v>
      </c>
      <c r="D4308" s="3" t="s">
        <v>2464</v>
      </c>
      <c r="E4308" s="1497">
        <v>1000</v>
      </c>
      <c r="F4308" s="1497"/>
      <c r="G4308" s="267" t="s">
        <v>56</v>
      </c>
      <c r="H4308" s="3"/>
    </row>
    <row r="4309" spans="1:8">
      <c r="A4309" s="270">
        <v>45232</v>
      </c>
      <c r="B4309" s="267"/>
      <c r="C4309" s="267" t="s">
        <v>88</v>
      </c>
      <c r="D4309" s="3" t="s">
        <v>2443</v>
      </c>
      <c r="E4309" s="1497">
        <v>5000</v>
      </c>
      <c r="F4309" s="1497"/>
      <c r="G4309" s="267" t="s">
        <v>56</v>
      </c>
      <c r="H4309" s="3"/>
    </row>
    <row r="4310" spans="1:8">
      <c r="A4310" s="270">
        <v>45232</v>
      </c>
      <c r="B4310" s="267"/>
      <c r="C4310" s="267" t="s">
        <v>150</v>
      </c>
      <c r="D4310" s="3" t="s">
        <v>319</v>
      </c>
      <c r="E4310" s="1497">
        <v>200000</v>
      </c>
      <c r="F4310" s="1497"/>
      <c r="G4310" s="267" t="s">
        <v>2175</v>
      </c>
      <c r="H4310" s="3"/>
    </row>
    <row r="4311" spans="1:8">
      <c r="A4311" s="270">
        <v>45233</v>
      </c>
      <c r="B4311" s="267"/>
      <c r="C4311" s="267" t="s">
        <v>79</v>
      </c>
      <c r="D4311" s="3" t="s">
        <v>2466</v>
      </c>
      <c r="E4311" s="1497">
        <v>18625.759999999998</v>
      </c>
      <c r="F4311" s="1497"/>
      <c r="G4311" s="267" t="s">
        <v>27</v>
      </c>
      <c r="H4311" s="3"/>
    </row>
    <row r="4312" spans="1:8">
      <c r="A4312" s="270">
        <v>45233</v>
      </c>
      <c r="B4312" s="267"/>
      <c r="C4312" s="267" t="s">
        <v>537</v>
      </c>
      <c r="D4312" s="3" t="s">
        <v>208</v>
      </c>
      <c r="E4312" s="1497">
        <v>52500</v>
      </c>
      <c r="F4312" s="1497"/>
      <c r="G4312" s="267" t="s">
        <v>56</v>
      </c>
      <c r="H4312" s="71" t="s">
        <v>2467</v>
      </c>
    </row>
    <row r="4313" spans="1:8">
      <c r="A4313" s="270">
        <v>45233</v>
      </c>
      <c r="B4313" s="267"/>
      <c r="C4313" s="267" t="s">
        <v>537</v>
      </c>
      <c r="D4313" s="3" t="s">
        <v>219</v>
      </c>
      <c r="E4313" s="1497">
        <v>75000</v>
      </c>
      <c r="F4313" s="1497"/>
      <c r="G4313" s="267" t="s">
        <v>56</v>
      </c>
      <c r="H4313" s="3"/>
    </row>
    <row r="4314" spans="1:8">
      <c r="A4314" s="270">
        <v>45233</v>
      </c>
      <c r="B4314" s="267"/>
      <c r="C4314" s="267" t="s">
        <v>77</v>
      </c>
      <c r="D4314" s="3" t="s">
        <v>2468</v>
      </c>
      <c r="E4314" s="1497"/>
      <c r="F4314" s="1497">
        <v>1800000</v>
      </c>
      <c r="G4314" s="267" t="s">
        <v>781</v>
      </c>
      <c r="H4314" s="3"/>
    </row>
    <row r="4315" spans="1:8">
      <c r="A4315" s="270">
        <v>45233</v>
      </c>
      <c r="B4315" s="267"/>
      <c r="C4315" s="267" t="s">
        <v>77</v>
      </c>
      <c r="D4315" s="3" t="s">
        <v>2469</v>
      </c>
      <c r="E4315" s="1497"/>
      <c r="F4315" s="1497">
        <v>879200</v>
      </c>
      <c r="G4315" s="267" t="s">
        <v>27</v>
      </c>
      <c r="H4315" s="3"/>
    </row>
    <row r="4316" spans="1:8">
      <c r="A4316" s="270">
        <v>45233</v>
      </c>
      <c r="B4316" s="267"/>
      <c r="C4316" s="267" t="s">
        <v>88</v>
      </c>
      <c r="D4316" s="3" t="s">
        <v>2428</v>
      </c>
      <c r="E4316" s="1497">
        <v>25000</v>
      </c>
      <c r="F4316" s="1497"/>
      <c r="G4316" s="267" t="s">
        <v>27</v>
      </c>
      <c r="H4316" s="3"/>
    </row>
    <row r="4317" spans="1:8">
      <c r="A4317" s="270">
        <v>45233</v>
      </c>
      <c r="B4317" s="267"/>
      <c r="C4317" s="267" t="s">
        <v>88</v>
      </c>
      <c r="D4317" s="3" t="s">
        <v>2428</v>
      </c>
      <c r="E4317" s="1497">
        <v>70000</v>
      </c>
      <c r="F4317" s="1497"/>
      <c r="G4317" s="267" t="s">
        <v>56</v>
      </c>
      <c r="H4317" s="3"/>
    </row>
    <row r="4318" spans="1:8" ht="15.75" thickBot="1">
      <c r="A4318" s="270">
        <v>45233</v>
      </c>
      <c r="B4318" s="267"/>
      <c r="C4318" s="267" t="s">
        <v>88</v>
      </c>
      <c r="D4318" s="3" t="s">
        <v>193</v>
      </c>
      <c r="E4318" s="1497">
        <v>40000</v>
      </c>
      <c r="F4318" s="1497"/>
      <c r="G4318" s="267" t="s">
        <v>56</v>
      </c>
      <c r="H4318" s="3"/>
    </row>
    <row r="4319" spans="1:8" ht="15.75" thickBot="1">
      <c r="H4319" s="201">
        <v>45233</v>
      </c>
    </row>
    <row r="4320" spans="1:8">
      <c r="H4320" s="199" t="s">
        <v>2423</v>
      </c>
    </row>
    <row r="4321" spans="1:8">
      <c r="H4321" s="137" t="s">
        <v>2470</v>
      </c>
    </row>
    <row r="4322" spans="1:8">
      <c r="H4322" s="138" t="s">
        <v>2471</v>
      </c>
    </row>
    <row r="4323" spans="1:8">
      <c r="H4323" s="138" t="s">
        <v>2472</v>
      </c>
    </row>
    <row r="4324" spans="1:8">
      <c r="H4324" s="138" t="s">
        <v>2474</v>
      </c>
    </row>
    <row r="4325" spans="1:8">
      <c r="H4325" s="138" t="s">
        <v>2475</v>
      </c>
    </row>
    <row r="4326" spans="1:8">
      <c r="H4326" s="138" t="s">
        <v>2473</v>
      </c>
    </row>
    <row r="4327" spans="1:8">
      <c r="H4327" s="138" t="s">
        <v>1283</v>
      </c>
    </row>
    <row r="4328" spans="1:8">
      <c r="H4328" s="138" t="s">
        <v>1215</v>
      </c>
    </row>
    <row r="4329" spans="1:8" ht="15.75" thickBot="1">
      <c r="H4329" s="147" t="s">
        <v>2151</v>
      </c>
    </row>
    <row r="4330" spans="1:8" ht="15.75" thickBot="1">
      <c r="H4330" s="140" t="s">
        <v>2476</v>
      </c>
    </row>
    <row r="4331" spans="1:8">
      <c r="H4331" s="206" t="s">
        <v>2477</v>
      </c>
    </row>
    <row r="4332" spans="1:8">
      <c r="A4332" s="270">
        <v>45236</v>
      </c>
      <c r="B4332" s="267"/>
      <c r="C4332" s="267" t="s">
        <v>79</v>
      </c>
      <c r="D4332" s="3" t="s">
        <v>79</v>
      </c>
      <c r="E4332" s="1497">
        <v>19202.099999999999</v>
      </c>
      <c r="F4332" s="1497"/>
      <c r="G4332" s="267" t="s">
        <v>27</v>
      </c>
      <c r="H4332" s="3"/>
    </row>
    <row r="4333" spans="1:8">
      <c r="A4333" s="270">
        <v>45236</v>
      </c>
      <c r="B4333" s="267"/>
      <c r="C4333" s="267" t="s">
        <v>79</v>
      </c>
      <c r="D4333" s="3" t="s">
        <v>79</v>
      </c>
      <c r="E4333" s="1497">
        <v>5000</v>
      </c>
      <c r="F4333" s="1497"/>
      <c r="G4333" s="267" t="s">
        <v>27</v>
      </c>
      <c r="H4333" s="3"/>
    </row>
    <row r="4334" spans="1:8">
      <c r="A4334" s="270">
        <v>45236</v>
      </c>
      <c r="B4334" s="267"/>
      <c r="C4334" s="267" t="s">
        <v>2478</v>
      </c>
      <c r="D4334" s="3" t="s">
        <v>11</v>
      </c>
      <c r="E4334" s="1497">
        <v>86288</v>
      </c>
      <c r="F4334" s="1497"/>
      <c r="G4334" s="267" t="s">
        <v>27</v>
      </c>
      <c r="H4334" s="3"/>
    </row>
    <row r="4335" spans="1:8">
      <c r="A4335" s="270">
        <v>45237</v>
      </c>
      <c r="B4335" s="267"/>
      <c r="C4335" s="267" t="s">
        <v>79</v>
      </c>
      <c r="D4335" s="3" t="s">
        <v>435</v>
      </c>
      <c r="E4335" s="1497">
        <v>14538.54</v>
      </c>
      <c r="F4335" s="1497"/>
      <c r="G4335" s="267" t="s">
        <v>27</v>
      </c>
      <c r="H4335" s="3"/>
    </row>
    <row r="4336" spans="1:8">
      <c r="A4336" s="270">
        <v>45237</v>
      </c>
      <c r="B4336" s="267"/>
      <c r="C4336" s="267" t="s">
        <v>2479</v>
      </c>
      <c r="D4336" s="3" t="s">
        <v>436</v>
      </c>
      <c r="E4336" s="1497">
        <v>3679.27</v>
      </c>
      <c r="F4336" s="1497"/>
      <c r="G4336" s="267" t="s">
        <v>27</v>
      </c>
      <c r="H4336" s="3"/>
    </row>
    <row r="4337" spans="1:8">
      <c r="A4337" s="270">
        <v>45237</v>
      </c>
      <c r="B4337" s="267"/>
      <c r="C4337" s="267" t="s">
        <v>2479</v>
      </c>
      <c r="D4337" s="15" t="s">
        <v>437</v>
      </c>
      <c r="E4337" s="1497">
        <v>3679.27</v>
      </c>
      <c r="F4337" s="1497"/>
      <c r="G4337" s="267" t="s">
        <v>27</v>
      </c>
      <c r="H4337" s="3"/>
    </row>
    <row r="4338" spans="1:8">
      <c r="A4338" s="270">
        <v>45237</v>
      </c>
      <c r="B4338" s="267"/>
      <c r="C4338" s="267" t="s">
        <v>94</v>
      </c>
      <c r="D4338" s="15" t="s">
        <v>17</v>
      </c>
      <c r="E4338" s="1497">
        <v>6736.1</v>
      </c>
      <c r="F4338" s="1497"/>
      <c r="G4338" s="267" t="s">
        <v>27</v>
      </c>
      <c r="H4338" s="3"/>
    </row>
    <row r="4339" spans="1:8">
      <c r="A4339" s="270">
        <v>45237</v>
      </c>
      <c r="B4339" s="267"/>
      <c r="C4339" s="267" t="s">
        <v>79</v>
      </c>
      <c r="D4339" s="3" t="s">
        <v>79</v>
      </c>
      <c r="E4339" s="1497">
        <v>100000</v>
      </c>
      <c r="F4339" s="1497"/>
      <c r="G4339" s="267" t="s">
        <v>27</v>
      </c>
      <c r="H4339" s="3"/>
    </row>
    <row r="4340" spans="1:8">
      <c r="A4340" s="270">
        <v>45237</v>
      </c>
      <c r="B4340" s="267"/>
      <c r="C4340" s="267" t="s">
        <v>2478</v>
      </c>
      <c r="D4340" s="3" t="s">
        <v>238</v>
      </c>
      <c r="E4340" s="1497">
        <v>49335</v>
      </c>
      <c r="F4340" s="1497"/>
      <c r="G4340" s="267" t="s">
        <v>27</v>
      </c>
      <c r="H4340" s="3"/>
    </row>
    <row r="4341" spans="1:8">
      <c r="A4341" s="270">
        <v>45237</v>
      </c>
      <c r="B4341" s="267"/>
      <c r="C4341" s="267" t="s">
        <v>2478</v>
      </c>
      <c r="D4341" s="3" t="s">
        <v>789</v>
      </c>
      <c r="E4341" s="1497">
        <v>51220</v>
      </c>
      <c r="F4341" s="1497"/>
      <c r="G4341" s="267" t="s">
        <v>27</v>
      </c>
      <c r="H4341" s="3"/>
    </row>
    <row r="4342" spans="1:8">
      <c r="A4342" s="270">
        <v>45238</v>
      </c>
      <c r="B4342" s="267"/>
      <c r="C4342" s="267" t="s">
        <v>77</v>
      </c>
      <c r="D4342" s="3" t="s">
        <v>2480</v>
      </c>
      <c r="E4342" s="1497"/>
      <c r="F4342" s="1497">
        <v>140600</v>
      </c>
      <c r="G4342" s="267" t="s">
        <v>27</v>
      </c>
      <c r="H4342" s="3"/>
    </row>
    <row r="4343" spans="1:8">
      <c r="A4343" s="270">
        <v>45238</v>
      </c>
      <c r="B4343" s="267"/>
      <c r="C4343" s="267" t="s">
        <v>2190</v>
      </c>
      <c r="D4343" s="3" t="s">
        <v>11</v>
      </c>
      <c r="E4343" s="1497">
        <v>188400</v>
      </c>
      <c r="F4343" s="1497"/>
      <c r="G4343" s="267" t="s">
        <v>27</v>
      </c>
      <c r="H4343" s="3"/>
    </row>
    <row r="4344" spans="1:8">
      <c r="A4344" s="270">
        <v>45238</v>
      </c>
      <c r="B4344" s="267"/>
      <c r="C4344" s="267" t="s">
        <v>103</v>
      </c>
      <c r="D4344" s="3" t="s">
        <v>675</v>
      </c>
      <c r="E4344" s="1497"/>
      <c r="F4344" s="1497">
        <v>98000</v>
      </c>
      <c r="G4344" s="267" t="s">
        <v>27</v>
      </c>
      <c r="H4344" s="3"/>
    </row>
    <row r="4345" spans="1:8">
      <c r="A4345" s="270">
        <v>45238</v>
      </c>
      <c r="B4345" s="267"/>
      <c r="C4345" s="267" t="s">
        <v>103</v>
      </c>
      <c r="D4345" s="3" t="s">
        <v>22</v>
      </c>
      <c r="E4345" s="1497">
        <v>19513.61</v>
      </c>
      <c r="F4345" s="1497"/>
      <c r="G4345" s="267" t="s">
        <v>27</v>
      </c>
      <c r="H4345" s="3"/>
    </row>
    <row r="4346" spans="1:8">
      <c r="A4346" s="270">
        <v>45238</v>
      </c>
      <c r="B4346" s="267"/>
      <c r="C4346" s="267" t="s">
        <v>55</v>
      </c>
      <c r="D4346" s="3" t="s">
        <v>261</v>
      </c>
      <c r="E4346" s="1497">
        <v>12000</v>
      </c>
      <c r="F4346" s="1497"/>
      <c r="G4346" s="267" t="s">
        <v>27</v>
      </c>
      <c r="H4346" s="3"/>
    </row>
    <row r="4347" spans="1:8">
      <c r="A4347" s="270">
        <v>45238</v>
      </c>
      <c r="B4347" s="267"/>
      <c r="C4347" s="267" t="s">
        <v>2482</v>
      </c>
      <c r="D4347" s="3" t="s">
        <v>2481</v>
      </c>
      <c r="E4347" s="1497"/>
      <c r="F4347" s="1497">
        <v>1206684.93</v>
      </c>
      <c r="G4347" s="267" t="s">
        <v>27</v>
      </c>
      <c r="H4347" s="267"/>
    </row>
    <row r="4348" spans="1:8">
      <c r="A4348" s="270">
        <v>45238</v>
      </c>
      <c r="B4348" s="267"/>
      <c r="C4348" s="267" t="s">
        <v>94</v>
      </c>
      <c r="D4348" s="3" t="s">
        <v>2220</v>
      </c>
      <c r="E4348" s="1497"/>
      <c r="F4348" s="1497">
        <v>41160</v>
      </c>
      <c r="G4348" s="267" t="s">
        <v>27</v>
      </c>
      <c r="H4348" s="3"/>
    </row>
    <row r="4349" spans="1:8">
      <c r="A4349" s="270">
        <v>45238</v>
      </c>
      <c r="B4349" s="267" t="s">
        <v>2484</v>
      </c>
      <c r="C4349" s="267" t="s">
        <v>1495</v>
      </c>
      <c r="D4349" s="3" t="s">
        <v>2483</v>
      </c>
      <c r="E4349" s="1497">
        <v>36000</v>
      </c>
      <c r="F4349" s="1497"/>
      <c r="G4349" s="267" t="s">
        <v>27</v>
      </c>
      <c r="H4349" s="3"/>
    </row>
    <row r="4350" spans="1:8">
      <c r="A4350" s="270">
        <v>45239</v>
      </c>
      <c r="B4350" s="267"/>
      <c r="C4350" s="267" t="s">
        <v>2190</v>
      </c>
      <c r="D4350" s="3" t="s">
        <v>11</v>
      </c>
      <c r="E4350" s="1497">
        <v>133497</v>
      </c>
      <c r="F4350" s="1497"/>
      <c r="G4350" s="267" t="s">
        <v>27</v>
      </c>
      <c r="H4350" s="3"/>
    </row>
    <row r="4351" spans="1:8">
      <c r="A4351" s="270">
        <v>45239</v>
      </c>
      <c r="B4351" s="267"/>
      <c r="C4351" s="267" t="s">
        <v>79</v>
      </c>
      <c r="D4351" s="3" t="s">
        <v>2485</v>
      </c>
      <c r="E4351" s="1497">
        <v>3000</v>
      </c>
      <c r="F4351" s="1497"/>
      <c r="G4351" s="267" t="s">
        <v>56</v>
      </c>
      <c r="H4351" s="3"/>
    </row>
    <row r="4352" spans="1:8">
      <c r="A4352" s="270">
        <v>45239</v>
      </c>
      <c r="B4352" s="267"/>
      <c r="C4352" s="267" t="s">
        <v>90</v>
      </c>
      <c r="D4352" s="3" t="s">
        <v>2487</v>
      </c>
      <c r="E4352" s="1497">
        <v>4250</v>
      </c>
      <c r="F4352" s="1497"/>
      <c r="G4352" s="267" t="s">
        <v>56</v>
      </c>
      <c r="H4352" s="3"/>
    </row>
    <row r="4353" spans="1:8">
      <c r="A4353" s="270">
        <v>45239</v>
      </c>
      <c r="B4353" s="267"/>
      <c r="C4353" s="267" t="s">
        <v>79</v>
      </c>
      <c r="D4353" s="3" t="s">
        <v>347</v>
      </c>
      <c r="E4353" s="1497">
        <v>1800</v>
      </c>
      <c r="F4353" s="1497"/>
      <c r="G4353" s="267" t="s">
        <v>56</v>
      </c>
      <c r="H4353" s="3"/>
    </row>
    <row r="4354" spans="1:8">
      <c r="A4354" s="270">
        <v>45239</v>
      </c>
      <c r="B4354" s="267"/>
      <c r="C4354" s="267" t="s">
        <v>205</v>
      </c>
      <c r="D4354" s="3" t="s">
        <v>63</v>
      </c>
      <c r="E4354" s="1497">
        <v>3890</v>
      </c>
      <c r="F4354" s="1497"/>
      <c r="G4354" s="267" t="s">
        <v>56</v>
      </c>
      <c r="H4354" s="3" t="s">
        <v>2488</v>
      </c>
    </row>
    <row r="4355" spans="1:8">
      <c r="A4355" s="270">
        <v>45239</v>
      </c>
      <c r="B4355" s="267"/>
      <c r="C4355" s="267" t="s">
        <v>55</v>
      </c>
      <c r="D4355" s="3" t="s">
        <v>2486</v>
      </c>
      <c r="E4355" s="1497">
        <v>845</v>
      </c>
      <c r="F4355" s="1497"/>
      <c r="G4355" s="267" t="s">
        <v>56</v>
      </c>
      <c r="H4355" s="3"/>
    </row>
    <row r="4356" spans="1:8">
      <c r="A4356" s="270">
        <v>45240</v>
      </c>
      <c r="B4356" s="267"/>
      <c r="C4356" s="267" t="s">
        <v>174</v>
      </c>
      <c r="D4356" s="3" t="s">
        <v>2490</v>
      </c>
      <c r="E4356" s="1497">
        <v>7180</v>
      </c>
      <c r="F4356" s="1497"/>
      <c r="G4356" s="267" t="s">
        <v>27</v>
      </c>
      <c r="H4356" s="3"/>
    </row>
    <row r="4357" spans="1:8">
      <c r="A4357" s="270">
        <v>45240</v>
      </c>
      <c r="B4357" s="267"/>
      <c r="C4357" s="267"/>
      <c r="D4357" s="3" t="s">
        <v>2489</v>
      </c>
      <c r="E4357" s="1497">
        <v>1900</v>
      </c>
      <c r="F4357" s="1497"/>
      <c r="G4357" s="267" t="s">
        <v>56</v>
      </c>
      <c r="H4357" s="3"/>
    </row>
    <row r="4358" spans="1:8">
      <c r="A4358" s="270">
        <v>45240</v>
      </c>
      <c r="B4358" s="267"/>
      <c r="C4358" s="267" t="s">
        <v>205</v>
      </c>
      <c r="D4358" s="3" t="s">
        <v>38</v>
      </c>
      <c r="E4358" s="1497">
        <v>1000</v>
      </c>
      <c r="F4358" s="1497"/>
      <c r="G4358" s="267" t="s">
        <v>56</v>
      </c>
      <c r="H4358" s="3"/>
    </row>
    <row r="4359" spans="1:8">
      <c r="A4359" s="270">
        <v>45240</v>
      </c>
      <c r="B4359" s="267"/>
      <c r="C4359" s="267" t="s">
        <v>79</v>
      </c>
      <c r="D4359" s="3" t="s">
        <v>2355</v>
      </c>
      <c r="E4359" s="1497">
        <v>4100</v>
      </c>
      <c r="F4359" s="1497"/>
      <c r="G4359" s="267" t="s">
        <v>27</v>
      </c>
      <c r="H4359" s="3"/>
    </row>
    <row r="4360" spans="1:8">
      <c r="A4360" s="270">
        <v>45240</v>
      </c>
      <c r="B4360" s="267"/>
      <c r="C4360" s="267" t="s">
        <v>537</v>
      </c>
      <c r="D4360" s="15" t="s">
        <v>219</v>
      </c>
      <c r="E4360" s="1497">
        <v>75000</v>
      </c>
      <c r="F4360" s="1497"/>
      <c r="G4360" s="267"/>
      <c r="H4360" s="3"/>
    </row>
    <row r="4361" spans="1:8">
      <c r="A4361" s="270">
        <v>45240</v>
      </c>
      <c r="B4361" s="267"/>
      <c r="C4361" s="267" t="s">
        <v>537</v>
      </c>
      <c r="D4361" s="15" t="s">
        <v>208</v>
      </c>
      <c r="E4361" s="1497">
        <v>57500</v>
      </c>
      <c r="F4361" s="1497"/>
      <c r="G4361" s="267"/>
      <c r="H4361" s="3"/>
    </row>
    <row r="4362" spans="1:8">
      <c r="A4362" s="270">
        <v>45240</v>
      </c>
      <c r="B4362" s="267"/>
      <c r="C4362" s="267" t="s">
        <v>537</v>
      </c>
      <c r="D4362" s="3" t="s">
        <v>144</v>
      </c>
      <c r="E4362" s="1497">
        <v>42000</v>
      </c>
      <c r="F4362" s="1497"/>
      <c r="G4362" s="267"/>
      <c r="H4362" s="3"/>
    </row>
    <row r="4363" spans="1:8" ht="15.75" thickBot="1">
      <c r="A4363" s="270">
        <v>45240</v>
      </c>
      <c r="B4363" s="267"/>
      <c r="C4363" s="267" t="s">
        <v>537</v>
      </c>
      <c r="D4363" s="3" t="s">
        <v>144</v>
      </c>
      <c r="E4363" s="1497">
        <v>53000</v>
      </c>
      <c r="F4363" s="1497"/>
      <c r="G4363" s="267"/>
      <c r="H4363" s="3"/>
    </row>
    <row r="4364" spans="1:8" ht="15.75" thickBot="1">
      <c r="H4364" s="201">
        <v>45240</v>
      </c>
    </row>
    <row r="4365" spans="1:8">
      <c r="H4365" s="199" t="s">
        <v>2423</v>
      </c>
    </row>
    <row r="4366" spans="1:8">
      <c r="H4366" s="137" t="s">
        <v>2470</v>
      </c>
    </row>
    <row r="4367" spans="1:8">
      <c r="H4367" s="138" t="s">
        <v>2491</v>
      </c>
    </row>
    <row r="4368" spans="1:8">
      <c r="H4368" s="138" t="s">
        <v>2472</v>
      </c>
    </row>
    <row r="4369" spans="1:8">
      <c r="H4369" s="138" t="s">
        <v>2481</v>
      </c>
    </row>
    <row r="4370" spans="1:8">
      <c r="H4370" s="138" t="s">
        <v>2475</v>
      </c>
    </row>
    <row r="4371" spans="1:8">
      <c r="H4371" s="138" t="s">
        <v>2473</v>
      </c>
    </row>
    <row r="4372" spans="1:8">
      <c r="H4372" s="138" t="s">
        <v>1283</v>
      </c>
    </row>
    <row r="4373" spans="1:8">
      <c r="H4373" s="138" t="s">
        <v>1215</v>
      </c>
    </row>
    <row r="4374" spans="1:8" ht="15.75" thickBot="1">
      <c r="H4374" s="147" t="s">
        <v>2151</v>
      </c>
    </row>
    <row r="4375" spans="1:8" ht="15.75" thickBot="1">
      <c r="H4375" s="140" t="s">
        <v>2476</v>
      </c>
    </row>
    <row r="4376" spans="1:8">
      <c r="H4376" s="206" t="s">
        <v>2477</v>
      </c>
    </row>
    <row r="4377" spans="1:8">
      <c r="A4377" s="270">
        <v>45243</v>
      </c>
      <c r="B4377" s="267"/>
      <c r="C4377" s="267" t="s">
        <v>287</v>
      </c>
      <c r="D4377" s="3" t="s">
        <v>2492</v>
      </c>
      <c r="E4377" s="1497">
        <v>24315</v>
      </c>
      <c r="F4377" s="1497"/>
      <c r="G4377" s="267" t="s">
        <v>27</v>
      </c>
      <c r="H4377" s="3"/>
    </row>
    <row r="4378" spans="1:8">
      <c r="A4378" s="270">
        <v>45243</v>
      </c>
      <c r="B4378" s="267"/>
      <c r="C4378" s="267" t="s">
        <v>287</v>
      </c>
      <c r="D4378" s="3" t="s">
        <v>1406</v>
      </c>
      <c r="E4378" s="1497">
        <v>29738</v>
      </c>
      <c r="F4378" s="1497"/>
      <c r="G4378" s="267" t="s">
        <v>27</v>
      </c>
      <c r="H4378" s="3"/>
    </row>
    <row r="4379" spans="1:8">
      <c r="A4379" s="270">
        <v>45243</v>
      </c>
      <c r="B4379" s="267"/>
      <c r="C4379" s="267" t="s">
        <v>65</v>
      </c>
      <c r="D4379" s="3" t="s">
        <v>2493</v>
      </c>
      <c r="E4379" s="1497">
        <v>3400</v>
      </c>
      <c r="F4379" s="1497"/>
      <c r="G4379" s="267" t="s">
        <v>56</v>
      </c>
      <c r="H4379" s="3"/>
    </row>
    <row r="4380" spans="1:8">
      <c r="A4380" s="270">
        <v>45243</v>
      </c>
      <c r="B4380" s="267"/>
      <c r="C4380" s="267" t="s">
        <v>94</v>
      </c>
      <c r="D4380" s="3" t="s">
        <v>245</v>
      </c>
      <c r="E4380" s="1497">
        <v>20737.810000000001</v>
      </c>
      <c r="F4380" s="1497"/>
      <c r="G4380" s="267" t="s">
        <v>27</v>
      </c>
      <c r="H4380" s="3"/>
    </row>
    <row r="4381" spans="1:8">
      <c r="A4381" s="270">
        <v>45243</v>
      </c>
      <c r="B4381" s="267"/>
      <c r="C4381" s="267" t="s">
        <v>65</v>
      </c>
      <c r="D4381" s="3" t="s">
        <v>211</v>
      </c>
      <c r="E4381" s="1497">
        <v>14991.4</v>
      </c>
      <c r="F4381" s="1497"/>
      <c r="G4381" s="267" t="s">
        <v>27</v>
      </c>
      <c r="H4381" s="3"/>
    </row>
    <row r="4382" spans="1:8">
      <c r="A4382" s="270">
        <v>45243</v>
      </c>
      <c r="B4382" s="267"/>
      <c r="C4382" s="267" t="s">
        <v>176</v>
      </c>
      <c r="D4382" s="3" t="s">
        <v>2494</v>
      </c>
      <c r="E4382" s="1497">
        <v>55000</v>
      </c>
      <c r="F4382" s="1497"/>
      <c r="G4382" s="267" t="s">
        <v>56</v>
      </c>
      <c r="H4382" s="3"/>
    </row>
    <row r="4383" spans="1:8">
      <c r="A4383" s="270">
        <v>45244</v>
      </c>
      <c r="B4383" s="267"/>
      <c r="C4383" s="267" t="s">
        <v>55</v>
      </c>
      <c r="D4383" s="3" t="s">
        <v>63</v>
      </c>
      <c r="E4383" s="1497">
        <v>5812.28</v>
      </c>
      <c r="F4383" s="1497"/>
      <c r="G4383" s="267" t="s">
        <v>56</v>
      </c>
      <c r="H4383" s="3"/>
    </row>
    <row r="4384" spans="1:8">
      <c r="A4384" s="270">
        <v>45245</v>
      </c>
      <c r="B4384" s="267"/>
      <c r="C4384" s="267" t="s">
        <v>587</v>
      </c>
      <c r="D4384" s="3" t="s">
        <v>179</v>
      </c>
      <c r="E4384" s="1497"/>
      <c r="F4384" s="1497">
        <v>1300000</v>
      </c>
      <c r="G4384" s="267" t="s">
        <v>27</v>
      </c>
      <c r="H4384" s="3"/>
    </row>
    <row r="4385" spans="1:8">
      <c r="A4385" s="270">
        <v>45245</v>
      </c>
      <c r="B4385" s="267"/>
      <c r="C4385" s="267" t="s">
        <v>55</v>
      </c>
      <c r="D4385" s="3" t="s">
        <v>154</v>
      </c>
      <c r="E4385" s="1497">
        <v>1400</v>
      </c>
      <c r="F4385" s="1497"/>
      <c r="G4385" s="267" t="s">
        <v>27</v>
      </c>
      <c r="H4385" s="3"/>
    </row>
    <row r="4386" spans="1:8">
      <c r="A4386" s="270">
        <v>45245</v>
      </c>
      <c r="B4386" s="267"/>
      <c r="C4386" s="267" t="s">
        <v>205</v>
      </c>
      <c r="D4386" s="3" t="s">
        <v>2495</v>
      </c>
      <c r="E4386" s="1497">
        <v>560450</v>
      </c>
      <c r="F4386" s="1497"/>
      <c r="G4386" s="267" t="s">
        <v>27</v>
      </c>
      <c r="H4386" s="3"/>
    </row>
    <row r="4387" spans="1:8">
      <c r="A4387" s="270">
        <v>45245</v>
      </c>
      <c r="B4387" s="267"/>
      <c r="C4387" s="267" t="s">
        <v>79</v>
      </c>
      <c r="D4387" s="3" t="s">
        <v>2496</v>
      </c>
      <c r="E4387" s="1497">
        <v>5605.82</v>
      </c>
      <c r="F4387" s="1497"/>
      <c r="G4387" s="267" t="s">
        <v>27</v>
      </c>
      <c r="H4387" s="3"/>
    </row>
    <row r="4388" spans="1:8">
      <c r="A4388" s="270">
        <v>45245</v>
      </c>
      <c r="B4388" s="267"/>
      <c r="C4388" s="267" t="s">
        <v>76</v>
      </c>
      <c r="D4388" s="3" t="s">
        <v>2497</v>
      </c>
      <c r="E4388" s="1497"/>
      <c r="F4388" s="1497">
        <v>456500</v>
      </c>
      <c r="G4388" s="267" t="s">
        <v>27</v>
      </c>
      <c r="H4388" s="3"/>
    </row>
    <row r="4389" spans="1:8">
      <c r="A4389" s="270">
        <v>45245</v>
      </c>
      <c r="B4389" s="267"/>
      <c r="C4389" s="267" t="s">
        <v>76</v>
      </c>
      <c r="D4389" s="3" t="s">
        <v>2497</v>
      </c>
      <c r="E4389" s="1497"/>
      <c r="F4389" s="1497">
        <v>125700</v>
      </c>
      <c r="G4389" s="267" t="s">
        <v>27</v>
      </c>
      <c r="H4389" s="3"/>
    </row>
    <row r="4390" spans="1:8">
      <c r="A4390" s="270">
        <v>45245</v>
      </c>
      <c r="B4390" s="267"/>
      <c r="C4390" s="267" t="s">
        <v>77</v>
      </c>
      <c r="D4390" s="15" t="s">
        <v>2498</v>
      </c>
      <c r="E4390" s="1497"/>
      <c r="F4390" s="1497">
        <v>850000</v>
      </c>
      <c r="G4390" s="267" t="s">
        <v>56</v>
      </c>
      <c r="H4390" s="3"/>
    </row>
    <row r="4391" spans="1:8">
      <c r="A4391" s="270">
        <v>45246</v>
      </c>
      <c r="B4391" s="267"/>
      <c r="C4391" s="267" t="s">
        <v>2479</v>
      </c>
      <c r="D4391" s="3" t="s">
        <v>2499</v>
      </c>
      <c r="E4391" s="1497">
        <v>125000</v>
      </c>
      <c r="F4391" s="1497"/>
      <c r="G4391" s="267" t="s">
        <v>2175</v>
      </c>
      <c r="H4391" s="3"/>
    </row>
    <row r="4392" spans="1:8">
      <c r="A4392" s="270">
        <v>45246</v>
      </c>
      <c r="B4392" s="267"/>
      <c r="C4392" s="267" t="s">
        <v>55</v>
      </c>
      <c r="D4392" s="3" t="s">
        <v>2415</v>
      </c>
      <c r="E4392" s="1497">
        <v>4122.5200000000004</v>
      </c>
      <c r="F4392" s="1497"/>
      <c r="G4392" s="267" t="s">
        <v>27</v>
      </c>
      <c r="H4392" s="3"/>
    </row>
    <row r="4393" spans="1:8">
      <c r="A4393" s="267" t="s">
        <v>2500</v>
      </c>
      <c r="B4393" s="267"/>
      <c r="C4393" s="267" t="s">
        <v>537</v>
      </c>
      <c r="D4393" s="3" t="s">
        <v>1951</v>
      </c>
      <c r="E4393" s="1497">
        <v>5100</v>
      </c>
      <c r="F4393" s="1497"/>
      <c r="G4393" s="267" t="s">
        <v>56</v>
      </c>
      <c r="H4393" s="3"/>
    </row>
    <row r="4394" spans="1:8">
      <c r="A4394" s="270">
        <v>45246</v>
      </c>
      <c r="B4394" s="267"/>
      <c r="C4394" s="267" t="s">
        <v>55</v>
      </c>
      <c r="D4394" s="3" t="s">
        <v>38</v>
      </c>
      <c r="E4394" s="1497">
        <v>900</v>
      </c>
      <c r="F4394" s="1497"/>
      <c r="G4394" s="267" t="s">
        <v>56</v>
      </c>
      <c r="H4394" s="3"/>
    </row>
    <row r="4395" spans="1:8">
      <c r="A4395" s="112">
        <v>45246</v>
      </c>
      <c r="B4395" s="70"/>
      <c r="C4395" s="70" t="s">
        <v>176</v>
      </c>
      <c r="D4395" s="207" t="s">
        <v>2501</v>
      </c>
      <c r="E4395" s="70">
        <v>100000</v>
      </c>
      <c r="F4395" s="70"/>
      <c r="G4395" s="70" t="s">
        <v>56</v>
      </c>
      <c r="H4395" s="3"/>
    </row>
    <row r="4396" spans="1:8">
      <c r="A4396" s="270">
        <v>45246</v>
      </c>
      <c r="B4396" s="267"/>
      <c r="C4396" s="267" t="s">
        <v>156</v>
      </c>
      <c r="D4396" s="3" t="s">
        <v>156</v>
      </c>
      <c r="E4396" s="1497">
        <v>103889.08</v>
      </c>
      <c r="F4396" s="1497"/>
      <c r="G4396" s="267" t="s">
        <v>27</v>
      </c>
      <c r="H4396" s="270"/>
    </row>
    <row r="4397" spans="1:8">
      <c r="A4397" s="270">
        <v>45246</v>
      </c>
      <c r="B4397" s="267"/>
      <c r="C4397" s="267" t="s">
        <v>537</v>
      </c>
      <c r="D4397" s="3" t="s">
        <v>208</v>
      </c>
      <c r="E4397" s="1497">
        <v>57500</v>
      </c>
      <c r="F4397" s="1497"/>
      <c r="G4397" s="267" t="s">
        <v>56</v>
      </c>
      <c r="H4397" s="3"/>
    </row>
    <row r="4398" spans="1:8">
      <c r="A4398" s="270">
        <v>45247</v>
      </c>
      <c r="B4398" s="267"/>
      <c r="C4398" s="267" t="s">
        <v>55</v>
      </c>
      <c r="D4398" s="3" t="s">
        <v>2502</v>
      </c>
      <c r="E4398" s="1497">
        <v>1000</v>
      </c>
      <c r="F4398" s="1497"/>
      <c r="G4398" s="267" t="s">
        <v>56</v>
      </c>
      <c r="H4398" s="3"/>
    </row>
    <row r="4399" spans="1:8">
      <c r="A4399" s="270">
        <v>45247</v>
      </c>
      <c r="B4399" s="267"/>
      <c r="C4399" s="267" t="s">
        <v>76</v>
      </c>
      <c r="D4399" s="3" t="s">
        <v>170</v>
      </c>
      <c r="E4399" s="1497"/>
      <c r="F4399" s="1497">
        <v>726800</v>
      </c>
      <c r="G4399" s="267" t="s">
        <v>27</v>
      </c>
      <c r="H4399" s="3"/>
    </row>
    <row r="4400" spans="1:8">
      <c r="A4400" s="270">
        <v>45247</v>
      </c>
      <c r="B4400" s="267"/>
      <c r="C4400" s="267" t="s">
        <v>205</v>
      </c>
      <c r="D4400" s="3" t="s">
        <v>238</v>
      </c>
      <c r="E4400" s="1497">
        <v>5280</v>
      </c>
      <c r="F4400" s="1497"/>
      <c r="G4400" s="267" t="s">
        <v>27</v>
      </c>
      <c r="H4400" s="3"/>
    </row>
    <row r="4401" spans="1:8">
      <c r="A4401" s="270">
        <v>45247</v>
      </c>
      <c r="B4401" s="267"/>
      <c r="C4401" s="267" t="s">
        <v>79</v>
      </c>
      <c r="D4401" s="3" t="s">
        <v>166</v>
      </c>
      <c r="E4401" s="1497">
        <v>127000</v>
      </c>
      <c r="F4401" s="1497"/>
      <c r="G4401" s="267" t="s">
        <v>27</v>
      </c>
      <c r="H4401" s="3"/>
    </row>
    <row r="4402" spans="1:8">
      <c r="A4402" s="270">
        <v>45247</v>
      </c>
      <c r="B4402" s="267"/>
      <c r="C4402" s="267" t="s">
        <v>205</v>
      </c>
      <c r="D4402" s="15" t="s">
        <v>113</v>
      </c>
      <c r="E4402" s="1497">
        <v>103690</v>
      </c>
      <c r="F4402" s="1497"/>
      <c r="G4402" s="267" t="s">
        <v>27</v>
      </c>
      <c r="H4402" s="3"/>
    </row>
    <row r="4403" spans="1:8">
      <c r="A4403" s="270">
        <v>45247</v>
      </c>
      <c r="B4403" s="267"/>
      <c r="C4403" s="267" t="s">
        <v>205</v>
      </c>
      <c r="D4403" s="3" t="s">
        <v>2440</v>
      </c>
      <c r="E4403" s="1497">
        <v>66400</v>
      </c>
      <c r="F4403" s="1497"/>
      <c r="G4403" s="267" t="s">
        <v>27</v>
      </c>
      <c r="H4403" s="3"/>
    </row>
    <row r="4404" spans="1:8">
      <c r="A4404" s="270">
        <v>45247</v>
      </c>
      <c r="B4404" s="267"/>
      <c r="C4404" s="267" t="s">
        <v>205</v>
      </c>
      <c r="D4404" s="3" t="s">
        <v>2503</v>
      </c>
      <c r="E4404" s="1497">
        <v>958.8</v>
      </c>
      <c r="F4404" s="1497"/>
      <c r="G4404" s="267" t="s">
        <v>56</v>
      </c>
      <c r="H4404" s="3"/>
    </row>
    <row r="4405" spans="1:8">
      <c r="A4405" s="270">
        <v>45247</v>
      </c>
      <c r="B4405" s="267"/>
      <c r="C4405" s="267" t="s">
        <v>537</v>
      </c>
      <c r="D4405" s="3" t="s">
        <v>219</v>
      </c>
      <c r="E4405" s="1497">
        <v>75000</v>
      </c>
      <c r="F4405" s="1497"/>
      <c r="G4405" s="267" t="s">
        <v>56</v>
      </c>
      <c r="H4405" s="3"/>
    </row>
    <row r="4406" spans="1:8">
      <c r="A4406" s="270">
        <v>45247</v>
      </c>
      <c r="B4406" s="267"/>
      <c r="C4406" s="267" t="s">
        <v>537</v>
      </c>
      <c r="D4406" s="3" t="s">
        <v>2428</v>
      </c>
      <c r="E4406" s="1497">
        <v>95000</v>
      </c>
      <c r="F4406" s="1497"/>
      <c r="G4406" s="267" t="s">
        <v>56</v>
      </c>
      <c r="H4406" s="3"/>
    </row>
    <row r="4407" spans="1:8">
      <c r="A4407" s="270">
        <v>45247</v>
      </c>
      <c r="B4407" s="267"/>
      <c r="C4407" s="267" t="s">
        <v>537</v>
      </c>
      <c r="D4407" s="3" t="s">
        <v>193</v>
      </c>
      <c r="E4407" s="1497">
        <v>40000</v>
      </c>
      <c r="F4407" s="1497"/>
      <c r="G4407" s="267" t="s">
        <v>56</v>
      </c>
      <c r="H4407" s="3"/>
    </row>
    <row r="4408" spans="1:8">
      <c r="A4408" s="270">
        <v>45247</v>
      </c>
      <c r="B4408" s="267"/>
      <c r="C4408" s="267" t="s">
        <v>79</v>
      </c>
      <c r="D4408" s="3" t="s">
        <v>79</v>
      </c>
      <c r="E4408" s="1497">
        <v>5000</v>
      </c>
      <c r="F4408" s="1497"/>
      <c r="G4408" s="267" t="s">
        <v>56</v>
      </c>
      <c r="H4408" s="3"/>
    </row>
    <row r="4409" spans="1:8">
      <c r="A4409" s="270">
        <v>45247</v>
      </c>
      <c r="B4409" s="267"/>
      <c r="C4409" s="267"/>
      <c r="D4409" s="15" t="s">
        <v>2512</v>
      </c>
      <c r="E4409" s="1497">
        <v>6500</v>
      </c>
      <c r="F4409" s="1497"/>
      <c r="G4409" s="267" t="s">
        <v>56</v>
      </c>
      <c r="H4409" s="3"/>
    </row>
    <row r="4410" spans="1:8" ht="15.75" thickBot="1">
      <c r="H4410" s="209">
        <v>45247</v>
      </c>
    </row>
    <row r="4411" spans="1:8">
      <c r="H4411" s="199" t="s">
        <v>2423</v>
      </c>
    </row>
    <row r="4412" spans="1:8">
      <c r="H4412" s="137" t="s">
        <v>2507</v>
      </c>
    </row>
    <row r="4413" spans="1:8">
      <c r="H4413" s="138" t="s">
        <v>2508</v>
      </c>
    </row>
    <row r="4414" spans="1:8">
      <c r="H4414" s="138" t="s">
        <v>2504</v>
      </c>
    </row>
    <row r="4415" spans="1:8">
      <c r="H4415" s="138" t="s">
        <v>2481</v>
      </c>
    </row>
    <row r="4416" spans="1:8">
      <c r="H4416" s="138" t="s">
        <v>2505</v>
      </c>
    </row>
    <row r="4417" spans="1:8">
      <c r="H4417" s="138" t="s">
        <v>2473</v>
      </c>
    </row>
    <row r="4418" spans="1:8">
      <c r="H4418" s="138" t="s">
        <v>1283</v>
      </c>
    </row>
    <row r="4419" spans="1:8">
      <c r="H4419" s="138" t="s">
        <v>1215</v>
      </c>
    </row>
    <row r="4420" spans="1:8" ht="15.75" thickBot="1">
      <c r="H4420" s="147" t="s">
        <v>2151</v>
      </c>
    </row>
    <row r="4421" spans="1:8" ht="15.75" thickBot="1">
      <c r="H4421" s="140" t="s">
        <v>2506</v>
      </c>
    </row>
    <row r="4422" spans="1:8">
      <c r="H4422" s="208">
        <v>9829407.8399999999</v>
      </c>
    </row>
    <row r="4423" spans="1:8">
      <c r="A4423" s="270">
        <v>45251</v>
      </c>
      <c r="B4423" s="267"/>
      <c r="C4423" s="267" t="s">
        <v>79</v>
      </c>
      <c r="D4423" s="3" t="s">
        <v>2509</v>
      </c>
      <c r="E4423" s="1497"/>
      <c r="F4423" s="1497">
        <v>13200</v>
      </c>
      <c r="G4423" s="267" t="s">
        <v>27</v>
      </c>
      <c r="H4423" s="3"/>
    </row>
    <row r="4424" spans="1:8">
      <c r="A4424" s="270">
        <v>45251</v>
      </c>
      <c r="B4424" s="267"/>
      <c r="C4424" s="267" t="s">
        <v>79</v>
      </c>
      <c r="D4424" s="3" t="s">
        <v>70</v>
      </c>
      <c r="E4424" s="1497"/>
      <c r="F4424" s="1497">
        <v>16765.45</v>
      </c>
      <c r="G4424" s="267" t="s">
        <v>27</v>
      </c>
      <c r="H4424" s="3"/>
    </row>
    <row r="4425" spans="1:8">
      <c r="A4425" s="270">
        <v>45251</v>
      </c>
      <c r="B4425" s="267"/>
      <c r="C4425" s="267" t="s">
        <v>185</v>
      </c>
      <c r="D4425" s="3" t="s">
        <v>2510</v>
      </c>
      <c r="E4425" s="1497">
        <v>624000</v>
      </c>
      <c r="F4425" s="1497"/>
      <c r="G4425" s="267" t="s">
        <v>72</v>
      </c>
      <c r="H4425" s="3"/>
    </row>
    <row r="4426" spans="1:8">
      <c r="A4426" s="270">
        <v>45251</v>
      </c>
      <c r="B4426" s="267"/>
      <c r="C4426" s="267" t="s">
        <v>176</v>
      </c>
      <c r="D4426" s="3" t="s">
        <v>2511</v>
      </c>
      <c r="E4426" s="1497">
        <v>130000</v>
      </c>
      <c r="F4426" s="1497"/>
      <c r="G4426" s="267" t="s">
        <v>72</v>
      </c>
      <c r="H4426" s="3"/>
    </row>
    <row r="4427" spans="1:8">
      <c r="A4427" s="270">
        <v>45251</v>
      </c>
      <c r="B4427" s="267"/>
      <c r="C4427" s="267" t="s">
        <v>205</v>
      </c>
      <c r="D4427" s="3" t="s">
        <v>12</v>
      </c>
      <c r="E4427" s="1497">
        <v>20000</v>
      </c>
      <c r="F4427" s="1497"/>
      <c r="G4427" s="267" t="s">
        <v>72</v>
      </c>
      <c r="H4427" s="3"/>
    </row>
    <row r="4428" spans="1:8">
      <c r="A4428" s="270">
        <v>45251</v>
      </c>
      <c r="B4428" s="267"/>
      <c r="C4428" s="267" t="s">
        <v>55</v>
      </c>
      <c r="D4428" s="3" t="s">
        <v>70</v>
      </c>
      <c r="E4428" s="1497">
        <v>1137</v>
      </c>
      <c r="F4428" s="1497"/>
      <c r="G4428" s="267" t="s">
        <v>56</v>
      </c>
      <c r="H4428" s="3"/>
    </row>
    <row r="4429" spans="1:8">
      <c r="A4429" s="270">
        <v>45251</v>
      </c>
      <c r="B4429" s="267"/>
      <c r="C4429" s="267" t="s">
        <v>205</v>
      </c>
      <c r="D4429" s="3" t="s">
        <v>246</v>
      </c>
      <c r="E4429" s="1497">
        <v>6125</v>
      </c>
      <c r="F4429" s="1497"/>
      <c r="G4429" s="267" t="s">
        <v>27</v>
      </c>
      <c r="H4429" s="3"/>
    </row>
    <row r="4430" spans="1:8">
      <c r="A4430" s="270">
        <v>45251</v>
      </c>
      <c r="B4430" s="267"/>
      <c r="C4430" s="267" t="s">
        <v>94</v>
      </c>
      <c r="D4430" s="3" t="s">
        <v>2513</v>
      </c>
      <c r="E4430" s="1497">
        <v>14500</v>
      </c>
      <c r="F4430" s="1497"/>
      <c r="G4430" s="267" t="s">
        <v>27</v>
      </c>
      <c r="H4430" s="3"/>
    </row>
    <row r="4431" spans="1:8">
      <c r="A4431" s="270">
        <v>45251</v>
      </c>
      <c r="B4431" s="267"/>
      <c r="C4431" s="267" t="s">
        <v>176</v>
      </c>
      <c r="D4431" s="3" t="s">
        <v>2514</v>
      </c>
      <c r="E4431" s="1497">
        <v>7000</v>
      </c>
      <c r="F4431" s="1497"/>
      <c r="G4431" s="267" t="s">
        <v>56</v>
      </c>
      <c r="H4431" s="3"/>
    </row>
    <row r="4432" spans="1:8">
      <c r="A4432" s="270">
        <v>45251</v>
      </c>
      <c r="B4432" s="267"/>
      <c r="C4432" s="267" t="s">
        <v>537</v>
      </c>
      <c r="D4432" s="3" t="s">
        <v>2428</v>
      </c>
      <c r="E4432" s="1497">
        <v>95000</v>
      </c>
      <c r="F4432" s="1497"/>
      <c r="G4432" s="267" t="s">
        <v>56</v>
      </c>
      <c r="H4432" s="3"/>
    </row>
    <row r="4433" spans="1:8">
      <c r="A4433" s="267"/>
      <c r="B4433" s="267"/>
      <c r="C4433" s="267"/>
      <c r="D4433" s="3"/>
      <c r="E4433" s="1497"/>
      <c r="F4433" s="1497"/>
      <c r="G4433" s="267"/>
      <c r="H4433" s="3"/>
    </row>
    <row r="4434" spans="1:8">
      <c r="A4434" s="267"/>
      <c r="B4434" s="267"/>
      <c r="C4434" s="267"/>
      <c r="D4434" s="3"/>
      <c r="E4434" s="1497"/>
      <c r="F4434" s="1497"/>
      <c r="G4434" s="267"/>
      <c r="H4434" s="3"/>
    </row>
    <row r="4435" spans="1:8">
      <c r="A4435" s="267"/>
      <c r="B4435" s="267"/>
      <c r="C4435" s="267"/>
      <c r="D4435" s="3"/>
      <c r="E4435" s="1497"/>
      <c r="F4435" s="1497"/>
      <c r="G4435" s="267"/>
      <c r="H4435" s="3"/>
    </row>
    <row r="4436" spans="1:8" ht="15.75" thickBot="1">
      <c r="A4436" s="267"/>
      <c r="B4436" s="267"/>
      <c r="C4436" s="267"/>
      <c r="D4436" s="3"/>
      <c r="E4436" s="1497"/>
      <c r="F4436" s="1497"/>
      <c r="G4436" s="267"/>
      <c r="H4436" s="209">
        <v>45251</v>
      </c>
    </row>
    <row r="4437" spans="1:8">
      <c r="A4437" s="267"/>
      <c r="B4437" s="267"/>
      <c r="C4437" s="267"/>
      <c r="D4437" s="3"/>
      <c r="E4437" s="1497"/>
      <c r="F4437" s="1497"/>
      <c r="G4437" s="267"/>
      <c r="H4437" s="199" t="s">
        <v>2423</v>
      </c>
    </row>
    <row r="4438" spans="1:8">
      <c r="A4438" s="267"/>
      <c r="B4438" s="267"/>
      <c r="C4438" s="267"/>
      <c r="D4438" s="3"/>
      <c r="E4438" s="1497"/>
      <c r="F4438" s="1497"/>
      <c r="G4438" s="267"/>
      <c r="H4438" s="137" t="s">
        <v>2507</v>
      </c>
    </row>
    <row r="4439" spans="1:8">
      <c r="A4439" s="267"/>
      <c r="B4439" s="267"/>
      <c r="C4439" s="267"/>
      <c r="D4439" s="3"/>
      <c r="E4439" s="1497"/>
      <c r="F4439" s="1497"/>
      <c r="G4439" s="267"/>
      <c r="H4439" s="138" t="s">
        <v>2515</v>
      </c>
    </row>
    <row r="4440" spans="1:8">
      <c r="H4440" s="138" t="s">
        <v>2516</v>
      </c>
    </row>
    <row r="4441" spans="1:8">
      <c r="H4441" s="138" t="s">
        <v>2481</v>
      </c>
    </row>
    <row r="4442" spans="1:8">
      <c r="H4442" s="138" t="s">
        <v>2505</v>
      </c>
    </row>
    <row r="4443" spans="1:8">
      <c r="H4443" s="138" t="s">
        <v>2473</v>
      </c>
    </row>
    <row r="4444" spans="1:8">
      <c r="H4444" s="138" t="s">
        <v>1283</v>
      </c>
    </row>
    <row r="4445" spans="1:8">
      <c r="H4445" s="138" t="s">
        <v>1215</v>
      </c>
    </row>
    <row r="4446" spans="1:8" ht="15.75" thickBot="1">
      <c r="H4446" s="147" t="s">
        <v>2151</v>
      </c>
    </row>
    <row r="4447" spans="1:8" ht="15.75" thickBot="1">
      <c r="H4447" s="140" t="s">
        <v>2517</v>
      </c>
    </row>
    <row r="4448" spans="1:8">
      <c r="H4448" s="208">
        <v>9829407.8399999999</v>
      </c>
    </row>
    <row r="4449" spans="1:8">
      <c r="A4449" s="270">
        <v>45252</v>
      </c>
      <c r="B4449" s="267"/>
      <c r="C4449" s="267" t="s">
        <v>79</v>
      </c>
      <c r="D4449" s="3" t="s">
        <v>2518</v>
      </c>
      <c r="E4449" s="1497">
        <v>100000</v>
      </c>
      <c r="F4449" s="1497"/>
      <c r="G4449" s="267" t="s">
        <v>614</v>
      </c>
      <c r="H4449" s="3"/>
    </row>
    <row r="4450" spans="1:8">
      <c r="A4450" s="270">
        <v>45252</v>
      </c>
      <c r="B4450" s="267"/>
      <c r="C4450" s="267" t="s">
        <v>79</v>
      </c>
      <c r="D4450" s="3" t="s">
        <v>2518</v>
      </c>
      <c r="E4450" s="1497">
        <v>3000</v>
      </c>
      <c r="F4450" s="1497"/>
      <c r="G4450" s="267" t="s">
        <v>56</v>
      </c>
      <c r="H4450" s="3"/>
    </row>
    <row r="4451" spans="1:8">
      <c r="A4451" s="270">
        <v>45252</v>
      </c>
      <c r="B4451" s="267"/>
      <c r="C4451" s="267" t="s">
        <v>55</v>
      </c>
      <c r="D4451" s="3" t="s">
        <v>70</v>
      </c>
      <c r="E4451" s="1497">
        <v>2460</v>
      </c>
      <c r="F4451" s="1497"/>
      <c r="G4451" s="267" t="s">
        <v>56</v>
      </c>
      <c r="H4451" s="3"/>
    </row>
    <row r="4452" spans="1:8">
      <c r="A4452" s="270">
        <v>45252</v>
      </c>
      <c r="B4452" s="267"/>
      <c r="C4452" s="267" t="s">
        <v>79</v>
      </c>
      <c r="D4452" s="3" t="s">
        <v>70</v>
      </c>
      <c r="E4452" s="1497">
        <v>4460</v>
      </c>
      <c r="F4452" s="1497"/>
      <c r="G4452" s="267" t="s">
        <v>56</v>
      </c>
      <c r="H4452" s="3"/>
    </row>
    <row r="4453" spans="1:8">
      <c r="A4453" s="270">
        <v>45253</v>
      </c>
      <c r="B4453" s="267"/>
      <c r="C4453" s="267" t="s">
        <v>55</v>
      </c>
      <c r="D4453" s="3" t="s">
        <v>2519</v>
      </c>
      <c r="E4453" s="1497">
        <v>4250</v>
      </c>
      <c r="F4453" s="1497"/>
      <c r="G4453" s="267" t="s">
        <v>56</v>
      </c>
      <c r="H4453" s="3"/>
    </row>
    <row r="4454" spans="1:8">
      <c r="A4454" s="270">
        <v>45253</v>
      </c>
      <c r="B4454" s="267"/>
      <c r="C4454" s="267" t="s">
        <v>92</v>
      </c>
      <c r="D4454" s="3" t="s">
        <v>2520</v>
      </c>
      <c r="E4454" s="1497"/>
      <c r="F4454" s="1497">
        <v>55000</v>
      </c>
      <c r="G4454" s="267" t="s">
        <v>56</v>
      </c>
      <c r="H4454" s="3"/>
    </row>
    <row r="4455" spans="1:8">
      <c r="A4455" s="270">
        <v>45253</v>
      </c>
      <c r="B4455" s="267"/>
      <c r="C4455" s="267" t="s">
        <v>92</v>
      </c>
      <c r="D4455" s="3" t="s">
        <v>2520</v>
      </c>
      <c r="E4455" s="1497"/>
      <c r="F4455" s="1497">
        <v>65500</v>
      </c>
      <c r="G4455" s="267" t="s">
        <v>27</v>
      </c>
      <c r="H4455" s="3"/>
    </row>
    <row r="4456" spans="1:8">
      <c r="A4456" s="270">
        <v>45254</v>
      </c>
      <c r="B4456" s="267"/>
      <c r="C4456" s="267" t="s">
        <v>205</v>
      </c>
      <c r="D4456" s="3" t="s">
        <v>1776</v>
      </c>
      <c r="E4456" s="1497">
        <v>8000</v>
      </c>
      <c r="F4456" s="1497"/>
      <c r="G4456" s="267" t="s">
        <v>56</v>
      </c>
      <c r="H4456" s="3"/>
    </row>
    <row r="4457" spans="1:8">
      <c r="A4457" s="270">
        <v>45254</v>
      </c>
      <c r="B4457" s="267"/>
      <c r="C4457" s="267" t="s">
        <v>88</v>
      </c>
      <c r="D4457" s="3" t="s">
        <v>2521</v>
      </c>
      <c r="E4457" s="1497">
        <v>20000</v>
      </c>
      <c r="F4457" s="1497"/>
      <c r="G4457" s="267" t="s">
        <v>56</v>
      </c>
      <c r="H4457" s="3"/>
    </row>
    <row r="4458" spans="1:8">
      <c r="A4458" s="270">
        <v>45254</v>
      </c>
      <c r="B4458" s="267"/>
      <c r="C4458" s="267" t="s">
        <v>205</v>
      </c>
      <c r="D4458" s="113" t="s">
        <v>49</v>
      </c>
      <c r="E4458" s="70" t="s">
        <v>2522</v>
      </c>
      <c r="F4458" s="1497"/>
      <c r="G4458" s="267" t="s">
        <v>56</v>
      </c>
      <c r="H4458" s="3"/>
    </row>
    <row r="4459" spans="1:8">
      <c r="A4459" s="270">
        <v>45254</v>
      </c>
      <c r="B4459" s="267"/>
      <c r="C4459" s="267" t="s">
        <v>205</v>
      </c>
      <c r="D4459" s="3" t="s">
        <v>2523</v>
      </c>
      <c r="E4459" s="1497">
        <v>10605.78</v>
      </c>
      <c r="F4459" s="1497"/>
      <c r="G4459" s="267" t="s">
        <v>27</v>
      </c>
      <c r="H4459" s="3"/>
    </row>
    <row r="4460" spans="1:8">
      <c r="A4460" s="270">
        <v>45254</v>
      </c>
      <c r="B4460" s="267"/>
      <c r="C4460" s="267" t="s">
        <v>537</v>
      </c>
      <c r="D4460" s="3" t="s">
        <v>219</v>
      </c>
      <c r="E4460" s="1497">
        <v>75000</v>
      </c>
      <c r="F4460" s="1497"/>
      <c r="G4460" s="267" t="s">
        <v>56</v>
      </c>
      <c r="H4460" s="3"/>
    </row>
    <row r="4461" spans="1:8">
      <c r="A4461" s="270">
        <v>45254</v>
      </c>
      <c r="B4461" s="267"/>
      <c r="C4461" s="267" t="s">
        <v>92</v>
      </c>
      <c r="D4461" s="3" t="s">
        <v>377</v>
      </c>
      <c r="E4461" s="1497"/>
      <c r="F4461" s="1497">
        <v>69800</v>
      </c>
      <c r="G4461" s="267" t="s">
        <v>56</v>
      </c>
      <c r="H4461" s="3"/>
    </row>
    <row r="4462" spans="1:8">
      <c r="A4462" s="270">
        <v>45254</v>
      </c>
      <c r="B4462" s="267"/>
      <c r="C4462" s="267" t="s">
        <v>2524</v>
      </c>
      <c r="D4462" s="15" t="s">
        <v>2431</v>
      </c>
      <c r="E4462" s="1497">
        <v>181200</v>
      </c>
      <c r="F4462" s="1497"/>
      <c r="G4462" s="267" t="s">
        <v>56</v>
      </c>
      <c r="H4462" s="3"/>
    </row>
    <row r="4463" spans="1:8">
      <c r="A4463" s="119">
        <v>45254</v>
      </c>
      <c r="B4463" s="57"/>
      <c r="C4463" s="57" t="s">
        <v>537</v>
      </c>
      <c r="D4463" s="179" t="s">
        <v>193</v>
      </c>
      <c r="E4463" s="57">
        <v>40000</v>
      </c>
      <c r="F4463" s="57"/>
      <c r="G4463" s="57" t="s">
        <v>56</v>
      </c>
      <c r="H4463" s="85"/>
    </row>
    <row r="4464" spans="1:8">
      <c r="A4464" s="270">
        <v>45254</v>
      </c>
      <c r="B4464" s="267"/>
      <c r="C4464" s="267" t="s">
        <v>205</v>
      </c>
      <c r="D4464" s="15" t="s">
        <v>246</v>
      </c>
      <c r="E4464" s="1497">
        <v>144901</v>
      </c>
      <c r="F4464" s="1497"/>
      <c r="G4464" s="267" t="s">
        <v>27</v>
      </c>
      <c r="H4464" s="3"/>
    </row>
    <row r="4465" spans="1:8" ht="15.75" thickBot="1">
      <c r="A4465" s="119">
        <v>45254</v>
      </c>
      <c r="B4465" s="267"/>
      <c r="C4465" s="267" t="s">
        <v>205</v>
      </c>
      <c r="D4465" s="3" t="s">
        <v>2530</v>
      </c>
      <c r="E4465" s="1497">
        <v>23971</v>
      </c>
      <c r="F4465" s="1497"/>
      <c r="G4465" s="267" t="s">
        <v>27</v>
      </c>
      <c r="H4465" s="85"/>
    </row>
    <row r="4466" spans="1:8" ht="15.75" thickBot="1">
      <c r="A4466" s="244"/>
      <c r="B4466" s="244"/>
      <c r="C4466" s="244"/>
      <c r="D4466" s="115"/>
      <c r="E4466" s="1492"/>
      <c r="F4466" s="1492"/>
      <c r="G4466" s="244"/>
      <c r="H4466" s="201">
        <v>45257</v>
      </c>
    </row>
    <row r="4467" spans="1:8">
      <c r="A4467" s="244"/>
      <c r="B4467" s="244"/>
      <c r="C4467" s="244"/>
      <c r="D4467" s="115"/>
      <c r="E4467" s="1492"/>
      <c r="F4467" s="1492"/>
      <c r="G4467" s="244"/>
      <c r="H4467" s="199" t="s">
        <v>2423</v>
      </c>
    </row>
    <row r="4468" spans="1:8">
      <c r="A4468" s="244"/>
      <c r="B4468" s="244"/>
      <c r="C4468" s="244"/>
      <c r="D4468" s="115"/>
      <c r="E4468" s="1492"/>
      <c r="F4468" s="1492"/>
      <c r="G4468" s="244"/>
      <c r="H4468" s="137" t="s">
        <v>2507</v>
      </c>
    </row>
    <row r="4469" spans="1:8">
      <c r="A4469" s="244"/>
      <c r="B4469" s="244"/>
      <c r="C4469" s="244"/>
      <c r="D4469" s="115"/>
      <c r="E4469" s="1492"/>
      <c r="F4469" s="1492"/>
      <c r="G4469" s="244"/>
      <c r="H4469" s="138" t="s">
        <v>2515</v>
      </c>
    </row>
    <row r="4470" spans="1:8">
      <c r="A4470" s="244"/>
      <c r="B4470" s="244"/>
      <c r="C4470" s="244"/>
      <c r="D4470" s="115"/>
      <c r="E4470" s="1492"/>
      <c r="F4470" s="1492"/>
      <c r="G4470" s="244"/>
      <c r="H4470" s="138" t="s">
        <v>2516</v>
      </c>
    </row>
    <row r="4471" spans="1:8">
      <c r="A4471" s="244"/>
      <c r="B4471" s="244"/>
      <c r="C4471" s="244"/>
      <c r="D4471" s="115"/>
      <c r="E4471" s="1492"/>
      <c r="F4471" s="1492"/>
      <c r="G4471" s="244"/>
      <c r="H4471" s="138" t="s">
        <v>2481</v>
      </c>
    </row>
    <row r="4472" spans="1:8">
      <c r="A4472" s="244"/>
      <c r="B4472" s="244"/>
      <c r="C4472" s="244"/>
      <c r="D4472" s="115"/>
      <c r="E4472" s="1492"/>
      <c r="F4472" s="1492"/>
      <c r="G4472" s="244"/>
      <c r="H4472" s="138" t="s">
        <v>2505</v>
      </c>
    </row>
    <row r="4473" spans="1:8">
      <c r="A4473" s="244"/>
      <c r="B4473" s="244"/>
      <c r="C4473" s="244"/>
      <c r="D4473" s="115"/>
      <c r="E4473" s="1492"/>
      <c r="F4473" s="1492"/>
      <c r="G4473" s="244"/>
      <c r="H4473" s="138" t="s">
        <v>2473</v>
      </c>
    </row>
    <row r="4474" spans="1:8">
      <c r="A4474" s="244"/>
      <c r="B4474" s="244"/>
      <c r="C4474" s="244"/>
      <c r="D4474" s="115"/>
      <c r="E4474" s="1492"/>
      <c r="F4474" s="1492"/>
      <c r="G4474" s="244"/>
      <c r="H4474" s="138" t="s">
        <v>1283</v>
      </c>
    </row>
    <row r="4475" spans="1:8">
      <c r="A4475" s="244"/>
      <c r="B4475" s="244"/>
      <c r="C4475" s="244"/>
      <c r="D4475" s="115"/>
      <c r="E4475" s="1492"/>
      <c r="F4475" s="1492"/>
      <c r="G4475" s="244"/>
      <c r="H4475" s="138" t="s">
        <v>1215</v>
      </c>
    </row>
    <row r="4476" spans="1:8" ht="15.75" thickBot="1">
      <c r="A4476" s="244"/>
      <c r="B4476" s="244"/>
      <c r="C4476" s="244"/>
      <c r="D4476" s="115"/>
      <c r="E4476" s="1492"/>
      <c r="F4476" s="1492"/>
      <c r="G4476" s="244"/>
      <c r="H4476" s="147" t="s">
        <v>2151</v>
      </c>
    </row>
    <row r="4477" spans="1:8" ht="15.75" thickBot="1">
      <c r="A4477" s="244"/>
      <c r="B4477" s="244"/>
      <c r="C4477" s="244"/>
      <c r="D4477" s="115"/>
      <c r="E4477" s="1492"/>
      <c r="F4477" s="1492"/>
      <c r="G4477" s="244"/>
      <c r="H4477" s="140" t="s">
        <v>2517</v>
      </c>
    </row>
    <row r="4478" spans="1:8">
      <c r="H4478" s="208">
        <v>9829407.8399999999</v>
      </c>
    </row>
    <row r="4479" spans="1:8">
      <c r="A4479" s="270">
        <v>45257</v>
      </c>
      <c r="B4479" s="267"/>
      <c r="C4479" s="267" t="s">
        <v>77</v>
      </c>
      <c r="D4479" s="3" t="s">
        <v>2526</v>
      </c>
      <c r="E4479" s="1497"/>
      <c r="F4479" s="1497">
        <v>234000</v>
      </c>
      <c r="G4479" s="267" t="s">
        <v>72</v>
      </c>
      <c r="H4479" s="3" t="s">
        <v>2525</v>
      </c>
    </row>
    <row r="4480" spans="1:8">
      <c r="A4480" s="270">
        <v>45257</v>
      </c>
      <c r="B4480" s="267"/>
      <c r="C4480" s="267" t="s">
        <v>79</v>
      </c>
      <c r="D4480" s="3" t="s">
        <v>2527</v>
      </c>
      <c r="E4480" s="1497">
        <v>10000</v>
      </c>
      <c r="F4480" s="1497"/>
      <c r="G4480" s="267" t="s">
        <v>56</v>
      </c>
      <c r="H4480" s="3"/>
    </row>
    <row r="4481" spans="1:8">
      <c r="A4481" s="270">
        <v>45257</v>
      </c>
      <c r="B4481" s="267"/>
      <c r="C4481" s="267" t="s">
        <v>156</v>
      </c>
      <c r="D4481" s="3" t="s">
        <v>156</v>
      </c>
      <c r="E4481" s="1497">
        <v>40604.94</v>
      </c>
      <c r="F4481" s="1497"/>
      <c r="G4481" s="267" t="s">
        <v>27</v>
      </c>
      <c r="H4481" s="3"/>
    </row>
    <row r="4482" spans="1:8">
      <c r="A4482" s="270">
        <v>45257</v>
      </c>
      <c r="B4482" s="267"/>
      <c r="C4482" s="267" t="s">
        <v>2190</v>
      </c>
      <c r="D4482" s="3" t="s">
        <v>2528</v>
      </c>
      <c r="E4482" s="1497">
        <v>128086</v>
      </c>
      <c r="F4482" s="1497"/>
      <c r="G4482" s="267" t="s">
        <v>27</v>
      </c>
      <c r="H4482" s="3"/>
    </row>
    <row r="4483" spans="1:8">
      <c r="A4483" s="270">
        <v>45257</v>
      </c>
      <c r="B4483" s="267"/>
      <c r="C4483" s="267" t="s">
        <v>205</v>
      </c>
      <c r="D4483" s="3" t="s">
        <v>2529</v>
      </c>
      <c r="E4483" s="1497">
        <v>24315</v>
      </c>
      <c r="F4483" s="1497"/>
      <c r="G4483" s="267" t="s">
        <v>27</v>
      </c>
      <c r="H4483" s="3"/>
    </row>
    <row r="4484" spans="1:8">
      <c r="A4484" s="270">
        <v>45258</v>
      </c>
      <c r="B4484" s="267"/>
      <c r="C4484" s="267" t="s">
        <v>79</v>
      </c>
      <c r="D4484" s="3" t="s">
        <v>2531</v>
      </c>
      <c r="E4484" s="1497">
        <v>64000</v>
      </c>
      <c r="F4484" s="1497"/>
      <c r="G4484" s="267" t="s">
        <v>27</v>
      </c>
      <c r="H4484" s="3"/>
    </row>
    <row r="4485" spans="1:8">
      <c r="A4485" s="270">
        <v>45258</v>
      </c>
      <c r="B4485" s="267"/>
      <c r="C4485" s="267" t="s">
        <v>205</v>
      </c>
      <c r="D4485" s="3" t="s">
        <v>2531</v>
      </c>
      <c r="E4485" s="1497">
        <v>43741</v>
      </c>
      <c r="F4485" s="1497"/>
      <c r="G4485" s="267" t="s">
        <v>27</v>
      </c>
      <c r="H4485" s="3"/>
    </row>
    <row r="4486" spans="1:8">
      <c r="A4486" s="270">
        <v>45258</v>
      </c>
      <c r="B4486" s="267"/>
      <c r="C4486" s="267" t="s">
        <v>205</v>
      </c>
      <c r="D4486" s="3" t="s">
        <v>190</v>
      </c>
      <c r="E4486" s="1497">
        <v>234000</v>
      </c>
      <c r="F4486" s="1497"/>
      <c r="G4486" s="267" t="s">
        <v>72</v>
      </c>
      <c r="H4486" s="3"/>
    </row>
    <row r="4487" spans="1:8">
      <c r="A4487" s="270">
        <v>45258</v>
      </c>
      <c r="B4487" s="267"/>
      <c r="C4487" s="267" t="s">
        <v>1177</v>
      </c>
      <c r="D4487" s="3" t="s">
        <v>2532</v>
      </c>
      <c r="E4487" s="1497">
        <v>19398.95</v>
      </c>
      <c r="F4487" s="1497"/>
      <c r="G4487" s="267" t="s">
        <v>56</v>
      </c>
      <c r="H4487" s="3"/>
    </row>
    <row r="4488" spans="1:8">
      <c r="A4488" s="270">
        <v>45258</v>
      </c>
      <c r="B4488" s="267"/>
      <c r="C4488" s="267" t="s">
        <v>205</v>
      </c>
      <c r="D4488" s="3" t="s">
        <v>38</v>
      </c>
      <c r="E4488" s="1497">
        <v>1200</v>
      </c>
      <c r="F4488" s="1497"/>
      <c r="G4488" s="267" t="s">
        <v>56</v>
      </c>
      <c r="H4488" s="3"/>
    </row>
    <row r="4489" spans="1:8">
      <c r="A4489" s="270">
        <v>45258</v>
      </c>
      <c r="B4489" s="267"/>
      <c r="C4489" s="267" t="s">
        <v>205</v>
      </c>
      <c r="D4489" s="3" t="s">
        <v>2533</v>
      </c>
      <c r="E4489" s="1497">
        <v>650</v>
      </c>
      <c r="F4489" s="1497"/>
      <c r="G4489" s="267" t="s">
        <v>56</v>
      </c>
      <c r="H4489" s="3"/>
    </row>
    <row r="4490" spans="1:8">
      <c r="A4490" s="270">
        <v>45258</v>
      </c>
      <c r="B4490" s="267"/>
      <c r="C4490" s="267" t="s">
        <v>205</v>
      </c>
      <c r="D4490" s="3" t="s">
        <v>2535</v>
      </c>
      <c r="E4490" s="1497">
        <v>3771</v>
      </c>
      <c r="F4490" s="1497"/>
      <c r="G4490" s="267" t="s">
        <v>56</v>
      </c>
      <c r="H4490" s="3"/>
    </row>
    <row r="4491" spans="1:8">
      <c r="A4491" s="270">
        <v>45258</v>
      </c>
      <c r="B4491" s="267"/>
      <c r="C4491" s="12" t="s">
        <v>79</v>
      </c>
      <c r="D4491" s="89" t="s">
        <v>1852</v>
      </c>
      <c r="E4491" s="12">
        <v>8200</v>
      </c>
      <c r="F4491" s="1497"/>
      <c r="G4491" s="267" t="s">
        <v>56</v>
      </c>
      <c r="H4491" s="3"/>
    </row>
    <row r="4492" spans="1:8">
      <c r="A4492" s="270">
        <v>45258</v>
      </c>
      <c r="B4492" s="267"/>
      <c r="C4492" s="267" t="s">
        <v>86</v>
      </c>
      <c r="D4492" s="3" t="s">
        <v>2534</v>
      </c>
      <c r="E4492" s="1497">
        <v>10000</v>
      </c>
      <c r="F4492" s="1497"/>
      <c r="G4492" s="267" t="s">
        <v>56</v>
      </c>
      <c r="H4492" s="3"/>
    </row>
    <row r="4493" spans="1:8">
      <c r="A4493" s="270">
        <v>45258</v>
      </c>
      <c r="B4493" s="267"/>
      <c r="C4493" s="267" t="s">
        <v>86</v>
      </c>
      <c r="D4493" s="3" t="s">
        <v>2534</v>
      </c>
      <c r="E4493" s="1497">
        <v>10000</v>
      </c>
      <c r="F4493" s="1497"/>
      <c r="G4493" s="267" t="s">
        <v>56</v>
      </c>
      <c r="H4493" s="3"/>
    </row>
    <row r="4494" spans="1:8">
      <c r="A4494" s="270">
        <v>45258</v>
      </c>
      <c r="B4494" s="267"/>
      <c r="C4494" s="267" t="s">
        <v>86</v>
      </c>
      <c r="D4494" s="3" t="s">
        <v>2534</v>
      </c>
      <c r="E4494" s="1497">
        <v>10000</v>
      </c>
      <c r="F4494" s="1497"/>
      <c r="G4494" s="267" t="s">
        <v>56</v>
      </c>
      <c r="H4494" s="3"/>
    </row>
    <row r="4495" spans="1:8">
      <c r="A4495" s="112">
        <v>45258</v>
      </c>
      <c r="B4495" s="70"/>
      <c r="C4495" s="70" t="s">
        <v>79</v>
      </c>
      <c r="D4495" s="113" t="s">
        <v>2538</v>
      </c>
      <c r="E4495" s="70">
        <v>50000</v>
      </c>
      <c r="F4495" s="70"/>
      <c r="G4495" s="70" t="s">
        <v>56</v>
      </c>
      <c r="H4495" s="3"/>
    </row>
    <row r="4496" spans="1:8">
      <c r="A4496" s="270">
        <v>45259</v>
      </c>
      <c r="B4496" s="267"/>
      <c r="C4496" s="267" t="s">
        <v>433</v>
      </c>
      <c r="D4496" s="3" t="s">
        <v>650</v>
      </c>
      <c r="E4496" s="1497">
        <v>9353.2999999999993</v>
      </c>
      <c r="F4496" s="1497"/>
      <c r="G4496" s="267" t="s">
        <v>27</v>
      </c>
      <c r="H4496" s="3"/>
    </row>
    <row r="4497" spans="1:8">
      <c r="A4497" s="270">
        <v>45259</v>
      </c>
      <c r="B4497" s="267"/>
      <c r="C4497" s="267" t="s">
        <v>433</v>
      </c>
      <c r="D4497" s="3" t="s">
        <v>2536</v>
      </c>
      <c r="E4497" s="1497">
        <v>677.6</v>
      </c>
      <c r="F4497" s="1497"/>
      <c r="G4497" s="267" t="s">
        <v>27</v>
      </c>
      <c r="H4497" s="3"/>
    </row>
    <row r="4498" spans="1:8">
      <c r="A4498" s="270">
        <v>45259</v>
      </c>
      <c r="B4498" s="267"/>
      <c r="C4498" s="267" t="s">
        <v>77</v>
      </c>
      <c r="D4498" s="3" t="s">
        <v>1888</v>
      </c>
      <c r="E4498" s="1497"/>
      <c r="F4498" s="1497">
        <v>384300</v>
      </c>
      <c r="G4498" s="267" t="s">
        <v>27</v>
      </c>
      <c r="H4498" s="3" t="s">
        <v>2537</v>
      </c>
    </row>
    <row r="4499" spans="1:8">
      <c r="A4499" s="270">
        <v>45260</v>
      </c>
      <c r="B4499" s="267"/>
      <c r="C4499" s="267" t="s">
        <v>92</v>
      </c>
      <c r="D4499" s="3" t="s">
        <v>2539</v>
      </c>
      <c r="E4499" s="1497">
        <v>19911</v>
      </c>
      <c r="F4499" s="1497"/>
      <c r="G4499" s="267" t="s">
        <v>27</v>
      </c>
      <c r="H4499" s="3"/>
    </row>
    <row r="4500" spans="1:8">
      <c r="A4500" s="270">
        <v>45260</v>
      </c>
      <c r="B4500" s="267"/>
      <c r="C4500" s="267" t="s">
        <v>205</v>
      </c>
      <c r="D4500" s="3" t="s">
        <v>48</v>
      </c>
      <c r="E4500" s="1497">
        <v>101400</v>
      </c>
      <c r="F4500" s="1497"/>
      <c r="G4500" s="267" t="s">
        <v>27</v>
      </c>
      <c r="H4500" s="3"/>
    </row>
    <row r="4501" spans="1:8">
      <c r="A4501" s="270">
        <v>45260</v>
      </c>
      <c r="B4501" s="267"/>
      <c r="C4501" s="267" t="s">
        <v>205</v>
      </c>
      <c r="D4501" s="3" t="s">
        <v>207</v>
      </c>
      <c r="E4501" s="1497">
        <v>103500</v>
      </c>
      <c r="F4501" s="1497"/>
      <c r="G4501" s="267" t="s">
        <v>27</v>
      </c>
      <c r="H4501" s="3"/>
    </row>
    <row r="4502" spans="1:8">
      <c r="A4502" s="270">
        <v>45260</v>
      </c>
      <c r="B4502" s="267"/>
      <c r="C4502" s="267" t="s">
        <v>79</v>
      </c>
      <c r="D4502" s="3" t="s">
        <v>653</v>
      </c>
      <c r="E4502" s="1497"/>
      <c r="F4502" s="1497"/>
      <c r="G4502" s="267" t="s">
        <v>27</v>
      </c>
      <c r="H4502" s="3"/>
    </row>
    <row r="4503" spans="1:8">
      <c r="A4503" s="270">
        <v>45260</v>
      </c>
      <c r="B4503" s="267"/>
      <c r="C4503" s="267" t="s">
        <v>90</v>
      </c>
      <c r="D4503" s="3" t="s">
        <v>514</v>
      </c>
      <c r="E4503" s="1497">
        <v>8000</v>
      </c>
      <c r="F4503" s="1497"/>
      <c r="G4503" s="267" t="s">
        <v>27</v>
      </c>
      <c r="H4503" s="3"/>
    </row>
    <row r="4504" spans="1:8">
      <c r="A4504" s="270">
        <v>45260</v>
      </c>
      <c r="B4504" s="267"/>
      <c r="C4504" s="267" t="s">
        <v>77</v>
      </c>
      <c r="D4504" s="3" t="s">
        <v>2540</v>
      </c>
      <c r="E4504" s="1497"/>
      <c r="F4504" s="1497">
        <v>604000</v>
      </c>
      <c r="G4504" s="267" t="s">
        <v>56</v>
      </c>
      <c r="H4504" s="3"/>
    </row>
    <row r="4505" spans="1:8">
      <c r="A4505" s="270">
        <v>45260</v>
      </c>
      <c r="B4505" s="267"/>
      <c r="C4505" s="267" t="s">
        <v>90</v>
      </c>
      <c r="D4505" s="15" t="s">
        <v>2519</v>
      </c>
      <c r="E4505" s="1497">
        <v>4300</v>
      </c>
      <c r="F4505" s="1497"/>
      <c r="G4505" s="267" t="s">
        <v>56</v>
      </c>
      <c r="H4505" s="3"/>
    </row>
    <row r="4506" spans="1:8">
      <c r="A4506" s="270">
        <v>45260</v>
      </c>
      <c r="B4506" s="267"/>
      <c r="C4506" s="267" t="s">
        <v>205</v>
      </c>
      <c r="D4506" s="3" t="s">
        <v>2541</v>
      </c>
      <c r="E4506" s="1497">
        <v>108000</v>
      </c>
      <c r="F4506" s="1497"/>
      <c r="G4506" s="267" t="s">
        <v>56</v>
      </c>
      <c r="H4506" s="3"/>
    </row>
    <row r="4507" spans="1:8">
      <c r="A4507" s="270">
        <v>45260</v>
      </c>
      <c r="B4507" s="267"/>
      <c r="C4507" s="267" t="s">
        <v>176</v>
      </c>
      <c r="D4507" s="3" t="s">
        <v>2542</v>
      </c>
      <c r="E4507" s="1497">
        <v>4000</v>
      </c>
      <c r="F4507" s="1497"/>
      <c r="G4507" s="267" t="s">
        <v>56</v>
      </c>
      <c r="H4507" s="3"/>
    </row>
    <row r="4508" spans="1:8">
      <c r="A4508" s="270">
        <v>45260</v>
      </c>
      <c r="B4508" s="267"/>
      <c r="C4508" s="267" t="s">
        <v>205</v>
      </c>
      <c r="D4508" s="3" t="s">
        <v>2543</v>
      </c>
      <c r="E4508" s="1497">
        <v>575360</v>
      </c>
      <c r="F4508" s="1497"/>
      <c r="G4508" s="267" t="s">
        <v>27</v>
      </c>
      <c r="H4508" s="3" t="s">
        <v>2544</v>
      </c>
    </row>
    <row r="4509" spans="1:8" ht="15.75" thickBot="1">
      <c r="A4509" s="270">
        <v>45260</v>
      </c>
      <c r="B4509" s="267"/>
      <c r="C4509" s="267" t="s">
        <v>79</v>
      </c>
      <c r="D4509" s="3"/>
      <c r="E4509" s="1497" t="s">
        <v>2545</v>
      </c>
      <c r="F4509" s="1497"/>
      <c r="G4509" s="267" t="s">
        <v>27</v>
      </c>
      <c r="H4509" s="85"/>
    </row>
    <row r="4510" spans="1:8" ht="15.75" thickBot="1">
      <c r="A4510" s="148"/>
      <c r="B4510" s="244"/>
      <c r="C4510" s="244"/>
      <c r="D4510" s="115"/>
      <c r="E4510" s="1492"/>
      <c r="F4510" s="1492"/>
      <c r="G4510" s="244"/>
      <c r="H4510" s="201">
        <v>45257</v>
      </c>
    </row>
    <row r="4511" spans="1:8">
      <c r="A4511" s="148"/>
      <c r="B4511" s="244"/>
      <c r="C4511" s="244"/>
      <c r="D4511" s="115"/>
      <c r="E4511" s="1492"/>
      <c r="F4511" s="1492"/>
      <c r="G4511" s="244"/>
      <c r="H4511" s="199" t="s">
        <v>2423</v>
      </c>
    </row>
    <row r="4512" spans="1:8">
      <c r="A4512" s="148"/>
      <c r="B4512" s="244"/>
      <c r="C4512" s="244"/>
      <c r="D4512" s="115"/>
      <c r="E4512" s="1492"/>
      <c r="F4512" s="1492"/>
      <c r="G4512" s="244"/>
      <c r="H4512" s="137" t="s">
        <v>2507</v>
      </c>
    </row>
    <row r="4513" spans="1:8">
      <c r="A4513" s="148"/>
      <c r="B4513" s="244"/>
      <c r="C4513" s="244"/>
      <c r="D4513" s="115"/>
      <c r="E4513" s="1492"/>
      <c r="F4513" s="1492"/>
      <c r="G4513" s="244"/>
      <c r="H4513" s="138" t="s">
        <v>2515</v>
      </c>
    </row>
    <row r="4514" spans="1:8">
      <c r="A4514" s="148"/>
      <c r="B4514" s="244"/>
      <c r="C4514" s="244"/>
      <c r="D4514" s="115"/>
      <c r="E4514" s="1492"/>
      <c r="F4514" s="1492"/>
      <c r="G4514" s="244"/>
      <c r="H4514" s="138" t="s">
        <v>2516</v>
      </c>
    </row>
    <row r="4515" spans="1:8">
      <c r="A4515" s="148"/>
      <c r="B4515" s="244"/>
      <c r="C4515" s="244"/>
      <c r="D4515" s="115"/>
      <c r="E4515" s="1492"/>
      <c r="F4515" s="1492"/>
      <c r="G4515" s="244"/>
      <c r="H4515" s="138" t="s">
        <v>2481</v>
      </c>
    </row>
    <row r="4516" spans="1:8">
      <c r="A4516" s="244"/>
      <c r="B4516" s="244"/>
      <c r="C4516" s="244"/>
      <c r="D4516" s="115"/>
      <c r="E4516" s="1492"/>
      <c r="F4516" s="1492"/>
      <c r="G4516" s="244"/>
      <c r="H4516" s="138" t="s">
        <v>2505</v>
      </c>
    </row>
    <row r="4517" spans="1:8">
      <c r="A4517" s="244"/>
      <c r="B4517" s="244"/>
      <c r="C4517" s="244"/>
      <c r="D4517" s="115"/>
      <c r="E4517" s="1492"/>
      <c r="F4517" s="1492"/>
      <c r="G4517" s="244"/>
      <c r="H4517" s="138" t="s">
        <v>2473</v>
      </c>
    </row>
    <row r="4518" spans="1:8">
      <c r="A4518" s="148"/>
      <c r="B4518" s="244"/>
      <c r="C4518" s="244"/>
      <c r="D4518" s="115"/>
      <c r="E4518" s="1492"/>
      <c r="F4518" s="1492"/>
      <c r="G4518" s="244"/>
      <c r="H4518" s="138" t="s">
        <v>1283</v>
      </c>
    </row>
    <row r="4519" spans="1:8">
      <c r="A4519" s="148"/>
      <c r="B4519" s="244"/>
      <c r="C4519" s="244"/>
      <c r="D4519" s="115"/>
      <c r="E4519" s="1492"/>
      <c r="F4519" s="1492"/>
      <c r="G4519" s="244"/>
      <c r="H4519" s="138" t="s">
        <v>1215</v>
      </c>
    </row>
    <row r="4520" spans="1:8" ht="15.75" thickBot="1">
      <c r="A4520" s="244"/>
      <c r="B4520" s="244"/>
      <c r="C4520" s="244"/>
      <c r="D4520" s="115"/>
      <c r="E4520" s="1492"/>
      <c r="F4520" s="1492"/>
      <c r="G4520" s="244"/>
      <c r="H4520" s="147" t="s">
        <v>2151</v>
      </c>
    </row>
    <row r="4521" spans="1:8" ht="15.75" thickBot="1">
      <c r="A4521" s="244"/>
      <c r="B4521" s="244"/>
      <c r="C4521" s="244"/>
      <c r="D4521" s="115"/>
      <c r="E4521" s="1492"/>
      <c r="F4521" s="1492"/>
      <c r="G4521" s="244"/>
      <c r="H4521" s="140" t="s">
        <v>2517</v>
      </c>
    </row>
    <row r="4522" spans="1:8">
      <c r="A4522" s="244"/>
      <c r="B4522" s="244"/>
      <c r="C4522" s="244"/>
      <c r="D4522" s="115"/>
      <c r="E4522" s="1492"/>
      <c r="F4522" s="1492"/>
      <c r="G4522" s="244"/>
      <c r="H4522" s="208">
        <v>9829407.8399999999</v>
      </c>
    </row>
    <row r="4523" spans="1:8">
      <c r="A4523" s="270">
        <v>45261</v>
      </c>
      <c r="B4523" s="267"/>
      <c r="C4523" s="267" t="s">
        <v>2190</v>
      </c>
      <c r="D4523" s="3" t="s">
        <v>2211</v>
      </c>
      <c r="E4523" s="1497">
        <v>133497</v>
      </c>
      <c r="F4523" s="1497"/>
      <c r="G4523" s="267" t="s">
        <v>27</v>
      </c>
      <c r="H4523" s="3"/>
    </row>
    <row r="4524" spans="1:8">
      <c r="A4524" s="270">
        <v>45261</v>
      </c>
      <c r="B4524" s="267"/>
      <c r="C4524" s="267" t="s">
        <v>77</v>
      </c>
      <c r="D4524" s="3" t="s">
        <v>2480</v>
      </c>
      <c r="E4524" s="1497"/>
      <c r="F4524" s="1497">
        <v>45200</v>
      </c>
      <c r="G4524" s="267" t="s">
        <v>27</v>
      </c>
      <c r="H4524" s="3"/>
    </row>
    <row r="4525" spans="1:8">
      <c r="A4525" s="270">
        <v>45261</v>
      </c>
      <c r="B4525" s="267"/>
      <c r="C4525" s="267" t="s">
        <v>77</v>
      </c>
      <c r="D4525" s="3" t="s">
        <v>1888</v>
      </c>
      <c r="E4525" s="1497"/>
      <c r="F4525" s="1497">
        <v>384300</v>
      </c>
      <c r="G4525" s="267" t="s">
        <v>72</v>
      </c>
      <c r="H4525" s="3" t="s">
        <v>2546</v>
      </c>
    </row>
    <row r="4526" spans="1:8">
      <c r="A4526" s="270">
        <v>45261</v>
      </c>
      <c r="B4526" s="267"/>
      <c r="C4526" s="267" t="s">
        <v>86</v>
      </c>
      <c r="D4526" s="3" t="s">
        <v>107</v>
      </c>
      <c r="E4526" s="1497">
        <v>6000</v>
      </c>
      <c r="F4526" s="1497"/>
      <c r="G4526" s="267" t="s">
        <v>27</v>
      </c>
      <c r="H4526" s="3"/>
    </row>
    <row r="4527" spans="1:8">
      <c r="A4527" s="270">
        <v>45261</v>
      </c>
      <c r="B4527" s="267"/>
      <c r="C4527" s="267" t="s">
        <v>90</v>
      </c>
      <c r="D4527" s="3" t="s">
        <v>2547</v>
      </c>
      <c r="E4527" s="1497">
        <v>10433.36</v>
      </c>
      <c r="F4527" s="1497"/>
      <c r="G4527" s="267" t="s">
        <v>27</v>
      </c>
      <c r="H4527" s="3"/>
    </row>
    <row r="4528" spans="1:8">
      <c r="A4528" s="270">
        <v>45261</v>
      </c>
      <c r="B4528" s="267"/>
      <c r="C4528" s="267" t="s">
        <v>537</v>
      </c>
      <c r="D4528" s="3" t="s">
        <v>219</v>
      </c>
      <c r="E4528" s="1497">
        <v>50000</v>
      </c>
      <c r="F4528" s="1497"/>
      <c r="G4528" s="267" t="s">
        <v>56</v>
      </c>
      <c r="H4528" s="3"/>
    </row>
    <row r="4529" spans="1:8">
      <c r="A4529" s="270">
        <v>45261</v>
      </c>
      <c r="B4529" s="267"/>
      <c r="C4529" s="267" t="s">
        <v>537</v>
      </c>
      <c r="D4529" s="3" t="s">
        <v>2428</v>
      </c>
      <c r="E4529" s="1497">
        <v>50000</v>
      </c>
      <c r="F4529" s="1497"/>
      <c r="G4529" s="267" t="s">
        <v>27</v>
      </c>
      <c r="H4529" s="3"/>
    </row>
    <row r="4530" spans="1:8">
      <c r="A4530" s="270">
        <v>45261</v>
      </c>
      <c r="B4530" s="267"/>
      <c r="C4530" s="267" t="s">
        <v>537</v>
      </c>
      <c r="D4530" s="3" t="s">
        <v>193</v>
      </c>
      <c r="E4530" s="1497">
        <v>45000</v>
      </c>
      <c r="F4530" s="1497"/>
      <c r="G4530" s="267" t="s">
        <v>56</v>
      </c>
      <c r="H4530" s="3"/>
    </row>
    <row r="4531" spans="1:8">
      <c r="A4531" s="270">
        <v>45261</v>
      </c>
      <c r="B4531" s="267"/>
      <c r="C4531" s="267" t="s">
        <v>205</v>
      </c>
      <c r="D4531" s="15" t="s">
        <v>2548</v>
      </c>
      <c r="E4531" s="1497">
        <v>70000</v>
      </c>
      <c r="F4531" s="1497"/>
      <c r="G4531" s="267" t="s">
        <v>56</v>
      </c>
      <c r="H4531" s="3"/>
    </row>
    <row r="4532" spans="1:8" ht="15.75" thickBot="1">
      <c r="H4532" s="209">
        <v>45261</v>
      </c>
    </row>
    <row r="4533" spans="1:8">
      <c r="H4533" s="199" t="s">
        <v>2423</v>
      </c>
    </row>
    <row r="4534" spans="1:8">
      <c r="H4534" s="137" t="s">
        <v>2550</v>
      </c>
    </row>
    <row r="4535" spans="1:8">
      <c r="H4535" s="138" t="s">
        <v>2551</v>
      </c>
    </row>
    <row r="4536" spans="1:8">
      <c r="H4536" s="138" t="s">
        <v>2549</v>
      </c>
    </row>
    <row r="4537" spans="1:8">
      <c r="H4537" s="138" t="s">
        <v>2481</v>
      </c>
    </row>
    <row r="4538" spans="1:8">
      <c r="H4538" s="138" t="s">
        <v>2505</v>
      </c>
    </row>
    <row r="4539" spans="1:8">
      <c r="H4539" s="138" t="s">
        <v>2473</v>
      </c>
    </row>
    <row r="4540" spans="1:8">
      <c r="H4540" s="138" t="s">
        <v>2563</v>
      </c>
    </row>
    <row r="4541" spans="1:8">
      <c r="H4541" s="138" t="s">
        <v>1215</v>
      </c>
    </row>
    <row r="4542" spans="1:8" ht="15.75" thickBot="1">
      <c r="H4542" s="147" t="s">
        <v>2151</v>
      </c>
    </row>
    <row r="4543" spans="1:8" ht="15.75" thickBot="1">
      <c r="H4543" s="140" t="s">
        <v>2517</v>
      </c>
    </row>
    <row r="4544" spans="1:8">
      <c r="H4544" s="208">
        <v>9829407.8399999999</v>
      </c>
    </row>
    <row r="4545" spans="1:8">
      <c r="A4545" s="270">
        <v>45264</v>
      </c>
      <c r="B4545" s="267"/>
      <c r="C4545" s="267" t="s">
        <v>205</v>
      </c>
      <c r="D4545" s="3" t="s">
        <v>12</v>
      </c>
      <c r="E4545" s="1497">
        <v>500000</v>
      </c>
      <c r="F4545" s="1497"/>
      <c r="G4545" s="267" t="s">
        <v>27</v>
      </c>
      <c r="H4545" s="3"/>
    </row>
    <row r="4546" spans="1:8">
      <c r="A4546" s="13">
        <v>45264</v>
      </c>
      <c r="B4546" s="12"/>
      <c r="C4546" s="12" t="s">
        <v>205</v>
      </c>
      <c r="D4546" s="89" t="s">
        <v>1845</v>
      </c>
      <c r="E4546" s="12">
        <v>4500</v>
      </c>
      <c r="F4546" s="12"/>
      <c r="G4546" s="12" t="s">
        <v>56</v>
      </c>
      <c r="H4546" s="3"/>
    </row>
    <row r="4547" spans="1:8">
      <c r="A4547" s="270">
        <v>45264</v>
      </c>
      <c r="B4547" s="267"/>
      <c r="C4547" s="267" t="s">
        <v>730</v>
      </c>
      <c r="D4547" s="3" t="s">
        <v>1479</v>
      </c>
      <c r="E4547" s="1497">
        <v>30000</v>
      </c>
      <c r="F4547" s="1497"/>
      <c r="G4547" s="267" t="s">
        <v>27</v>
      </c>
      <c r="H4547" s="3"/>
    </row>
    <row r="4548" spans="1:8">
      <c r="A4548" s="270">
        <v>45264</v>
      </c>
      <c r="B4548" s="267"/>
      <c r="C4548" s="267" t="s">
        <v>103</v>
      </c>
      <c r="D4548" s="3" t="s">
        <v>22</v>
      </c>
      <c r="E4548" s="1497">
        <v>9497.41</v>
      </c>
      <c r="F4548" s="1497"/>
      <c r="G4548" s="267" t="s">
        <v>27</v>
      </c>
      <c r="H4548" s="3"/>
    </row>
    <row r="4549" spans="1:8">
      <c r="A4549" s="270">
        <v>45264</v>
      </c>
      <c r="B4549" s="267"/>
      <c r="C4549" s="267" t="s">
        <v>537</v>
      </c>
      <c r="D4549" s="3" t="s">
        <v>208</v>
      </c>
      <c r="E4549" s="1497">
        <v>57500</v>
      </c>
      <c r="F4549" s="1497"/>
      <c r="G4549" s="267" t="s">
        <v>56</v>
      </c>
      <c r="H4549" s="3"/>
    </row>
    <row r="4550" spans="1:8">
      <c r="A4550" s="270">
        <v>45264</v>
      </c>
      <c r="B4550" s="267"/>
      <c r="C4550" s="267" t="s">
        <v>537</v>
      </c>
      <c r="D4550" s="3" t="s">
        <v>208</v>
      </c>
      <c r="E4550" s="1497">
        <v>44000</v>
      </c>
      <c r="F4550" s="1497"/>
      <c r="G4550" s="267" t="s">
        <v>56</v>
      </c>
      <c r="H4550" s="3"/>
    </row>
    <row r="4551" spans="1:8">
      <c r="A4551" s="270">
        <v>45264</v>
      </c>
      <c r="B4551" s="267"/>
      <c r="C4551" s="267" t="s">
        <v>79</v>
      </c>
      <c r="D4551" s="3" t="s">
        <v>2375</v>
      </c>
      <c r="E4551" s="1497">
        <v>11851.74</v>
      </c>
      <c r="F4551" s="1497"/>
      <c r="G4551" s="267" t="s">
        <v>27</v>
      </c>
      <c r="H4551" s="3"/>
    </row>
    <row r="4552" spans="1:8">
      <c r="A4552" s="270">
        <v>45265</v>
      </c>
      <c r="B4552" s="267"/>
      <c r="C4552" s="267" t="s">
        <v>79</v>
      </c>
      <c r="D4552" s="3" t="s">
        <v>2375</v>
      </c>
      <c r="E4552" s="1497">
        <v>9473.76</v>
      </c>
      <c r="F4552" s="1497"/>
      <c r="G4552" s="267" t="s">
        <v>27</v>
      </c>
      <c r="H4552" s="3"/>
    </row>
    <row r="4553" spans="1:8">
      <c r="A4553" s="270">
        <v>45265</v>
      </c>
      <c r="B4553" s="267"/>
      <c r="C4553" s="267" t="s">
        <v>174</v>
      </c>
      <c r="D4553" s="3" t="s">
        <v>2188</v>
      </c>
      <c r="E4553" s="1497">
        <v>14450</v>
      </c>
      <c r="F4553" s="1497"/>
      <c r="G4553" s="267" t="s">
        <v>27</v>
      </c>
      <c r="H4553" s="3"/>
    </row>
    <row r="4554" spans="1:8">
      <c r="A4554" s="270">
        <v>45265</v>
      </c>
      <c r="B4554" s="267"/>
      <c r="C4554" s="267" t="s">
        <v>174</v>
      </c>
      <c r="D4554" s="3" t="s">
        <v>2552</v>
      </c>
      <c r="E4554" s="1497">
        <v>3680</v>
      </c>
      <c r="F4554" s="1497"/>
      <c r="G4554" s="267" t="s">
        <v>27</v>
      </c>
      <c r="H4554" s="3"/>
    </row>
    <row r="4555" spans="1:8">
      <c r="A4555" s="270">
        <v>45265</v>
      </c>
      <c r="B4555" s="267"/>
      <c r="C4555" s="267" t="s">
        <v>174</v>
      </c>
      <c r="D4555" s="3" t="s">
        <v>2553</v>
      </c>
      <c r="E4555" s="1497">
        <v>3680</v>
      </c>
      <c r="F4555" s="1497"/>
      <c r="G4555" s="267" t="s">
        <v>27</v>
      </c>
      <c r="H4555" s="3"/>
    </row>
    <row r="4556" spans="1:8">
      <c r="A4556" s="270">
        <v>45265</v>
      </c>
      <c r="B4556" s="267"/>
      <c r="C4556" s="267" t="s">
        <v>92</v>
      </c>
      <c r="D4556" s="3" t="s">
        <v>2554</v>
      </c>
      <c r="E4556" s="1497">
        <v>265435.40000000002</v>
      </c>
      <c r="F4556" s="1497"/>
      <c r="G4556" s="267" t="s">
        <v>27</v>
      </c>
      <c r="H4556" s="3"/>
    </row>
    <row r="4557" spans="1:8">
      <c r="A4557" s="270">
        <v>45265</v>
      </c>
      <c r="B4557" s="267"/>
      <c r="C4557" s="267" t="s">
        <v>55</v>
      </c>
      <c r="D4557" s="15" t="s">
        <v>63</v>
      </c>
      <c r="E4557" s="1497">
        <v>3100</v>
      </c>
      <c r="F4557" s="1497"/>
      <c r="G4557" s="267" t="s">
        <v>56</v>
      </c>
      <c r="H4557" s="3"/>
    </row>
    <row r="4558" spans="1:8">
      <c r="A4558" s="270">
        <v>45265</v>
      </c>
      <c r="B4558" s="267"/>
      <c r="C4558" s="267" t="s">
        <v>86</v>
      </c>
      <c r="D4558" s="3" t="s">
        <v>2555</v>
      </c>
      <c r="E4558" s="1497">
        <v>10000</v>
      </c>
      <c r="F4558" s="1497"/>
      <c r="G4558" s="267" t="s">
        <v>56</v>
      </c>
      <c r="H4558" s="167" t="s">
        <v>2556</v>
      </c>
    </row>
    <row r="4559" spans="1:8">
      <c r="A4559" s="270">
        <v>45265</v>
      </c>
      <c r="B4559" s="267"/>
      <c r="C4559" s="267" t="s">
        <v>205</v>
      </c>
      <c r="D4559" s="3" t="s">
        <v>63</v>
      </c>
      <c r="E4559" s="1497">
        <v>3100</v>
      </c>
      <c r="F4559" s="1497"/>
      <c r="G4559" s="267" t="s">
        <v>56</v>
      </c>
      <c r="H4559" s="167" t="s">
        <v>2556</v>
      </c>
    </row>
    <row r="4560" spans="1:8">
      <c r="A4560" s="270">
        <v>45265</v>
      </c>
      <c r="B4560" s="267"/>
      <c r="C4560" s="267" t="s">
        <v>94</v>
      </c>
      <c r="D4560" s="3" t="s">
        <v>17</v>
      </c>
      <c r="E4560" s="1497">
        <v>7980.52</v>
      </c>
      <c r="F4560" s="1497"/>
      <c r="G4560" s="267" t="s">
        <v>27</v>
      </c>
      <c r="H4560" s="3"/>
    </row>
    <row r="4561" spans="1:8">
      <c r="A4561" s="270">
        <v>45266</v>
      </c>
      <c r="B4561" s="267"/>
      <c r="C4561" s="267" t="s">
        <v>92</v>
      </c>
      <c r="D4561" s="3" t="s">
        <v>1289</v>
      </c>
      <c r="E4561" s="1497"/>
      <c r="F4561" s="1497">
        <v>6400</v>
      </c>
      <c r="G4561" s="267" t="s">
        <v>27</v>
      </c>
      <c r="H4561" s="3"/>
    </row>
    <row r="4562" spans="1:8">
      <c r="A4562" s="270">
        <v>45266</v>
      </c>
      <c r="B4562" s="267"/>
      <c r="C4562" s="267" t="s">
        <v>1177</v>
      </c>
      <c r="D4562" s="3" t="s">
        <v>2557</v>
      </c>
      <c r="E4562" s="1497">
        <v>9600</v>
      </c>
      <c r="F4562" s="1497"/>
      <c r="G4562" s="267" t="s">
        <v>56</v>
      </c>
      <c r="H4562" s="3"/>
    </row>
    <row r="4563" spans="1:8">
      <c r="A4563" s="270">
        <v>45266</v>
      </c>
      <c r="B4563" s="267"/>
      <c r="C4563" s="267" t="s">
        <v>92</v>
      </c>
      <c r="D4563" s="3" t="s">
        <v>2558</v>
      </c>
      <c r="E4563" s="1497"/>
      <c r="F4563" s="1497">
        <v>100000</v>
      </c>
      <c r="G4563" s="267" t="s">
        <v>56</v>
      </c>
      <c r="H4563" s="100">
        <v>51000</v>
      </c>
    </row>
    <row r="4564" spans="1:8">
      <c r="A4564" s="270">
        <v>45267</v>
      </c>
      <c r="B4564" s="267"/>
      <c r="C4564" s="267" t="s">
        <v>205</v>
      </c>
      <c r="D4564" s="3" t="s">
        <v>2211</v>
      </c>
      <c r="E4564" s="1497">
        <v>133497</v>
      </c>
      <c r="F4564" s="1497"/>
      <c r="G4564" s="267" t="s">
        <v>27</v>
      </c>
      <c r="H4564" s="3"/>
    </row>
    <row r="4565" spans="1:8">
      <c r="A4565" s="270">
        <v>45267</v>
      </c>
      <c r="B4565" s="267"/>
      <c r="C4565" s="267" t="s">
        <v>92</v>
      </c>
      <c r="D4565" s="3" t="s">
        <v>2559</v>
      </c>
      <c r="E4565" s="1497"/>
      <c r="F4565" s="1497">
        <v>23700</v>
      </c>
      <c r="G4565" s="267" t="s">
        <v>27</v>
      </c>
      <c r="H4565" s="3"/>
    </row>
    <row r="4566" spans="1:8">
      <c r="A4566" s="270">
        <v>45267</v>
      </c>
      <c r="B4566" s="267"/>
      <c r="C4566" s="267" t="s">
        <v>537</v>
      </c>
      <c r="D4566" s="3" t="s">
        <v>208</v>
      </c>
      <c r="E4566" s="1497">
        <v>44000</v>
      </c>
      <c r="F4566" s="1497"/>
      <c r="G4566" s="267" t="s">
        <v>56</v>
      </c>
      <c r="H4566" s="3"/>
    </row>
    <row r="4567" spans="1:8">
      <c r="A4567" s="270">
        <v>45267</v>
      </c>
      <c r="B4567" s="267"/>
      <c r="C4567" s="267" t="s">
        <v>537</v>
      </c>
      <c r="D4567" s="3" t="s">
        <v>144</v>
      </c>
      <c r="E4567" s="1497">
        <v>90000</v>
      </c>
      <c r="F4567" s="1497"/>
      <c r="G4567" s="267" t="s">
        <v>56</v>
      </c>
      <c r="H4567" s="3"/>
    </row>
    <row r="4568" spans="1:8">
      <c r="A4568" s="270">
        <v>45267</v>
      </c>
      <c r="B4568" s="267"/>
      <c r="C4568" s="267" t="s">
        <v>537</v>
      </c>
      <c r="D4568" s="3" t="s">
        <v>219</v>
      </c>
      <c r="E4568" s="1497">
        <v>50000</v>
      </c>
      <c r="F4568" s="1497"/>
      <c r="G4568" s="267" t="s">
        <v>56</v>
      </c>
      <c r="H4568" s="3"/>
    </row>
    <row r="4569" spans="1:8">
      <c r="A4569" s="270">
        <v>45267</v>
      </c>
      <c r="B4569" s="267"/>
      <c r="C4569" s="267" t="s">
        <v>86</v>
      </c>
      <c r="D4569" s="3" t="s">
        <v>104</v>
      </c>
      <c r="E4569" s="1497">
        <v>9500</v>
      </c>
      <c r="F4569" s="1497"/>
      <c r="G4569" s="267" t="s">
        <v>56</v>
      </c>
      <c r="H4569" s="3" t="s">
        <v>2560</v>
      </c>
    </row>
    <row r="4570" spans="1:8">
      <c r="A4570" s="270">
        <v>45267</v>
      </c>
      <c r="B4570" s="267"/>
      <c r="C4570" s="267" t="s">
        <v>831</v>
      </c>
      <c r="D4570" s="3" t="s">
        <v>2561</v>
      </c>
      <c r="E4570" s="1497">
        <v>8980</v>
      </c>
      <c r="F4570" s="1497"/>
      <c r="G4570" s="267" t="s">
        <v>56</v>
      </c>
      <c r="H4570" s="3" t="s">
        <v>2560</v>
      </c>
    </row>
    <row r="4571" spans="1:8" ht="15.75" thickBot="1">
      <c r="A4571" s="270">
        <v>45267</v>
      </c>
      <c r="B4571" s="267"/>
      <c r="C4571" s="267" t="s">
        <v>55</v>
      </c>
      <c r="D4571" s="15" t="s">
        <v>238</v>
      </c>
      <c r="E4571" s="1497">
        <v>760</v>
      </c>
      <c r="F4571" s="1497"/>
      <c r="G4571" s="267" t="s">
        <v>56</v>
      </c>
      <c r="H4571" s="3" t="s">
        <v>2560</v>
      </c>
    </row>
    <row r="4572" spans="1:8" ht="15.75" thickBot="1">
      <c r="A4572" s="267"/>
      <c r="B4572" s="267"/>
      <c r="C4572" s="267"/>
      <c r="D4572" s="3"/>
      <c r="E4572" s="1497"/>
      <c r="F4572" s="1497"/>
      <c r="G4572" s="267"/>
      <c r="H4572" s="201">
        <v>45267</v>
      </c>
    </row>
    <row r="4573" spans="1:8">
      <c r="H4573" s="199" t="s">
        <v>2565</v>
      </c>
    </row>
    <row r="4574" spans="1:8">
      <c r="H4574" s="137" t="s">
        <v>2564</v>
      </c>
    </row>
    <row r="4575" spans="1:8">
      <c r="H4575" s="138" t="s">
        <v>808</v>
      </c>
    </row>
    <row r="4576" spans="1:8">
      <c r="H4576" s="138" t="s">
        <v>2562</v>
      </c>
    </row>
    <row r="4577" spans="1:8">
      <c r="H4577" s="138" t="s">
        <v>2481</v>
      </c>
    </row>
    <row r="4578" spans="1:8">
      <c r="H4578" s="138" t="s">
        <v>2505</v>
      </c>
    </row>
    <row r="4579" spans="1:8">
      <c r="H4579" s="138" t="s">
        <v>2473</v>
      </c>
    </row>
    <row r="4580" spans="1:8">
      <c r="H4580" s="138" t="s">
        <v>2563</v>
      </c>
    </row>
    <row r="4581" spans="1:8">
      <c r="H4581" s="138" t="s">
        <v>1215</v>
      </c>
    </row>
    <row r="4582" spans="1:8" ht="15.75" thickBot="1">
      <c r="H4582" s="147" t="s">
        <v>2151</v>
      </c>
    </row>
    <row r="4583" spans="1:8" ht="15.75" thickBot="1">
      <c r="H4583" s="140" t="s">
        <v>2517</v>
      </c>
    </row>
    <row r="4584" spans="1:8" ht="15.75" thickBot="1">
      <c r="H4584" s="210">
        <v>9829407.8399999999</v>
      </c>
    </row>
    <row r="4585" spans="1:8">
      <c r="A4585" s="270">
        <v>45271</v>
      </c>
      <c r="B4585" s="267"/>
      <c r="C4585" s="267" t="s">
        <v>174</v>
      </c>
      <c r="D4585" s="3" t="s">
        <v>2490</v>
      </c>
      <c r="E4585" s="1497">
        <v>7198</v>
      </c>
      <c r="F4585" s="1497"/>
      <c r="G4585" s="267" t="s">
        <v>27</v>
      </c>
      <c r="H4585" s="5"/>
    </row>
    <row r="4586" spans="1:8">
      <c r="A4586" s="270">
        <v>45271</v>
      </c>
      <c r="B4586" s="267"/>
      <c r="C4586" s="267" t="s">
        <v>55</v>
      </c>
      <c r="D4586" s="3" t="s">
        <v>70</v>
      </c>
      <c r="E4586" s="1497">
        <v>2000</v>
      </c>
      <c r="F4586" s="1497"/>
      <c r="G4586" s="267" t="s">
        <v>56</v>
      </c>
      <c r="H4586" s="3"/>
    </row>
    <row r="4587" spans="1:8">
      <c r="A4587" s="270">
        <v>45271</v>
      </c>
      <c r="B4587" s="267"/>
      <c r="C4587" s="267" t="s">
        <v>86</v>
      </c>
      <c r="D4587" s="3" t="s">
        <v>195</v>
      </c>
      <c r="E4587" s="1497">
        <v>5000</v>
      </c>
      <c r="F4587" s="1497"/>
      <c r="G4587" s="267" t="s">
        <v>27</v>
      </c>
      <c r="H4587" s="3"/>
    </row>
    <row r="4588" spans="1:8">
      <c r="A4588" s="270">
        <v>45272</v>
      </c>
      <c r="B4588" s="267"/>
      <c r="C4588" s="267" t="s">
        <v>77</v>
      </c>
      <c r="D4588" s="3" t="s">
        <v>1736</v>
      </c>
      <c r="E4588" s="1497"/>
      <c r="F4588" s="1497">
        <v>335000</v>
      </c>
      <c r="G4588" s="267" t="s">
        <v>27</v>
      </c>
      <c r="H4588" s="3"/>
    </row>
    <row r="4589" spans="1:8">
      <c r="A4589" s="270">
        <v>45272</v>
      </c>
      <c r="B4589" s="267"/>
      <c r="C4589" s="267" t="s">
        <v>92</v>
      </c>
      <c r="D4589" s="3" t="s">
        <v>2566</v>
      </c>
      <c r="E4589" s="1497"/>
      <c r="F4589" s="1497">
        <v>51000</v>
      </c>
      <c r="G4589" s="267" t="s">
        <v>56</v>
      </c>
      <c r="H4589" s="3"/>
    </row>
    <row r="4590" spans="1:8">
      <c r="A4590" s="270">
        <v>45272</v>
      </c>
      <c r="B4590" s="267"/>
      <c r="C4590" s="267"/>
      <c r="D4590" s="3" t="s">
        <v>63</v>
      </c>
      <c r="E4590" s="1497">
        <v>2127.52</v>
      </c>
      <c r="F4590" s="1497"/>
      <c r="G4590" s="267" t="s">
        <v>56</v>
      </c>
      <c r="H4590" s="3"/>
    </row>
    <row r="4591" spans="1:8">
      <c r="A4591" s="270">
        <v>45273</v>
      </c>
      <c r="B4591" s="267"/>
      <c r="C4591" s="267" t="s">
        <v>92</v>
      </c>
      <c r="D4591" s="3" t="s">
        <v>855</v>
      </c>
      <c r="E4591" s="1497"/>
      <c r="F4591" s="1497">
        <v>50800</v>
      </c>
      <c r="G4591" s="267" t="s">
        <v>27</v>
      </c>
      <c r="H4591" s="3"/>
    </row>
    <row r="4592" spans="1:8">
      <c r="A4592" s="270">
        <v>45273</v>
      </c>
      <c r="B4592" s="267"/>
      <c r="C4592" s="267" t="s">
        <v>97</v>
      </c>
      <c r="D4592" s="3" t="s">
        <v>2568</v>
      </c>
      <c r="E4592" s="1497">
        <v>20000</v>
      </c>
      <c r="F4592" s="1497"/>
      <c r="G4592" s="267" t="s">
        <v>27</v>
      </c>
      <c r="H4592" s="3"/>
    </row>
    <row r="4593" spans="1:8">
      <c r="A4593" s="270">
        <v>45273</v>
      </c>
      <c r="B4593" s="267"/>
      <c r="C4593" s="267" t="s">
        <v>205</v>
      </c>
      <c r="D4593" s="3" t="s">
        <v>38</v>
      </c>
      <c r="E4593" s="1497">
        <v>3100</v>
      </c>
      <c r="F4593" s="1497"/>
      <c r="G4593" s="267" t="s">
        <v>56</v>
      </c>
      <c r="H4593" s="3"/>
    </row>
    <row r="4594" spans="1:8">
      <c r="A4594" s="270">
        <v>45273</v>
      </c>
      <c r="B4594" s="267"/>
      <c r="C4594" s="267" t="s">
        <v>205</v>
      </c>
      <c r="D4594" s="3" t="s">
        <v>38</v>
      </c>
      <c r="E4594" s="1497">
        <v>648</v>
      </c>
      <c r="F4594" s="1497"/>
      <c r="G4594" s="267" t="s">
        <v>56</v>
      </c>
      <c r="H4594" s="3"/>
    </row>
    <row r="4595" spans="1:8">
      <c r="A4595" s="270">
        <v>45273</v>
      </c>
      <c r="B4595" s="267"/>
      <c r="C4595" s="267" t="s">
        <v>92</v>
      </c>
      <c r="D4595" s="15" t="s">
        <v>63</v>
      </c>
      <c r="E4595" s="1497"/>
      <c r="F4595" s="1497">
        <v>160000</v>
      </c>
      <c r="G4595" s="267" t="s">
        <v>72</v>
      </c>
      <c r="H4595" s="3"/>
    </row>
    <row r="4596" spans="1:8">
      <c r="A4596" s="270">
        <v>45273</v>
      </c>
      <c r="B4596" s="267"/>
      <c r="C4596" s="267" t="s">
        <v>92</v>
      </c>
      <c r="D4596" s="15" t="s">
        <v>63</v>
      </c>
      <c r="E4596" s="1497"/>
      <c r="F4596" s="1497">
        <v>265400</v>
      </c>
      <c r="G4596" s="267" t="s">
        <v>56</v>
      </c>
      <c r="H4596" s="3"/>
    </row>
    <row r="4597" spans="1:8">
      <c r="A4597" s="270">
        <v>45273</v>
      </c>
      <c r="B4597" s="267"/>
      <c r="C4597" s="267" t="s">
        <v>205</v>
      </c>
      <c r="D4597" s="3" t="s">
        <v>207</v>
      </c>
      <c r="E4597" s="1497">
        <v>82100</v>
      </c>
      <c r="F4597" s="1497"/>
      <c r="G4597" s="267" t="s">
        <v>27</v>
      </c>
      <c r="H4597" s="3"/>
    </row>
    <row r="4598" spans="1:8">
      <c r="A4598" s="270">
        <v>45273</v>
      </c>
      <c r="B4598" s="267"/>
      <c r="C4598" s="267" t="s">
        <v>205</v>
      </c>
      <c r="D4598" s="3" t="s">
        <v>2567</v>
      </c>
      <c r="E4598" s="1497">
        <v>70000</v>
      </c>
      <c r="F4598" s="1497"/>
      <c r="G4598" s="267" t="s">
        <v>27</v>
      </c>
      <c r="H4598" s="3"/>
    </row>
    <row r="4599" spans="1:8">
      <c r="A4599" s="270">
        <v>45274</v>
      </c>
      <c r="B4599" s="267"/>
      <c r="C4599" s="267" t="s">
        <v>79</v>
      </c>
      <c r="D4599" s="3" t="s">
        <v>2531</v>
      </c>
      <c r="E4599" s="1497">
        <v>63000</v>
      </c>
      <c r="F4599" s="1497"/>
      <c r="G4599" s="267" t="s">
        <v>27</v>
      </c>
      <c r="H4599" s="3"/>
    </row>
    <row r="4600" spans="1:8">
      <c r="A4600" s="270">
        <v>45274</v>
      </c>
      <c r="B4600" s="267"/>
      <c r="C4600" s="267" t="s">
        <v>68</v>
      </c>
      <c r="D4600" s="3" t="s">
        <v>2519</v>
      </c>
      <c r="E4600" s="1497">
        <v>4300</v>
      </c>
      <c r="F4600" s="1497"/>
      <c r="G4600" s="267" t="s">
        <v>56</v>
      </c>
      <c r="H4600" s="3"/>
    </row>
    <row r="4601" spans="1:8">
      <c r="A4601" s="270">
        <v>45274</v>
      </c>
      <c r="B4601" s="267"/>
      <c r="C4601" s="267" t="s">
        <v>94</v>
      </c>
      <c r="D4601" s="3" t="s">
        <v>2539</v>
      </c>
      <c r="E4601" s="1497">
        <v>4931.13</v>
      </c>
      <c r="F4601" s="1497"/>
      <c r="G4601" s="267" t="s">
        <v>27</v>
      </c>
      <c r="H4601" s="3"/>
    </row>
    <row r="4602" spans="1:8">
      <c r="A4602" s="270">
        <v>45275</v>
      </c>
      <c r="B4602" s="267"/>
      <c r="C4602" s="267" t="s">
        <v>77</v>
      </c>
      <c r="D4602" s="3" t="s">
        <v>514</v>
      </c>
      <c r="E4602" s="1497">
        <v>1400</v>
      </c>
      <c r="F4602" s="1497"/>
      <c r="G4602" s="267" t="s">
        <v>27</v>
      </c>
      <c r="H4602" s="3"/>
    </row>
    <row r="4603" spans="1:8">
      <c r="A4603" s="270">
        <v>45275</v>
      </c>
      <c r="B4603" s="267"/>
      <c r="C4603" s="267" t="s">
        <v>88</v>
      </c>
      <c r="D4603" s="3" t="s">
        <v>750</v>
      </c>
      <c r="E4603" s="1497">
        <v>110000</v>
      </c>
      <c r="F4603" s="1497"/>
      <c r="G4603" s="267" t="s">
        <v>56</v>
      </c>
      <c r="H4603" s="3"/>
    </row>
    <row r="4604" spans="1:8">
      <c r="A4604" s="270">
        <v>45275</v>
      </c>
      <c r="B4604" s="267"/>
      <c r="C4604" s="267" t="s">
        <v>88</v>
      </c>
      <c r="D4604" s="3" t="s">
        <v>220</v>
      </c>
      <c r="E4604" s="1497">
        <v>66000</v>
      </c>
      <c r="F4604" s="1497"/>
      <c r="G4604" s="267" t="s">
        <v>56</v>
      </c>
      <c r="H4604" s="3"/>
    </row>
    <row r="4605" spans="1:8">
      <c r="A4605" s="270">
        <v>45275</v>
      </c>
      <c r="B4605" s="267"/>
      <c r="C4605" s="267" t="s">
        <v>88</v>
      </c>
      <c r="D4605" s="3" t="s">
        <v>144</v>
      </c>
      <c r="E4605" s="1497">
        <v>70000</v>
      </c>
      <c r="F4605" s="1497"/>
      <c r="G4605" s="267" t="s">
        <v>56</v>
      </c>
      <c r="H4605" s="3"/>
    </row>
    <row r="4606" spans="1:8">
      <c r="A4606" s="270">
        <v>45275</v>
      </c>
      <c r="B4606" s="267"/>
      <c r="C4606" s="267" t="s">
        <v>88</v>
      </c>
      <c r="D4606" s="15" t="s">
        <v>144</v>
      </c>
      <c r="E4606" s="1497">
        <v>65000</v>
      </c>
      <c r="F4606" s="1497"/>
      <c r="G4606" s="267" t="s">
        <v>56</v>
      </c>
      <c r="H4606" s="3"/>
    </row>
    <row r="4607" spans="1:8">
      <c r="A4607" s="270">
        <v>45275</v>
      </c>
      <c r="B4607" s="267"/>
      <c r="C4607" s="267" t="s">
        <v>88</v>
      </c>
      <c r="D4607" s="15" t="s">
        <v>193</v>
      </c>
      <c r="E4607" s="1497">
        <v>45000</v>
      </c>
      <c r="F4607" s="1497"/>
      <c r="G4607" s="267" t="s">
        <v>56</v>
      </c>
      <c r="H4607" s="3"/>
    </row>
    <row r="4608" spans="1:8">
      <c r="A4608" s="270">
        <v>45275</v>
      </c>
      <c r="B4608" s="267"/>
      <c r="C4608" s="267" t="s">
        <v>205</v>
      </c>
      <c r="D4608" s="15" t="s">
        <v>38</v>
      </c>
      <c r="E4608" s="1497">
        <v>500</v>
      </c>
      <c r="F4608" s="1497"/>
      <c r="G4608" s="267" t="s">
        <v>27</v>
      </c>
      <c r="H4608" s="3"/>
    </row>
    <row r="4609" spans="1:8">
      <c r="A4609" s="270">
        <v>45275</v>
      </c>
      <c r="B4609" s="267"/>
      <c r="C4609" s="267" t="s">
        <v>205</v>
      </c>
      <c r="D4609" s="3" t="s">
        <v>2569</v>
      </c>
      <c r="E4609" s="1497">
        <v>375000</v>
      </c>
      <c r="F4609" s="1497"/>
      <c r="G4609" s="267" t="s">
        <v>56</v>
      </c>
      <c r="H4609" s="3"/>
    </row>
    <row r="4610" spans="1:8">
      <c r="A4610" s="270">
        <v>45275</v>
      </c>
      <c r="B4610" s="267"/>
      <c r="C4610" s="267" t="s">
        <v>205</v>
      </c>
      <c r="D4610" s="3" t="s">
        <v>2570</v>
      </c>
      <c r="E4610" s="1497">
        <v>3500</v>
      </c>
      <c r="F4610" s="1497"/>
      <c r="G4610" s="267" t="s">
        <v>56</v>
      </c>
      <c r="H4610" s="3"/>
    </row>
    <row r="4611" spans="1:8" ht="15.75" thickBot="1">
      <c r="A4611" s="270">
        <v>45275</v>
      </c>
      <c r="B4611" s="267"/>
      <c r="C4611" s="267" t="s">
        <v>1597</v>
      </c>
      <c r="D4611" s="3" t="s">
        <v>2077</v>
      </c>
      <c r="E4611" s="1497"/>
      <c r="F4611" s="1497">
        <v>8900</v>
      </c>
      <c r="G4611" s="267" t="s">
        <v>27</v>
      </c>
      <c r="H4611" s="115"/>
    </row>
    <row r="4612" spans="1:8" ht="15.75" thickBot="1">
      <c r="A4612" s="267"/>
      <c r="B4612" s="267"/>
      <c r="C4612" s="267"/>
      <c r="D4612" s="3"/>
      <c r="E4612" s="1497"/>
      <c r="F4612" s="1497"/>
      <c r="G4612" s="267"/>
      <c r="H4612" s="201">
        <v>45267</v>
      </c>
    </row>
    <row r="4613" spans="1:8">
      <c r="A4613" s="267"/>
      <c r="B4613" s="267"/>
      <c r="C4613" s="267"/>
      <c r="D4613" s="3"/>
      <c r="E4613" s="1497"/>
      <c r="F4613" s="1497"/>
      <c r="G4613" s="267"/>
      <c r="H4613" s="199" t="s">
        <v>2565</v>
      </c>
    </row>
    <row r="4614" spans="1:8">
      <c r="A4614" s="267"/>
      <c r="B4614" s="267"/>
      <c r="C4614" s="267"/>
      <c r="D4614" s="3"/>
      <c r="E4614" s="1497"/>
      <c r="F4614" s="1497"/>
      <c r="G4614" s="267"/>
      <c r="H4614" s="137" t="s">
        <v>2564</v>
      </c>
    </row>
    <row r="4615" spans="1:8">
      <c r="A4615" s="267"/>
      <c r="B4615" s="267"/>
      <c r="C4615" s="267"/>
      <c r="D4615" s="3"/>
      <c r="E4615" s="1497"/>
      <c r="F4615" s="1497"/>
      <c r="G4615" s="267"/>
      <c r="H4615" s="138" t="s">
        <v>808</v>
      </c>
    </row>
    <row r="4616" spans="1:8">
      <c r="A4616" s="267"/>
      <c r="B4616" s="267"/>
      <c r="C4616" s="267"/>
      <c r="D4616" s="3"/>
      <c r="E4616" s="1497"/>
      <c r="F4616" s="1497"/>
      <c r="G4616" s="267"/>
      <c r="H4616" s="138" t="s">
        <v>2562</v>
      </c>
    </row>
    <row r="4617" spans="1:8">
      <c r="H4617" s="138" t="s">
        <v>2481</v>
      </c>
    </row>
    <row r="4618" spans="1:8">
      <c r="H4618" s="138" t="s">
        <v>2505</v>
      </c>
    </row>
    <row r="4619" spans="1:8">
      <c r="H4619" s="138" t="s">
        <v>2473</v>
      </c>
    </row>
    <row r="4620" spans="1:8">
      <c r="H4620" s="138" t="s">
        <v>2563</v>
      </c>
    </row>
    <row r="4621" spans="1:8">
      <c r="H4621" s="138" t="s">
        <v>1215</v>
      </c>
    </row>
    <row r="4622" spans="1:8" ht="15.75" thickBot="1">
      <c r="H4622" s="147" t="s">
        <v>2151</v>
      </c>
    </row>
    <row r="4623" spans="1:8" ht="15.75" thickBot="1">
      <c r="H4623" s="140" t="s">
        <v>2517</v>
      </c>
    </row>
    <row r="4624" spans="1:8" ht="15.75" thickBot="1">
      <c r="H4624" s="210">
        <v>9829407.8399999999</v>
      </c>
    </row>
    <row r="4625" spans="1:8">
      <c r="A4625" s="270">
        <v>45278</v>
      </c>
      <c r="B4625" s="267"/>
      <c r="C4625" s="267" t="s">
        <v>308</v>
      </c>
      <c r="D4625" s="3" t="s">
        <v>232</v>
      </c>
      <c r="E4625" s="1497">
        <v>40000</v>
      </c>
      <c r="F4625" s="1497"/>
      <c r="G4625" s="267" t="s">
        <v>27</v>
      </c>
      <c r="H4625" s="3"/>
    </row>
    <row r="4626" spans="1:8">
      <c r="A4626" s="270">
        <v>45278</v>
      </c>
      <c r="B4626" s="267"/>
      <c r="C4626" s="267" t="s">
        <v>79</v>
      </c>
      <c r="D4626" s="3" t="s">
        <v>109</v>
      </c>
      <c r="E4626" s="1497">
        <v>13800</v>
      </c>
      <c r="F4626" s="1497"/>
      <c r="G4626" s="267" t="s">
        <v>27</v>
      </c>
      <c r="H4626" s="3"/>
    </row>
    <row r="4627" spans="1:8">
      <c r="A4627" s="270">
        <v>45278</v>
      </c>
      <c r="B4627" s="267"/>
      <c r="C4627" s="267" t="s">
        <v>176</v>
      </c>
      <c r="D4627" s="3" t="s">
        <v>2571</v>
      </c>
      <c r="E4627" s="1497">
        <v>130000</v>
      </c>
      <c r="F4627" s="1497"/>
      <c r="G4627" s="267" t="s">
        <v>97</v>
      </c>
      <c r="H4627" s="3"/>
    </row>
    <row r="4628" spans="1:8">
      <c r="A4628" s="270">
        <v>45278</v>
      </c>
      <c r="B4628" s="267"/>
      <c r="C4628" s="267" t="s">
        <v>2572</v>
      </c>
      <c r="D4628" s="3" t="s">
        <v>2235</v>
      </c>
      <c r="E4628" s="1497"/>
      <c r="F4628" s="1497">
        <v>1786564.38</v>
      </c>
      <c r="G4628" s="267" t="s">
        <v>27</v>
      </c>
      <c r="H4628" s="3"/>
    </row>
    <row r="4629" spans="1:8">
      <c r="A4629" s="270">
        <v>45278</v>
      </c>
      <c r="B4629" s="267"/>
      <c r="C4629" s="267" t="s">
        <v>79</v>
      </c>
      <c r="D4629" s="15" t="s">
        <v>2355</v>
      </c>
      <c r="E4629" s="1497">
        <v>1786000</v>
      </c>
      <c r="F4629" s="1497"/>
      <c r="G4629" s="267" t="s">
        <v>27</v>
      </c>
      <c r="H4629" s="3"/>
    </row>
    <row r="4630" spans="1:8">
      <c r="A4630" s="270">
        <v>45278</v>
      </c>
      <c r="B4630" s="267"/>
      <c r="C4630" s="267" t="s">
        <v>156</v>
      </c>
      <c r="D4630" s="15" t="s">
        <v>156</v>
      </c>
      <c r="E4630" s="1497">
        <v>103889.08</v>
      </c>
      <c r="F4630" s="1497"/>
      <c r="G4630" s="267" t="s">
        <v>27</v>
      </c>
      <c r="H4630" s="3"/>
    </row>
    <row r="4631" spans="1:8">
      <c r="A4631" s="270">
        <v>45278</v>
      </c>
      <c r="B4631" s="267"/>
      <c r="C4631" s="267" t="s">
        <v>1625</v>
      </c>
      <c r="D4631" s="15" t="s">
        <v>2573</v>
      </c>
      <c r="E4631" s="1497"/>
      <c r="F4631" s="1497">
        <v>162000</v>
      </c>
      <c r="G4631" s="267" t="s">
        <v>72</v>
      </c>
      <c r="H4631" s="3"/>
    </row>
    <row r="4632" spans="1:8">
      <c r="A4632" s="270">
        <v>45278</v>
      </c>
      <c r="B4632" s="267"/>
      <c r="C4632" s="267" t="s">
        <v>205</v>
      </c>
      <c r="D4632" s="15" t="s">
        <v>190</v>
      </c>
      <c r="E4632" s="1497">
        <v>18392</v>
      </c>
      <c r="F4632" s="1497"/>
      <c r="G4632" s="267"/>
      <c r="H4632" s="3"/>
    </row>
    <row r="4633" spans="1:8">
      <c r="A4633" s="270">
        <v>45278</v>
      </c>
      <c r="B4633" s="267"/>
      <c r="C4633" s="267" t="s">
        <v>205</v>
      </c>
      <c r="D4633" s="3" t="s">
        <v>238</v>
      </c>
      <c r="E4633" s="1497">
        <v>37500</v>
      </c>
      <c r="F4633" s="1497"/>
      <c r="G4633" s="267" t="s">
        <v>27</v>
      </c>
      <c r="H4633" s="3"/>
    </row>
    <row r="4634" spans="1:8">
      <c r="A4634" s="270">
        <v>45278</v>
      </c>
      <c r="B4634" s="267"/>
      <c r="C4634" s="267" t="s">
        <v>205</v>
      </c>
      <c r="D4634" s="3" t="s">
        <v>2574</v>
      </c>
      <c r="E4634" s="1497"/>
      <c r="F4634" s="1497">
        <v>5000</v>
      </c>
      <c r="G4634" s="267" t="s">
        <v>56</v>
      </c>
      <c r="H4634" s="3"/>
    </row>
    <row r="4635" spans="1:8">
      <c r="A4635" s="270">
        <v>45278</v>
      </c>
      <c r="B4635" s="267"/>
      <c r="C4635" s="267" t="s">
        <v>55</v>
      </c>
      <c r="D4635" s="3" t="s">
        <v>2575</v>
      </c>
      <c r="E4635" s="1497">
        <v>1900</v>
      </c>
      <c r="F4635" s="1497"/>
      <c r="G4635" s="267" t="s">
        <v>56</v>
      </c>
      <c r="H4635" s="3"/>
    </row>
    <row r="4636" spans="1:8">
      <c r="A4636" s="270">
        <v>45278</v>
      </c>
      <c r="B4636" s="267"/>
      <c r="C4636" s="267" t="s">
        <v>92</v>
      </c>
      <c r="D4636" s="3" t="s">
        <v>179</v>
      </c>
      <c r="E4636" s="1497"/>
      <c r="F4636" s="1497">
        <v>498900</v>
      </c>
      <c r="G4636" s="267" t="s">
        <v>27</v>
      </c>
      <c r="H4636" s="3"/>
    </row>
    <row r="4637" spans="1:8">
      <c r="A4637" s="270">
        <v>45278</v>
      </c>
      <c r="B4637" s="267"/>
      <c r="C4637" s="267" t="s">
        <v>92</v>
      </c>
      <c r="D4637" s="3" t="s">
        <v>179</v>
      </c>
      <c r="E4637" s="1497">
        <v>39106.800000000003</v>
      </c>
      <c r="F4637" s="1497"/>
      <c r="G4637" s="267" t="s">
        <v>27</v>
      </c>
      <c r="H4637" s="3"/>
    </row>
    <row r="4638" spans="1:8">
      <c r="A4638" s="270">
        <v>45279</v>
      </c>
      <c r="B4638" s="267"/>
      <c r="C4638" s="267" t="s">
        <v>90</v>
      </c>
      <c r="D4638" s="3" t="s">
        <v>2576</v>
      </c>
      <c r="E4638" s="1497">
        <v>8862.1</v>
      </c>
      <c r="F4638" s="1497"/>
      <c r="G4638" s="267" t="s">
        <v>27</v>
      </c>
      <c r="H4638" s="3"/>
    </row>
    <row r="4639" spans="1:8">
      <c r="A4639" s="270">
        <v>45279</v>
      </c>
      <c r="B4639" s="267"/>
      <c r="C4639" s="267" t="s">
        <v>205</v>
      </c>
      <c r="D4639" s="3" t="s">
        <v>63</v>
      </c>
      <c r="E4639" s="1497">
        <v>1362.61</v>
      </c>
      <c r="F4639" s="1497"/>
      <c r="G4639" s="267" t="s">
        <v>56</v>
      </c>
      <c r="H4639" s="3"/>
    </row>
    <row r="4640" spans="1:8">
      <c r="A4640" s="270">
        <v>45279</v>
      </c>
      <c r="B4640" s="267"/>
      <c r="C4640" s="267" t="s">
        <v>86</v>
      </c>
      <c r="D4640" s="3" t="s">
        <v>104</v>
      </c>
      <c r="E4640" s="1497">
        <v>7000</v>
      </c>
      <c r="F4640" s="1497"/>
      <c r="G4640" s="267" t="s">
        <v>56</v>
      </c>
      <c r="H4640" s="3"/>
    </row>
    <row r="4641" spans="1:8">
      <c r="A4641" s="270">
        <v>45279</v>
      </c>
      <c r="B4641" s="267"/>
      <c r="C4641" s="267" t="s">
        <v>831</v>
      </c>
      <c r="D4641" s="3" t="s">
        <v>2561</v>
      </c>
      <c r="E4641" s="1497">
        <v>5395</v>
      </c>
      <c r="F4641" s="1497"/>
      <c r="G4641" s="267" t="s">
        <v>56</v>
      </c>
      <c r="H4641" s="3"/>
    </row>
    <row r="4642" spans="1:8">
      <c r="A4642" s="270">
        <v>45279</v>
      </c>
      <c r="B4642" s="267"/>
      <c r="C4642" s="267" t="s">
        <v>831</v>
      </c>
      <c r="D4642" s="3" t="s">
        <v>2561</v>
      </c>
      <c r="E4642" s="1497">
        <v>4635</v>
      </c>
      <c r="F4642" s="1497"/>
      <c r="G4642" s="267" t="s">
        <v>56</v>
      </c>
      <c r="H4642" s="3"/>
    </row>
    <row r="4643" spans="1:8">
      <c r="A4643" s="270">
        <v>45279</v>
      </c>
      <c r="B4643" s="267"/>
      <c r="C4643" s="267" t="s">
        <v>55</v>
      </c>
      <c r="D4643" s="3" t="s">
        <v>2575</v>
      </c>
      <c r="E4643" s="1497">
        <v>1600</v>
      </c>
      <c r="F4643" s="1497"/>
      <c r="G4643" s="267" t="s">
        <v>56</v>
      </c>
      <c r="H4643" s="3"/>
    </row>
    <row r="4644" spans="1:8">
      <c r="A4644" s="270">
        <v>45280</v>
      </c>
      <c r="B4644" s="267"/>
      <c r="C4644" s="267" t="s">
        <v>205</v>
      </c>
      <c r="D4644" s="3" t="s">
        <v>48</v>
      </c>
      <c r="E4644" s="1497">
        <v>59000</v>
      </c>
      <c r="F4644" s="1497"/>
      <c r="G4644" s="267" t="s">
        <v>27</v>
      </c>
      <c r="H4644" s="3"/>
    </row>
    <row r="4645" spans="1:8">
      <c r="A4645" s="270">
        <v>45280</v>
      </c>
      <c r="B4645" s="267"/>
      <c r="C4645" s="267" t="s">
        <v>205</v>
      </c>
      <c r="D4645" s="3" t="s">
        <v>113</v>
      </c>
      <c r="E4645" s="1497">
        <v>26000</v>
      </c>
      <c r="F4645" s="1497"/>
      <c r="G4645" s="267" t="s">
        <v>27</v>
      </c>
      <c r="H4645" s="3"/>
    </row>
    <row r="4646" spans="1:8">
      <c r="A4646" s="270">
        <v>45280</v>
      </c>
      <c r="B4646" s="267"/>
      <c r="C4646" s="267" t="s">
        <v>2578</v>
      </c>
      <c r="D4646" s="3" t="s">
        <v>2577</v>
      </c>
      <c r="E4646" s="1497"/>
      <c r="F4646" s="1497">
        <v>25900</v>
      </c>
      <c r="G4646" s="267" t="s">
        <v>56</v>
      </c>
      <c r="H4646" s="3"/>
    </row>
    <row r="4647" spans="1:8">
      <c r="A4647" s="270">
        <v>45281</v>
      </c>
      <c r="B4647" s="267"/>
      <c r="C4647" s="267" t="s">
        <v>79</v>
      </c>
      <c r="D4647" s="3" t="s">
        <v>2579</v>
      </c>
      <c r="E4647" s="1497">
        <v>162000</v>
      </c>
      <c r="F4647" s="1497"/>
      <c r="G4647" s="267" t="s">
        <v>72</v>
      </c>
      <c r="H4647" s="3" t="s">
        <v>2580</v>
      </c>
    </row>
    <row r="4648" spans="1:8">
      <c r="A4648" s="270">
        <v>45281</v>
      </c>
      <c r="B4648" s="267"/>
      <c r="C4648" s="267" t="s">
        <v>79</v>
      </c>
      <c r="D4648" s="3" t="s">
        <v>2579</v>
      </c>
      <c r="E4648" s="1497">
        <v>160000</v>
      </c>
      <c r="F4648" s="1497"/>
      <c r="G4648" s="267" t="s">
        <v>72</v>
      </c>
      <c r="H4648" s="3" t="s">
        <v>63</v>
      </c>
    </row>
    <row r="4649" spans="1:8">
      <c r="A4649" s="270">
        <v>45281</v>
      </c>
      <c r="B4649" s="267"/>
      <c r="C4649" s="267" t="s">
        <v>79</v>
      </c>
      <c r="D4649" s="3" t="s">
        <v>2579</v>
      </c>
      <c r="E4649" s="1497">
        <v>80000</v>
      </c>
      <c r="F4649" s="1497"/>
      <c r="G4649" s="267" t="s">
        <v>72</v>
      </c>
      <c r="H4649" s="3"/>
    </row>
    <row r="4650" spans="1:8">
      <c r="A4650" s="270">
        <v>45281</v>
      </c>
      <c r="B4650" s="267"/>
      <c r="C4650" s="267" t="s">
        <v>79</v>
      </c>
      <c r="D4650" s="3" t="s">
        <v>2581</v>
      </c>
      <c r="E4650" s="1497">
        <v>81564</v>
      </c>
      <c r="F4650" s="1497"/>
      <c r="G4650" s="267" t="s">
        <v>72</v>
      </c>
      <c r="H4650" s="3"/>
    </row>
    <row r="4651" spans="1:8">
      <c r="A4651" s="270">
        <v>45281</v>
      </c>
      <c r="B4651" s="267"/>
      <c r="C4651" s="267" t="s">
        <v>79</v>
      </c>
      <c r="D4651" s="3" t="s">
        <v>2575</v>
      </c>
      <c r="E4651" s="1497">
        <v>5780</v>
      </c>
      <c r="F4651" s="1497"/>
      <c r="G4651" s="267" t="s">
        <v>56</v>
      </c>
      <c r="H4651" s="3"/>
    </row>
    <row r="4652" spans="1:8">
      <c r="A4652" s="270">
        <v>45281</v>
      </c>
      <c r="B4652" s="267"/>
      <c r="C4652" s="267" t="s">
        <v>90</v>
      </c>
      <c r="D4652" s="3" t="s">
        <v>2519</v>
      </c>
      <c r="E4652" s="1497">
        <v>5000</v>
      </c>
      <c r="F4652" s="1497"/>
      <c r="G4652" s="267" t="s">
        <v>56</v>
      </c>
      <c r="H4652" s="3"/>
    </row>
    <row r="4653" spans="1:8">
      <c r="A4653" s="270">
        <v>45281</v>
      </c>
      <c r="B4653" s="267"/>
      <c r="C4653" s="267" t="s">
        <v>79</v>
      </c>
      <c r="D4653" s="15" t="s">
        <v>2582</v>
      </c>
      <c r="E4653" s="1497">
        <v>7078</v>
      </c>
      <c r="F4653" s="1497"/>
      <c r="G4653" s="267" t="s">
        <v>27</v>
      </c>
      <c r="H4653" s="3"/>
    </row>
    <row r="4654" spans="1:8">
      <c r="A4654" s="270">
        <v>45281</v>
      </c>
      <c r="B4654" s="267"/>
      <c r="C4654" s="267" t="s">
        <v>79</v>
      </c>
      <c r="D4654" s="15" t="s">
        <v>2582</v>
      </c>
      <c r="E4654" s="1497">
        <v>33510.800000000003</v>
      </c>
      <c r="F4654" s="1497"/>
      <c r="G4654" s="267" t="s">
        <v>27</v>
      </c>
      <c r="H4654" s="3"/>
    </row>
    <row r="4655" spans="1:8">
      <c r="A4655" s="270">
        <v>45282</v>
      </c>
      <c r="B4655" s="267"/>
      <c r="C4655" s="267" t="s">
        <v>79</v>
      </c>
      <c r="D4655" s="3" t="s">
        <v>2582</v>
      </c>
      <c r="E4655" s="1497">
        <v>7115</v>
      </c>
      <c r="F4655" s="1497"/>
      <c r="G4655" s="267" t="s">
        <v>27</v>
      </c>
      <c r="H4655" s="3"/>
    </row>
    <row r="4656" spans="1:8">
      <c r="A4656" s="270">
        <v>45282</v>
      </c>
      <c r="B4656" s="267"/>
      <c r="C4656" s="267" t="s">
        <v>86</v>
      </c>
      <c r="D4656" s="3" t="s">
        <v>107</v>
      </c>
      <c r="E4656" s="1497">
        <v>7000</v>
      </c>
      <c r="F4656" s="1497"/>
      <c r="G4656" s="267" t="s">
        <v>27</v>
      </c>
      <c r="H4656" s="3"/>
    </row>
    <row r="4657" spans="1:8">
      <c r="A4657" s="270">
        <v>45282</v>
      </c>
      <c r="B4657" s="267"/>
      <c r="C4657" s="267" t="s">
        <v>90</v>
      </c>
      <c r="D4657" s="3" t="s">
        <v>109</v>
      </c>
      <c r="E4657" s="1497">
        <v>4380</v>
      </c>
      <c r="F4657" s="1497"/>
      <c r="G4657" s="267" t="s">
        <v>27</v>
      </c>
      <c r="H4657" s="3"/>
    </row>
    <row r="4658" spans="1:8">
      <c r="A4658" s="270">
        <v>45282</v>
      </c>
      <c r="B4658" s="267"/>
      <c r="C4658" s="267" t="s">
        <v>90</v>
      </c>
      <c r="D4658" s="3" t="s">
        <v>109</v>
      </c>
      <c r="E4658" s="1497">
        <v>8700</v>
      </c>
      <c r="F4658" s="1497"/>
      <c r="G4658" s="267" t="s">
        <v>56</v>
      </c>
      <c r="H4658" s="3"/>
    </row>
    <row r="4659" spans="1:8">
      <c r="A4659" s="270">
        <v>45282</v>
      </c>
      <c r="B4659" s="267"/>
      <c r="C4659" s="267" t="s">
        <v>79</v>
      </c>
      <c r="D4659" s="3" t="s">
        <v>534</v>
      </c>
      <c r="E4659" s="1497">
        <v>10000</v>
      </c>
      <c r="F4659" s="1497"/>
      <c r="G4659" s="267" t="s">
        <v>27</v>
      </c>
      <c r="H4659" s="3"/>
    </row>
    <row r="4660" spans="1:8">
      <c r="A4660" s="270">
        <v>45282</v>
      </c>
      <c r="B4660" s="267"/>
      <c r="C4660" s="267" t="s">
        <v>205</v>
      </c>
      <c r="D4660" s="3" t="s">
        <v>2583</v>
      </c>
      <c r="E4660" s="1497">
        <v>1260</v>
      </c>
      <c r="F4660" s="1497"/>
      <c r="G4660" s="267" t="s">
        <v>56</v>
      </c>
      <c r="H4660" s="3"/>
    </row>
    <row r="4661" spans="1:8">
      <c r="A4661" s="270">
        <v>45282</v>
      </c>
      <c r="B4661" s="267"/>
      <c r="C4661" s="267" t="s">
        <v>77</v>
      </c>
      <c r="D4661" s="3" t="s">
        <v>2584</v>
      </c>
      <c r="E4661" s="1497"/>
      <c r="F4661" s="1497">
        <v>1476000</v>
      </c>
      <c r="G4661" s="267" t="s">
        <v>27</v>
      </c>
      <c r="H4661" s="3"/>
    </row>
    <row r="4662" spans="1:8">
      <c r="A4662" s="270">
        <v>45282</v>
      </c>
      <c r="B4662" s="267"/>
      <c r="C4662" s="267" t="s">
        <v>205</v>
      </c>
      <c r="D4662" s="3" t="s">
        <v>207</v>
      </c>
      <c r="E4662" s="1497">
        <v>60000</v>
      </c>
      <c r="F4662" s="1497"/>
      <c r="G4662" s="267" t="s">
        <v>27</v>
      </c>
      <c r="H4662" s="3"/>
    </row>
    <row r="4663" spans="1:8">
      <c r="A4663" s="270">
        <v>45282</v>
      </c>
      <c r="B4663" s="267"/>
      <c r="C4663" s="267" t="s">
        <v>79</v>
      </c>
      <c r="D4663" s="15" t="s">
        <v>18</v>
      </c>
      <c r="E4663" s="1497">
        <v>127000</v>
      </c>
      <c r="F4663" s="1497"/>
      <c r="G4663" s="267" t="s">
        <v>27</v>
      </c>
      <c r="H4663" s="3"/>
    </row>
    <row r="4664" spans="1:8">
      <c r="A4664" s="270">
        <v>45282</v>
      </c>
      <c r="B4664" s="267"/>
      <c r="C4664" s="267" t="s">
        <v>537</v>
      </c>
      <c r="D4664" s="3" t="s">
        <v>144</v>
      </c>
      <c r="E4664" s="1497">
        <v>70000</v>
      </c>
      <c r="F4664" s="1497"/>
      <c r="G4664" s="267" t="s">
        <v>27</v>
      </c>
      <c r="H4664" s="3"/>
    </row>
    <row r="4665" spans="1:8">
      <c r="A4665" s="270">
        <v>45282</v>
      </c>
      <c r="B4665" s="267"/>
      <c r="C4665" s="267" t="s">
        <v>537</v>
      </c>
      <c r="D4665" s="3" t="s">
        <v>144</v>
      </c>
      <c r="E4665" s="1497">
        <v>65000</v>
      </c>
      <c r="F4665" s="1497"/>
      <c r="G4665" s="267" t="s">
        <v>56</v>
      </c>
      <c r="H4665" s="3"/>
    </row>
    <row r="4666" spans="1:8">
      <c r="A4666" s="270">
        <v>45282</v>
      </c>
      <c r="B4666" s="267"/>
      <c r="C4666" s="267" t="s">
        <v>537</v>
      </c>
      <c r="D4666" s="3" t="s">
        <v>219</v>
      </c>
      <c r="E4666" s="1497">
        <v>90000</v>
      </c>
      <c r="F4666" s="1497"/>
      <c r="G4666" s="267" t="s">
        <v>56</v>
      </c>
      <c r="H4666" s="3"/>
    </row>
    <row r="4667" spans="1:8">
      <c r="A4667" s="270">
        <v>45282</v>
      </c>
      <c r="B4667" s="267"/>
      <c r="C4667" s="267" t="s">
        <v>537</v>
      </c>
      <c r="D4667" s="3" t="s">
        <v>193</v>
      </c>
      <c r="E4667" s="1497">
        <v>45000</v>
      </c>
      <c r="F4667" s="1497"/>
      <c r="G4667" s="267" t="s">
        <v>56</v>
      </c>
      <c r="H4667" s="3"/>
    </row>
    <row r="4668" spans="1:8">
      <c r="A4668" s="270">
        <v>45282</v>
      </c>
      <c r="B4668" s="267"/>
      <c r="C4668" s="267" t="s">
        <v>537</v>
      </c>
      <c r="D4668" s="3" t="s">
        <v>208</v>
      </c>
      <c r="E4668" s="1497">
        <v>66000</v>
      </c>
      <c r="F4668" s="1497"/>
      <c r="G4668" s="267" t="s">
        <v>56</v>
      </c>
      <c r="H4668" s="3"/>
    </row>
    <row r="4669" spans="1:8">
      <c r="A4669" s="270">
        <v>45282</v>
      </c>
      <c r="B4669" s="267"/>
      <c r="C4669" s="267" t="s">
        <v>537</v>
      </c>
      <c r="D4669" s="3" t="s">
        <v>2585</v>
      </c>
      <c r="E4669" s="1497">
        <v>100000</v>
      </c>
      <c r="F4669" s="1497"/>
      <c r="G4669" s="267" t="s">
        <v>56</v>
      </c>
      <c r="H4669" s="3"/>
    </row>
    <row r="4670" spans="1:8">
      <c r="A4670" s="270">
        <v>45282</v>
      </c>
      <c r="B4670" s="267"/>
      <c r="C4670" s="267" t="s">
        <v>88</v>
      </c>
      <c r="D4670" s="3" t="s">
        <v>2586</v>
      </c>
      <c r="E4670" s="1497">
        <v>7000</v>
      </c>
      <c r="F4670" s="1497"/>
      <c r="G4670" s="267" t="s">
        <v>56</v>
      </c>
      <c r="H4670" s="3"/>
    </row>
    <row r="4671" spans="1:8">
      <c r="A4671" s="270">
        <v>45282</v>
      </c>
      <c r="B4671" s="267"/>
      <c r="C4671" s="267" t="s">
        <v>79</v>
      </c>
      <c r="D4671" s="3" t="s">
        <v>79</v>
      </c>
      <c r="E4671" s="1497">
        <v>1894.75</v>
      </c>
      <c r="F4671" s="1497"/>
      <c r="G4671" s="267" t="s">
        <v>56</v>
      </c>
      <c r="H4671" s="3"/>
    </row>
    <row r="4672" spans="1:8">
      <c r="A4672" s="270">
        <v>45282</v>
      </c>
      <c r="B4672" s="267"/>
      <c r="C4672" s="267" t="s">
        <v>92</v>
      </c>
      <c r="D4672" s="3" t="s">
        <v>2587</v>
      </c>
      <c r="E4672" s="1497">
        <v>51150</v>
      </c>
      <c r="F4672" s="1497"/>
      <c r="G4672" s="267" t="s">
        <v>27</v>
      </c>
      <c r="H4672" s="3"/>
    </row>
    <row r="4673" spans="1:8">
      <c r="A4673" s="270">
        <v>45286</v>
      </c>
      <c r="B4673" s="267"/>
      <c r="C4673" s="267" t="s">
        <v>174</v>
      </c>
      <c r="D4673" s="3" t="s">
        <v>1403</v>
      </c>
      <c r="E4673" s="1497">
        <v>11281.65</v>
      </c>
      <c r="F4673" s="1497"/>
      <c r="G4673" s="267" t="s">
        <v>27</v>
      </c>
      <c r="H4673" s="3"/>
    </row>
    <row r="4674" spans="1:8">
      <c r="A4674" s="270">
        <v>45286</v>
      </c>
      <c r="B4674" s="267"/>
      <c r="C4674" s="267" t="s">
        <v>174</v>
      </c>
      <c r="D4674" s="3" t="s">
        <v>526</v>
      </c>
      <c r="E4674" s="1497">
        <v>2773.77</v>
      </c>
      <c r="F4674" s="1497"/>
      <c r="G4674" s="267" t="s">
        <v>27</v>
      </c>
      <c r="H4674" s="3"/>
    </row>
    <row r="4675" spans="1:8">
      <c r="A4675" s="270">
        <v>45286</v>
      </c>
      <c r="B4675" s="267"/>
      <c r="C4675" s="267" t="s">
        <v>174</v>
      </c>
      <c r="D4675" s="3" t="s">
        <v>526</v>
      </c>
      <c r="E4675" s="1497">
        <v>2773.77</v>
      </c>
      <c r="F4675" s="1497"/>
      <c r="G4675" s="267" t="s">
        <v>27</v>
      </c>
      <c r="H4675" s="3"/>
    </row>
    <row r="4676" spans="1:8">
      <c r="A4676" s="270">
        <v>45286</v>
      </c>
      <c r="B4676" s="267"/>
      <c r="C4676" s="267" t="s">
        <v>156</v>
      </c>
      <c r="D4676" s="3" t="s">
        <v>156</v>
      </c>
      <c r="E4676" s="1497">
        <v>40892.46</v>
      </c>
      <c r="F4676" s="1497"/>
      <c r="G4676" s="267" t="s">
        <v>27</v>
      </c>
      <c r="H4676" s="3"/>
    </row>
    <row r="4677" spans="1:8">
      <c r="A4677" s="270">
        <v>45286</v>
      </c>
      <c r="B4677" s="267"/>
      <c r="C4677" s="267" t="s">
        <v>55</v>
      </c>
      <c r="D4677" s="3" t="s">
        <v>2588</v>
      </c>
      <c r="E4677" s="1497">
        <v>9000</v>
      </c>
      <c r="F4677" s="1497"/>
      <c r="G4677" s="267" t="s">
        <v>27</v>
      </c>
      <c r="H4677" s="3"/>
    </row>
    <row r="4678" spans="1:8">
      <c r="A4678" s="270">
        <v>45286</v>
      </c>
      <c r="B4678" s="267"/>
      <c r="C4678" s="267" t="s">
        <v>205</v>
      </c>
      <c r="D4678" s="3" t="s">
        <v>11</v>
      </c>
      <c r="E4678" s="1497">
        <v>500000</v>
      </c>
      <c r="F4678" s="1497"/>
      <c r="G4678" s="267" t="s">
        <v>27</v>
      </c>
      <c r="H4678" s="3"/>
    </row>
    <row r="4679" spans="1:8">
      <c r="A4679" s="270">
        <v>45286</v>
      </c>
      <c r="B4679" s="267"/>
      <c r="C4679" s="267" t="s">
        <v>77</v>
      </c>
      <c r="D4679" s="3" t="s">
        <v>2584</v>
      </c>
      <c r="E4679" s="1497"/>
      <c r="F4679" s="1497">
        <v>100000</v>
      </c>
      <c r="G4679" s="267" t="s">
        <v>27</v>
      </c>
      <c r="H4679" s="3"/>
    </row>
    <row r="4680" spans="1:8">
      <c r="A4680" s="270">
        <v>45286</v>
      </c>
      <c r="B4680" s="267"/>
      <c r="C4680" s="267" t="s">
        <v>537</v>
      </c>
      <c r="D4680" s="3" t="s">
        <v>137</v>
      </c>
      <c r="E4680" s="1497">
        <v>110000</v>
      </c>
      <c r="F4680" s="1497"/>
      <c r="G4680" s="267" t="s">
        <v>56</v>
      </c>
      <c r="H4680" s="3"/>
    </row>
    <row r="4681" spans="1:8">
      <c r="A4681" s="270">
        <v>45286</v>
      </c>
      <c r="B4681" s="267"/>
      <c r="C4681" s="267" t="s">
        <v>79</v>
      </c>
      <c r="D4681" s="3" t="s">
        <v>2531</v>
      </c>
      <c r="E4681" s="1497">
        <v>55000</v>
      </c>
      <c r="F4681" s="1497"/>
      <c r="G4681" s="267" t="s">
        <v>56</v>
      </c>
      <c r="H4681" s="3"/>
    </row>
    <row r="4682" spans="1:8">
      <c r="A4682" s="270">
        <v>45287</v>
      </c>
      <c r="B4682" s="267"/>
      <c r="C4682" s="267" t="s">
        <v>92</v>
      </c>
      <c r="D4682" s="3" t="s">
        <v>2589</v>
      </c>
      <c r="E4682" s="1497">
        <v>12450</v>
      </c>
      <c r="F4682" s="1497"/>
      <c r="G4682" s="267" t="s">
        <v>27</v>
      </c>
      <c r="H4682" s="3"/>
    </row>
    <row r="4683" spans="1:8">
      <c r="A4683" s="270">
        <v>45287</v>
      </c>
      <c r="B4683" s="267"/>
      <c r="C4683" s="267" t="s">
        <v>55</v>
      </c>
      <c r="D4683" s="3" t="s">
        <v>472</v>
      </c>
      <c r="E4683" s="1497">
        <v>11174</v>
      </c>
      <c r="F4683" s="1497"/>
      <c r="G4683" s="267" t="s">
        <v>27</v>
      </c>
      <c r="H4683" s="3"/>
    </row>
    <row r="4684" spans="1:8">
      <c r="A4684" s="270">
        <v>45287</v>
      </c>
      <c r="B4684" s="267"/>
      <c r="C4684" s="267" t="s">
        <v>77</v>
      </c>
      <c r="D4684" s="3" t="s">
        <v>2590</v>
      </c>
      <c r="E4684" s="1497"/>
      <c r="F4684" s="1497">
        <v>2312600</v>
      </c>
      <c r="G4684" s="267" t="s">
        <v>27</v>
      </c>
      <c r="H4684" s="3"/>
    </row>
    <row r="4685" spans="1:8">
      <c r="A4685" s="270">
        <v>45287</v>
      </c>
      <c r="B4685" s="267"/>
      <c r="C4685" s="267" t="s">
        <v>1495</v>
      </c>
      <c r="D4685" s="3" t="s">
        <v>36</v>
      </c>
      <c r="E4685" s="1497">
        <v>54000</v>
      </c>
      <c r="F4685" s="1497"/>
      <c r="G4685" s="267" t="s">
        <v>27</v>
      </c>
      <c r="H4685" s="3" t="s">
        <v>2591</v>
      </c>
    </row>
    <row r="4686" spans="1:8">
      <c r="A4686" s="270">
        <v>45287</v>
      </c>
      <c r="B4686" s="267"/>
      <c r="C4686" s="267" t="s">
        <v>205</v>
      </c>
      <c r="D4686" s="3" t="s">
        <v>2548</v>
      </c>
      <c r="E4686" s="1497">
        <v>15000</v>
      </c>
      <c r="F4686" s="1497"/>
      <c r="G4686" s="267" t="s">
        <v>56</v>
      </c>
      <c r="H4686" s="3"/>
    </row>
    <row r="4687" spans="1:8">
      <c r="A4687" s="270">
        <v>45287</v>
      </c>
      <c r="B4687" s="267"/>
      <c r="C4687" s="267" t="s">
        <v>205</v>
      </c>
      <c r="D4687" s="3" t="s">
        <v>40</v>
      </c>
      <c r="E4687" s="1497">
        <v>12500</v>
      </c>
      <c r="F4687" s="1497"/>
      <c r="G4687" s="267" t="s">
        <v>27</v>
      </c>
      <c r="H4687" s="3"/>
    </row>
    <row r="4688" spans="1:8">
      <c r="A4688" s="270">
        <v>45288</v>
      </c>
      <c r="B4688" s="267"/>
      <c r="C4688" s="267" t="s">
        <v>185</v>
      </c>
      <c r="D4688" s="3" t="s">
        <v>2592</v>
      </c>
      <c r="E4688" s="1497">
        <v>375000</v>
      </c>
      <c r="F4688" s="1497"/>
      <c r="G4688" s="267" t="s">
        <v>27</v>
      </c>
      <c r="H4688" s="3"/>
    </row>
    <row r="4689" spans="1:8">
      <c r="A4689" s="270">
        <v>45288</v>
      </c>
      <c r="B4689" s="267"/>
      <c r="C4689" s="267" t="s">
        <v>176</v>
      </c>
      <c r="D4689" s="3" t="s">
        <v>2593</v>
      </c>
      <c r="E4689" s="1497">
        <v>9100</v>
      </c>
      <c r="F4689" s="1497"/>
      <c r="G4689" s="267" t="s">
        <v>27</v>
      </c>
      <c r="H4689" s="3"/>
    </row>
    <row r="4690" spans="1:8">
      <c r="A4690" s="270">
        <v>41636</v>
      </c>
      <c r="B4690" s="267"/>
      <c r="C4690" s="267" t="s">
        <v>730</v>
      </c>
      <c r="D4690" s="3" t="s">
        <v>1479</v>
      </c>
      <c r="E4690" s="1497">
        <v>35000</v>
      </c>
      <c r="F4690" s="1497"/>
      <c r="G4690" s="267" t="s">
        <v>27</v>
      </c>
      <c r="H4690" s="3"/>
    </row>
    <row r="4691" spans="1:8">
      <c r="A4691" s="270">
        <v>45288</v>
      </c>
      <c r="B4691" s="267"/>
      <c r="C4691" s="267" t="s">
        <v>1625</v>
      </c>
      <c r="D4691" s="3" t="s">
        <v>1888</v>
      </c>
      <c r="E4691" s="1497"/>
      <c r="F4691" s="1497">
        <v>103000</v>
      </c>
      <c r="G4691" s="267" t="s">
        <v>56</v>
      </c>
      <c r="H4691" s="3"/>
    </row>
    <row r="4692" spans="1:8">
      <c r="A4692" s="270">
        <v>41636</v>
      </c>
      <c r="B4692" s="267"/>
      <c r="C4692" s="267" t="s">
        <v>1625</v>
      </c>
      <c r="D4692" s="3" t="s">
        <v>1888</v>
      </c>
      <c r="E4692" s="1497"/>
      <c r="F4692" s="1497">
        <v>100000</v>
      </c>
      <c r="G4692" s="267" t="s">
        <v>72</v>
      </c>
      <c r="H4692" s="3"/>
    </row>
    <row r="4693" spans="1:8">
      <c r="A4693" s="270">
        <v>45288</v>
      </c>
      <c r="B4693" s="267"/>
      <c r="C4693" s="267" t="s">
        <v>55</v>
      </c>
      <c r="D4693" s="3" t="s">
        <v>70</v>
      </c>
      <c r="E4693" s="1497">
        <v>25000</v>
      </c>
      <c r="F4693" s="1497"/>
      <c r="G4693" s="267" t="s">
        <v>56</v>
      </c>
      <c r="H4693" s="3"/>
    </row>
    <row r="4694" spans="1:8">
      <c r="A4694" s="270">
        <v>45288</v>
      </c>
      <c r="B4694" s="267"/>
      <c r="C4694" s="267" t="s">
        <v>90</v>
      </c>
      <c r="D4694" s="3" t="s">
        <v>2594</v>
      </c>
      <c r="E4694" s="1497">
        <v>4000</v>
      </c>
      <c r="F4694" s="1497"/>
      <c r="G4694" s="267" t="s">
        <v>56</v>
      </c>
      <c r="H4694" s="3"/>
    </row>
    <row r="4695" spans="1:8">
      <c r="A4695" s="270">
        <v>45289</v>
      </c>
      <c r="B4695" s="267"/>
      <c r="C4695" s="267" t="s">
        <v>92</v>
      </c>
      <c r="D4695" s="3" t="s">
        <v>347</v>
      </c>
      <c r="E4695" s="1497"/>
      <c r="F4695" s="1497">
        <v>298000</v>
      </c>
      <c r="G4695" s="267" t="s">
        <v>56</v>
      </c>
      <c r="H4695" s="3"/>
    </row>
    <row r="4696" spans="1:8">
      <c r="A4696" s="270">
        <v>45289</v>
      </c>
      <c r="B4696" s="267"/>
      <c r="C4696" s="267" t="s">
        <v>55</v>
      </c>
      <c r="D4696" s="3" t="s">
        <v>60</v>
      </c>
      <c r="E4696" s="1497">
        <v>5400</v>
      </c>
      <c r="F4696" s="1497"/>
      <c r="G4696" s="267" t="s">
        <v>56</v>
      </c>
      <c r="H4696" s="3"/>
    </row>
    <row r="4697" spans="1:8">
      <c r="A4697" s="270">
        <v>45289</v>
      </c>
      <c r="B4697" s="267"/>
      <c r="C4697" s="267" t="s">
        <v>537</v>
      </c>
      <c r="D4697" s="3" t="s">
        <v>219</v>
      </c>
      <c r="E4697" s="1497">
        <v>90000</v>
      </c>
      <c r="F4697" s="1497"/>
      <c r="G4697" s="267" t="s">
        <v>56</v>
      </c>
      <c r="H4697" s="3"/>
    </row>
    <row r="4698" spans="1:8">
      <c r="A4698" s="270">
        <v>45289</v>
      </c>
      <c r="B4698" s="267"/>
      <c r="C4698" s="267" t="s">
        <v>537</v>
      </c>
      <c r="D4698" s="3" t="s">
        <v>144</v>
      </c>
      <c r="E4698" s="1497">
        <v>70000</v>
      </c>
      <c r="F4698" s="1497"/>
      <c r="G4698" s="267" t="s">
        <v>27</v>
      </c>
      <c r="H4698" s="3"/>
    </row>
    <row r="4699" spans="1:8">
      <c r="A4699" s="270">
        <v>45289</v>
      </c>
      <c r="B4699" s="267"/>
      <c r="C4699" s="267" t="s">
        <v>86</v>
      </c>
      <c r="D4699" s="3" t="s">
        <v>86</v>
      </c>
      <c r="E4699" s="1497">
        <v>1000</v>
      </c>
      <c r="F4699" s="1497"/>
      <c r="G4699" s="267" t="s">
        <v>27</v>
      </c>
      <c r="H4699" s="3"/>
    </row>
    <row r="4700" spans="1:8">
      <c r="A4700" s="270">
        <v>45289</v>
      </c>
      <c r="B4700" s="267"/>
      <c r="C4700" s="267" t="s">
        <v>537</v>
      </c>
      <c r="D4700" s="3" t="s">
        <v>193</v>
      </c>
      <c r="E4700" s="1497">
        <v>45000</v>
      </c>
      <c r="F4700" s="1497"/>
      <c r="G4700" s="267" t="s">
        <v>27</v>
      </c>
      <c r="H4700" s="3"/>
    </row>
    <row r="4701" spans="1:8">
      <c r="A4701" s="270">
        <v>45289</v>
      </c>
      <c r="B4701" s="267"/>
      <c r="C4701" s="267" t="s">
        <v>537</v>
      </c>
      <c r="D4701" s="3" t="s">
        <v>144</v>
      </c>
      <c r="E4701" s="1497">
        <v>10000</v>
      </c>
      <c r="F4701" s="1497"/>
      <c r="G4701" s="267" t="s">
        <v>27</v>
      </c>
      <c r="H4701" s="3"/>
    </row>
    <row r="4702" spans="1:8">
      <c r="A4702" s="270">
        <v>45289</v>
      </c>
      <c r="B4702" s="267"/>
      <c r="C4702" s="267" t="s">
        <v>537</v>
      </c>
      <c r="D4702" s="3" t="s">
        <v>144</v>
      </c>
      <c r="E4702" s="1497">
        <v>100000</v>
      </c>
      <c r="F4702" s="1497"/>
      <c r="G4702" s="267" t="s">
        <v>56</v>
      </c>
      <c r="H4702" s="3"/>
    </row>
    <row r="4703" spans="1:8">
      <c r="A4703" s="270">
        <v>45291</v>
      </c>
      <c r="B4703" s="267"/>
      <c r="C4703" s="267" t="s">
        <v>79</v>
      </c>
      <c r="D4703" s="3" t="s">
        <v>79</v>
      </c>
      <c r="E4703" s="1497">
        <v>3800</v>
      </c>
      <c r="F4703" s="1497"/>
      <c r="G4703" s="267" t="s">
        <v>27</v>
      </c>
      <c r="H4703" s="115"/>
    </row>
    <row r="4704" spans="1:8" ht="15.75" thickBot="1">
      <c r="A4704" s="270">
        <v>45291</v>
      </c>
      <c r="B4704" s="267"/>
      <c r="C4704" s="267" t="s">
        <v>79</v>
      </c>
      <c r="D4704" s="3" t="s">
        <v>79</v>
      </c>
      <c r="E4704" s="1497">
        <v>7000</v>
      </c>
      <c r="F4704" s="1497"/>
      <c r="G4704" s="267" t="s">
        <v>56</v>
      </c>
      <c r="H4704" s="115"/>
    </row>
    <row r="4705" spans="1:8" ht="15.75" thickBot="1">
      <c r="A4705" s="267"/>
      <c r="B4705" s="267"/>
      <c r="C4705" s="267"/>
      <c r="D4705" s="3"/>
      <c r="E4705" s="1497"/>
      <c r="F4705" s="1497"/>
      <c r="G4705" s="267"/>
      <c r="H4705" s="201">
        <v>45291</v>
      </c>
    </row>
    <row r="4706" spans="1:8">
      <c r="A4706" s="267"/>
      <c r="B4706" s="267"/>
      <c r="C4706" s="267"/>
      <c r="D4706" s="3"/>
      <c r="E4706" s="1497"/>
      <c r="F4706" s="1497"/>
      <c r="G4706" s="267"/>
      <c r="H4706" s="199" t="s">
        <v>876</v>
      </c>
    </row>
    <row r="4707" spans="1:8">
      <c r="A4707" s="267"/>
      <c r="B4707" s="267"/>
      <c r="C4707" s="267"/>
      <c r="D4707" s="3"/>
      <c r="E4707" s="1497"/>
      <c r="F4707" s="1497"/>
      <c r="G4707" s="267"/>
      <c r="H4707" s="137" t="s">
        <v>905</v>
      </c>
    </row>
    <row r="4708" spans="1:8">
      <c r="A4708" s="267"/>
      <c r="B4708" s="267"/>
      <c r="C4708" s="267"/>
      <c r="D4708" s="3"/>
      <c r="E4708" s="1497"/>
      <c r="F4708" s="1497"/>
      <c r="G4708" s="267"/>
      <c r="H4708" s="138" t="s">
        <v>808</v>
      </c>
    </row>
    <row r="4709" spans="1:8">
      <c r="A4709" s="267"/>
      <c r="B4709" s="267"/>
      <c r="C4709" s="267"/>
      <c r="D4709" s="3"/>
      <c r="E4709" s="1497"/>
      <c r="F4709" s="1497"/>
      <c r="G4709" s="267"/>
      <c r="H4709" s="138" t="s">
        <v>2598</v>
      </c>
    </row>
    <row r="4710" spans="1:8">
      <c r="A4710" s="267"/>
      <c r="B4710" s="267"/>
      <c r="C4710" s="267"/>
      <c r="D4710" s="3"/>
      <c r="E4710" s="1497"/>
      <c r="F4710" s="1497"/>
      <c r="G4710" s="267"/>
      <c r="H4710" s="138" t="s">
        <v>2481</v>
      </c>
    </row>
    <row r="4711" spans="1:8">
      <c r="A4711" s="267"/>
      <c r="B4711" s="267"/>
      <c r="C4711" s="267"/>
      <c r="D4711" s="3"/>
      <c r="E4711" s="1497"/>
      <c r="F4711" s="1497"/>
      <c r="G4711" s="267"/>
      <c r="H4711" s="138"/>
    </row>
    <row r="4712" spans="1:8">
      <c r="A4712" s="267"/>
      <c r="B4712" s="267"/>
      <c r="C4712" s="267"/>
      <c r="D4712" s="3"/>
      <c r="E4712" s="1497"/>
      <c r="F4712" s="1497"/>
      <c r="G4712" s="267"/>
      <c r="H4712" s="138" t="s">
        <v>2473</v>
      </c>
    </row>
    <row r="4713" spans="1:8">
      <c r="A4713" s="267"/>
      <c r="B4713" s="267"/>
      <c r="C4713" s="267"/>
      <c r="D4713" s="3"/>
      <c r="E4713" s="1497"/>
      <c r="F4713" s="1497"/>
      <c r="G4713" s="267"/>
      <c r="H4713" s="138" t="s">
        <v>2024</v>
      </c>
    </row>
    <row r="4714" spans="1:8">
      <c r="A4714" s="267"/>
      <c r="B4714" s="267"/>
      <c r="C4714" s="267"/>
      <c r="D4714" s="3"/>
      <c r="E4714" s="1497"/>
      <c r="F4714" s="1497"/>
      <c r="G4714" s="267"/>
      <c r="H4714" s="138" t="s">
        <v>1215</v>
      </c>
    </row>
    <row r="4715" spans="1:8" ht="15.75" thickBot="1">
      <c r="A4715" s="270"/>
      <c r="B4715" s="267"/>
      <c r="C4715" s="267"/>
      <c r="D4715" s="3"/>
      <c r="E4715" s="1497"/>
      <c r="F4715" s="1497"/>
      <c r="G4715" s="267"/>
      <c r="H4715" s="147" t="s">
        <v>2151</v>
      </c>
    </row>
    <row r="4716" spans="1:8" ht="15.75" thickBot="1">
      <c r="A4716" s="270"/>
      <c r="B4716" s="267"/>
      <c r="C4716" s="267"/>
      <c r="D4716" s="3"/>
      <c r="E4716" s="1497"/>
      <c r="F4716" s="1497"/>
      <c r="G4716" s="267"/>
      <c r="H4716" s="140" t="s">
        <v>2599</v>
      </c>
    </row>
    <row r="4717" spans="1:8" ht="15.75" thickBot="1">
      <c r="A4717" s="267"/>
      <c r="B4717" s="267"/>
      <c r="C4717" s="267"/>
      <c r="D4717" s="3"/>
      <c r="E4717" s="1497"/>
      <c r="F4717" s="1497"/>
      <c r="G4717" s="267"/>
      <c r="H4717" s="210"/>
    </row>
    <row r="4718" spans="1:8">
      <c r="A4718" s="270">
        <v>45293</v>
      </c>
      <c r="B4718" s="267"/>
      <c r="C4718" s="267" t="s">
        <v>55</v>
      </c>
      <c r="D4718" s="3" t="s">
        <v>1567</v>
      </c>
      <c r="E4718" s="1497">
        <v>4500</v>
      </c>
      <c r="F4718" s="1497"/>
      <c r="G4718" s="267" t="s">
        <v>56</v>
      </c>
      <c r="H4718" s="3"/>
    </row>
    <row r="4719" spans="1:8">
      <c r="A4719" s="270">
        <v>45293</v>
      </c>
      <c r="B4719" s="267"/>
      <c r="C4719" s="267" t="s">
        <v>86</v>
      </c>
      <c r="D4719" s="3" t="s">
        <v>2595</v>
      </c>
      <c r="E4719" s="1497">
        <v>10200</v>
      </c>
      <c r="F4719" s="1497"/>
      <c r="G4719" s="267" t="s">
        <v>56</v>
      </c>
      <c r="H4719" s="3"/>
    </row>
    <row r="4720" spans="1:8">
      <c r="A4720" s="270">
        <v>45293</v>
      </c>
      <c r="B4720" s="267"/>
      <c r="C4720" s="267" t="s">
        <v>65</v>
      </c>
      <c r="D4720" s="3" t="s">
        <v>436</v>
      </c>
      <c r="E4720" s="1497">
        <v>3680</v>
      </c>
      <c r="F4720" s="1497"/>
      <c r="G4720" s="267" t="s">
        <v>27</v>
      </c>
      <c r="H4720" s="3"/>
    </row>
    <row r="4721" spans="1:9">
      <c r="A4721" s="270">
        <v>45293</v>
      </c>
      <c r="B4721" s="267"/>
      <c r="C4721" s="267" t="s">
        <v>65</v>
      </c>
      <c r="D4721" s="3" t="s">
        <v>437</v>
      </c>
      <c r="E4721" s="1497">
        <v>3680</v>
      </c>
      <c r="F4721" s="1497"/>
      <c r="G4721" s="267" t="s">
        <v>27</v>
      </c>
      <c r="H4721" s="3"/>
    </row>
    <row r="4722" spans="1:9">
      <c r="A4722" s="270">
        <v>45293</v>
      </c>
      <c r="B4722" s="267"/>
      <c r="C4722" s="267" t="s">
        <v>65</v>
      </c>
      <c r="D4722" s="3" t="s">
        <v>435</v>
      </c>
      <c r="E4722" s="1497">
        <v>14450</v>
      </c>
      <c r="F4722" s="1497"/>
      <c r="G4722" s="267" t="s">
        <v>27</v>
      </c>
      <c r="H4722" s="3"/>
    </row>
    <row r="4723" spans="1:9" s="212" customFormat="1">
      <c r="A4723" s="270">
        <v>45293</v>
      </c>
      <c r="B4723" s="267"/>
      <c r="C4723" s="267" t="s">
        <v>209</v>
      </c>
      <c r="D4723" s="71" t="s">
        <v>1002</v>
      </c>
      <c r="E4723" s="1497">
        <v>14760</v>
      </c>
      <c r="F4723" s="1497"/>
      <c r="G4723" s="267" t="s">
        <v>27</v>
      </c>
      <c r="H4723" s="267"/>
      <c r="I4723" s="267"/>
    </row>
    <row r="4724" spans="1:9" s="211" customFormat="1">
      <c r="A4724" s="270">
        <v>45293</v>
      </c>
      <c r="B4724" s="267"/>
      <c r="C4724" s="267" t="s">
        <v>77</v>
      </c>
      <c r="D4724" s="71" t="s">
        <v>2597</v>
      </c>
      <c r="E4724" s="1497"/>
      <c r="F4724" s="1497">
        <v>75000</v>
      </c>
      <c r="G4724" s="267" t="s">
        <v>27</v>
      </c>
      <c r="H4724" s="267"/>
      <c r="I4724" s="244"/>
    </row>
    <row r="4725" spans="1:9" s="211" customFormat="1">
      <c r="A4725" s="270">
        <v>45293</v>
      </c>
      <c r="B4725" s="267"/>
      <c r="C4725" s="267" t="s">
        <v>79</v>
      </c>
      <c r="D4725" s="71" t="s">
        <v>79</v>
      </c>
      <c r="E4725" s="1497">
        <v>5227</v>
      </c>
      <c r="F4725" s="1497"/>
      <c r="G4725" s="267" t="s">
        <v>27</v>
      </c>
      <c r="H4725" s="267"/>
      <c r="I4725" s="244"/>
    </row>
    <row r="4726" spans="1:9">
      <c r="A4726" s="270">
        <v>45294</v>
      </c>
      <c r="B4726" s="267"/>
      <c r="C4726" s="267" t="s">
        <v>97</v>
      </c>
      <c r="D4726" s="3" t="s">
        <v>2596</v>
      </c>
      <c r="E4726" s="1497">
        <v>133497</v>
      </c>
      <c r="F4726" s="1497"/>
      <c r="G4726" s="267" t="s">
        <v>27</v>
      </c>
      <c r="H4726" s="3"/>
    </row>
    <row r="4727" spans="1:9">
      <c r="A4727" s="270">
        <v>45294</v>
      </c>
      <c r="B4727" s="267"/>
      <c r="C4727" s="267" t="s">
        <v>92</v>
      </c>
      <c r="D4727" s="3" t="s">
        <v>2600</v>
      </c>
      <c r="E4727" s="1497"/>
      <c r="F4727" s="1497">
        <v>294200</v>
      </c>
      <c r="G4727" s="267" t="s">
        <v>27</v>
      </c>
      <c r="H4727" s="3"/>
    </row>
    <row r="4728" spans="1:9">
      <c r="A4728" s="270">
        <v>45295</v>
      </c>
      <c r="B4728" s="267"/>
      <c r="C4728" s="267" t="s">
        <v>77</v>
      </c>
      <c r="D4728" s="3" t="s">
        <v>2601</v>
      </c>
      <c r="E4728" s="1497"/>
      <c r="F4728" s="1497">
        <v>304000</v>
      </c>
      <c r="G4728" s="267" t="s">
        <v>27</v>
      </c>
      <c r="H4728" s="3"/>
    </row>
    <row r="4729" spans="1:9">
      <c r="A4729" s="270">
        <v>45295</v>
      </c>
      <c r="B4729" s="267"/>
      <c r="C4729" s="267" t="s">
        <v>205</v>
      </c>
      <c r="D4729" s="3" t="s">
        <v>38</v>
      </c>
      <c r="E4729" s="1497">
        <v>2600</v>
      </c>
      <c r="F4729" s="1497"/>
      <c r="G4729" s="267" t="s">
        <v>56</v>
      </c>
      <c r="H4729" s="3"/>
    </row>
    <row r="4730" spans="1:9">
      <c r="A4730" s="270">
        <v>45295</v>
      </c>
      <c r="B4730" s="267"/>
      <c r="C4730" s="267" t="s">
        <v>205</v>
      </c>
      <c r="D4730" s="3" t="s">
        <v>48</v>
      </c>
      <c r="E4730" s="1497">
        <v>770000</v>
      </c>
      <c r="F4730" s="1497"/>
      <c r="G4730" s="267" t="s">
        <v>56</v>
      </c>
      <c r="H4730" s="3"/>
    </row>
    <row r="4731" spans="1:9">
      <c r="A4731" s="270">
        <v>45295</v>
      </c>
      <c r="B4731" s="267"/>
      <c r="C4731" s="267" t="s">
        <v>92</v>
      </c>
      <c r="D4731" s="3" t="s">
        <v>2602</v>
      </c>
      <c r="E4731" s="1497"/>
      <c r="F4731" s="1497">
        <v>185000</v>
      </c>
      <c r="G4731" s="267" t="s">
        <v>27</v>
      </c>
      <c r="H4731" s="3"/>
    </row>
    <row r="4732" spans="1:9">
      <c r="A4732" s="270">
        <v>45295</v>
      </c>
      <c r="B4732" s="267"/>
      <c r="C4732" s="267" t="s">
        <v>55</v>
      </c>
      <c r="D4732" s="3" t="s">
        <v>2607</v>
      </c>
      <c r="E4732" s="1497">
        <v>1500</v>
      </c>
      <c r="F4732" s="1497"/>
      <c r="G4732" s="267" t="s">
        <v>56</v>
      </c>
      <c r="H4732" s="3"/>
    </row>
    <row r="4733" spans="1:9">
      <c r="A4733" s="270">
        <v>45296</v>
      </c>
      <c r="B4733" s="267"/>
      <c r="C4733" s="267" t="s">
        <v>185</v>
      </c>
      <c r="D4733" s="3" t="s">
        <v>2603</v>
      </c>
      <c r="E4733" s="1497">
        <v>124000</v>
      </c>
      <c r="F4733" s="1497"/>
      <c r="G4733" s="267" t="s">
        <v>27</v>
      </c>
      <c r="H4733" s="3"/>
    </row>
    <row r="4734" spans="1:9">
      <c r="A4734" s="270">
        <v>45296</v>
      </c>
      <c r="B4734" s="267"/>
      <c r="C4734" s="267" t="s">
        <v>92</v>
      </c>
      <c r="D4734" s="3" t="s">
        <v>477</v>
      </c>
      <c r="E4734" s="1497"/>
      <c r="F4734" s="1497">
        <v>67300</v>
      </c>
      <c r="G4734" s="267" t="s">
        <v>56</v>
      </c>
      <c r="H4734" s="3"/>
    </row>
    <row r="4735" spans="1:9">
      <c r="A4735" s="270">
        <v>45296</v>
      </c>
      <c r="B4735" s="267"/>
      <c r="C4735" s="267" t="s">
        <v>160</v>
      </c>
      <c r="D4735" s="3" t="s">
        <v>2604</v>
      </c>
      <c r="E4735" s="1497"/>
      <c r="F4735" s="1497">
        <v>62000</v>
      </c>
      <c r="G4735" s="267" t="s">
        <v>56</v>
      </c>
      <c r="H4735" s="3"/>
    </row>
    <row r="4736" spans="1:9">
      <c r="A4736" s="270">
        <v>45296</v>
      </c>
      <c r="B4736" s="267"/>
      <c r="C4736" s="267" t="s">
        <v>68</v>
      </c>
      <c r="D4736" s="3" t="s">
        <v>1951</v>
      </c>
      <c r="E4736" s="1497">
        <v>5000</v>
      </c>
      <c r="F4736" s="1497"/>
      <c r="G4736" s="267" t="s">
        <v>56</v>
      </c>
      <c r="H4736" s="3"/>
    </row>
    <row r="4737" spans="1:8">
      <c r="A4737" s="270">
        <v>45296</v>
      </c>
      <c r="B4737" s="267"/>
      <c r="C4737" s="267" t="s">
        <v>92</v>
      </c>
      <c r="D4737" s="15" t="s">
        <v>2605</v>
      </c>
      <c r="E4737" s="1497"/>
      <c r="F4737" s="1497">
        <v>57700</v>
      </c>
      <c r="G4737" s="267" t="s">
        <v>56</v>
      </c>
      <c r="H4737" s="3"/>
    </row>
    <row r="4738" spans="1:8">
      <c r="A4738" s="270">
        <v>45296</v>
      </c>
      <c r="B4738" s="267"/>
      <c r="C4738" s="267" t="s">
        <v>205</v>
      </c>
      <c r="D4738" s="3" t="s">
        <v>1748</v>
      </c>
      <c r="E4738" s="1497">
        <v>3670</v>
      </c>
      <c r="F4738" s="1497"/>
      <c r="G4738" s="267" t="s">
        <v>27</v>
      </c>
      <c r="H4738" s="3"/>
    </row>
    <row r="4739" spans="1:8">
      <c r="A4739" s="270">
        <v>45296</v>
      </c>
      <c r="B4739" s="267"/>
      <c r="C4739" s="267" t="s">
        <v>537</v>
      </c>
      <c r="D4739" s="3" t="s">
        <v>2606</v>
      </c>
      <c r="E4739" s="1497">
        <v>63000</v>
      </c>
      <c r="F4739" s="1497"/>
      <c r="G4739" s="267" t="s">
        <v>56</v>
      </c>
      <c r="H4739" s="3"/>
    </row>
    <row r="4740" spans="1:8">
      <c r="A4740" s="270">
        <v>45296</v>
      </c>
      <c r="B4740" s="267"/>
      <c r="C4740" s="267" t="s">
        <v>537</v>
      </c>
      <c r="D4740" s="3" t="s">
        <v>219</v>
      </c>
      <c r="E4740" s="1497">
        <v>113000</v>
      </c>
      <c r="F4740" s="1497"/>
      <c r="G4740" s="267" t="s">
        <v>56</v>
      </c>
      <c r="H4740" s="3"/>
    </row>
    <row r="4741" spans="1:8">
      <c r="A4741" s="270">
        <v>45296</v>
      </c>
      <c r="B4741" s="267"/>
      <c r="C4741" s="267" t="s">
        <v>537</v>
      </c>
      <c r="D4741" s="3" t="s">
        <v>193</v>
      </c>
      <c r="E4741" s="1497">
        <v>50000</v>
      </c>
      <c r="F4741" s="1497"/>
      <c r="G4741" s="267" t="s">
        <v>56</v>
      </c>
      <c r="H4741" s="3"/>
    </row>
    <row r="4742" spans="1:8">
      <c r="A4742" s="270">
        <v>45296</v>
      </c>
      <c r="B4742" s="267"/>
      <c r="C4742" s="267" t="s">
        <v>537</v>
      </c>
      <c r="D4742" s="3" t="s">
        <v>144</v>
      </c>
      <c r="E4742" s="1497">
        <v>30000</v>
      </c>
      <c r="F4742" s="1497"/>
      <c r="G4742" s="267" t="s">
        <v>27</v>
      </c>
      <c r="H4742" s="3"/>
    </row>
    <row r="4743" spans="1:8">
      <c r="A4743" s="270">
        <v>45296</v>
      </c>
      <c r="B4743" s="267"/>
      <c r="C4743" s="267" t="s">
        <v>537</v>
      </c>
      <c r="D4743" s="3" t="s">
        <v>144</v>
      </c>
      <c r="E4743" s="1497">
        <v>115000</v>
      </c>
      <c r="F4743" s="1497"/>
      <c r="G4743" s="267" t="s">
        <v>56</v>
      </c>
      <c r="H4743" s="3"/>
    </row>
    <row r="4744" spans="1:8" ht="15.75" thickBot="1">
      <c r="A4744" s="270">
        <v>45296</v>
      </c>
      <c r="B4744" s="267"/>
      <c r="C4744" s="267" t="s">
        <v>86</v>
      </c>
      <c r="D4744" s="3" t="s">
        <v>86</v>
      </c>
      <c r="E4744" s="1497" t="s">
        <v>2608</v>
      </c>
      <c r="F4744" s="1497"/>
      <c r="G4744" s="267" t="s">
        <v>27</v>
      </c>
      <c r="H4744" s="3"/>
    </row>
    <row r="4745" spans="1:8" ht="15.75" thickBot="1">
      <c r="H4745" s="201">
        <v>45296</v>
      </c>
    </row>
    <row r="4746" spans="1:8">
      <c r="H4746" s="199" t="s">
        <v>2610</v>
      </c>
    </row>
    <row r="4747" spans="1:8">
      <c r="H4747" s="137" t="s">
        <v>2609</v>
      </c>
    </row>
    <row r="4748" spans="1:8">
      <c r="H4748" s="138" t="s">
        <v>2611</v>
      </c>
    </row>
    <row r="4749" spans="1:8">
      <c r="H4749" s="138" t="s">
        <v>2613</v>
      </c>
    </row>
    <row r="4750" spans="1:8">
      <c r="H4750" s="138" t="s">
        <v>2473</v>
      </c>
    </row>
    <row r="4751" spans="1:8">
      <c r="H4751" s="138" t="s">
        <v>2024</v>
      </c>
    </row>
    <row r="4752" spans="1:8">
      <c r="H4752" s="138" t="s">
        <v>1215</v>
      </c>
    </row>
    <row r="4753" spans="1:8" ht="15.75" thickBot="1">
      <c r="H4753" s="147" t="s">
        <v>2151</v>
      </c>
    </row>
    <row r="4754" spans="1:8" ht="15.75" thickBot="1">
      <c r="H4754" s="140" t="s">
        <v>2612</v>
      </c>
    </row>
    <row r="4755" spans="1:8">
      <c r="H4755" s="208" t="s">
        <v>2614</v>
      </c>
    </row>
    <row r="4756" spans="1:8">
      <c r="A4756" s="270">
        <v>45299</v>
      </c>
      <c r="B4756" s="267"/>
      <c r="C4756" s="267" t="s">
        <v>79</v>
      </c>
      <c r="D4756" s="3" t="s">
        <v>79</v>
      </c>
      <c r="E4756" s="1497">
        <v>13000</v>
      </c>
      <c r="F4756" s="1497"/>
      <c r="G4756" s="267" t="s">
        <v>27</v>
      </c>
      <c r="H4756" s="3"/>
    </row>
    <row r="4757" spans="1:8">
      <c r="A4757" s="270">
        <v>45299</v>
      </c>
      <c r="B4757" s="267"/>
      <c r="C4757" s="267" t="s">
        <v>2190</v>
      </c>
      <c r="D4757" s="3" t="s">
        <v>2615</v>
      </c>
      <c r="E4757" s="1497">
        <v>133497</v>
      </c>
      <c r="F4757" s="1497"/>
      <c r="G4757" s="267" t="s">
        <v>27</v>
      </c>
      <c r="H4757" s="3"/>
    </row>
    <row r="4758" spans="1:8">
      <c r="A4758" s="270">
        <v>45299</v>
      </c>
      <c r="B4758" s="267"/>
      <c r="C4758" s="267" t="s">
        <v>77</v>
      </c>
      <c r="D4758" s="3" t="s">
        <v>2616</v>
      </c>
      <c r="E4758" s="1497">
        <v>74000</v>
      </c>
      <c r="F4758" s="1497"/>
      <c r="G4758" s="267" t="s">
        <v>27</v>
      </c>
      <c r="H4758" s="3"/>
    </row>
    <row r="4759" spans="1:8">
      <c r="A4759" s="270">
        <v>45299</v>
      </c>
      <c r="B4759" s="267"/>
      <c r="C4759" s="267" t="s">
        <v>79</v>
      </c>
      <c r="D4759" s="3" t="s">
        <v>2617</v>
      </c>
      <c r="E4759" s="1497">
        <v>110680</v>
      </c>
      <c r="F4759" s="1497"/>
      <c r="G4759" s="267" t="s">
        <v>27</v>
      </c>
      <c r="H4759" s="3"/>
    </row>
    <row r="4760" spans="1:8">
      <c r="A4760" s="270">
        <v>45299</v>
      </c>
      <c r="B4760" s="267"/>
      <c r="C4760" s="267" t="s">
        <v>94</v>
      </c>
      <c r="D4760" s="3" t="s">
        <v>17</v>
      </c>
      <c r="E4760" s="1497">
        <v>10415.26</v>
      </c>
      <c r="F4760" s="1497"/>
      <c r="G4760" s="267" t="s">
        <v>27</v>
      </c>
      <c r="H4760" s="3"/>
    </row>
    <row r="4761" spans="1:8">
      <c r="A4761" s="270">
        <v>45299</v>
      </c>
      <c r="B4761" s="267"/>
      <c r="C4761" s="267" t="s">
        <v>92</v>
      </c>
      <c r="D4761" s="3" t="s">
        <v>2618</v>
      </c>
      <c r="E4761" s="1497"/>
      <c r="F4761" s="1497">
        <v>443640.67</v>
      </c>
      <c r="G4761" s="267" t="s">
        <v>27</v>
      </c>
      <c r="H4761" s="3"/>
    </row>
    <row r="4762" spans="1:8">
      <c r="A4762" s="270">
        <v>45299</v>
      </c>
      <c r="B4762" s="267"/>
      <c r="C4762" s="267" t="s">
        <v>205</v>
      </c>
      <c r="D4762" s="3" t="s">
        <v>207</v>
      </c>
      <c r="E4762" s="1497">
        <v>117800</v>
      </c>
      <c r="F4762" s="1497"/>
      <c r="G4762" s="267" t="s">
        <v>27</v>
      </c>
      <c r="H4762" s="3"/>
    </row>
    <row r="4763" spans="1:8">
      <c r="A4763" s="270">
        <v>45299</v>
      </c>
      <c r="B4763" s="267"/>
      <c r="C4763" s="267" t="s">
        <v>205</v>
      </c>
      <c r="D4763" s="3" t="s">
        <v>49</v>
      </c>
      <c r="E4763" s="1497">
        <v>40000</v>
      </c>
      <c r="F4763" s="1497"/>
      <c r="G4763" s="267" t="s">
        <v>27</v>
      </c>
      <c r="H4763" s="3"/>
    </row>
    <row r="4764" spans="1:8">
      <c r="A4764" s="270">
        <v>45299</v>
      </c>
      <c r="B4764" s="267"/>
      <c r="C4764" s="267" t="s">
        <v>205</v>
      </c>
      <c r="D4764" s="3" t="s">
        <v>45</v>
      </c>
      <c r="E4764" s="1497">
        <v>46000</v>
      </c>
      <c r="F4764" s="1497"/>
      <c r="G4764" s="267" t="s">
        <v>27</v>
      </c>
      <c r="H4764" s="3"/>
    </row>
    <row r="4765" spans="1:8">
      <c r="A4765" s="270">
        <v>45299</v>
      </c>
      <c r="B4765" s="267"/>
      <c r="C4765" s="267" t="s">
        <v>92</v>
      </c>
      <c r="D4765" s="3" t="s">
        <v>46</v>
      </c>
      <c r="E4765" s="1497"/>
      <c r="F4765" s="1497">
        <v>23900</v>
      </c>
      <c r="G4765" s="267" t="s">
        <v>27</v>
      </c>
      <c r="H4765" s="3"/>
    </row>
    <row r="4766" spans="1:8">
      <c r="A4766" s="270">
        <v>45299</v>
      </c>
      <c r="B4766" s="267"/>
      <c r="C4766" s="267" t="s">
        <v>92</v>
      </c>
      <c r="D4766" s="3" t="s">
        <v>2620</v>
      </c>
      <c r="E4766" s="1497"/>
      <c r="F4766" s="1497">
        <v>180000</v>
      </c>
      <c r="G4766" s="267" t="s">
        <v>56</v>
      </c>
      <c r="H4766" s="3"/>
    </row>
    <row r="4767" spans="1:8">
      <c r="A4767" s="270">
        <v>45300</v>
      </c>
      <c r="B4767" s="267"/>
      <c r="C4767" s="267" t="s">
        <v>92</v>
      </c>
      <c r="D4767" s="3" t="s">
        <v>2619</v>
      </c>
      <c r="E4767" s="1497"/>
      <c r="F4767" s="1497">
        <v>160500</v>
      </c>
      <c r="G4767" s="267" t="s">
        <v>56</v>
      </c>
      <c r="H4767" s="3"/>
    </row>
    <row r="4768" spans="1:8">
      <c r="A4768" s="270">
        <v>45300</v>
      </c>
      <c r="B4768" s="267"/>
      <c r="C4768" s="267" t="s">
        <v>94</v>
      </c>
      <c r="D4768" s="3" t="s">
        <v>1449</v>
      </c>
      <c r="E4768" s="1497">
        <v>22892.75</v>
      </c>
      <c r="F4768" s="1497"/>
      <c r="G4768" s="267" t="s">
        <v>27</v>
      </c>
      <c r="H4768" s="3"/>
    </row>
    <row r="4769" spans="1:8">
      <c r="A4769" s="270">
        <v>45300</v>
      </c>
      <c r="B4769" s="267"/>
      <c r="C4769" s="267" t="s">
        <v>77</v>
      </c>
      <c r="D4769" s="3" t="s">
        <v>2629</v>
      </c>
      <c r="E4769" s="1497"/>
      <c r="F4769" s="1497">
        <v>806150</v>
      </c>
      <c r="G4769" s="267" t="s">
        <v>27</v>
      </c>
      <c r="H4769" s="3"/>
    </row>
    <row r="4770" spans="1:8">
      <c r="A4770" s="270">
        <v>45300</v>
      </c>
      <c r="B4770" s="267"/>
      <c r="C4770" s="267" t="s">
        <v>55</v>
      </c>
      <c r="D4770" s="3" t="s">
        <v>2630</v>
      </c>
      <c r="E4770" s="1497">
        <v>7195</v>
      </c>
      <c r="F4770" s="1497"/>
      <c r="G4770" s="267" t="s">
        <v>27</v>
      </c>
      <c r="H4770" s="3"/>
    </row>
    <row r="4771" spans="1:8">
      <c r="A4771" s="270">
        <v>45301</v>
      </c>
      <c r="B4771" s="267"/>
      <c r="C4771" s="267" t="s">
        <v>79</v>
      </c>
      <c r="D4771" s="3" t="s">
        <v>344</v>
      </c>
      <c r="E4771" s="1497">
        <v>75260</v>
      </c>
      <c r="F4771" s="1497"/>
      <c r="G4771" s="267" t="s">
        <v>27</v>
      </c>
      <c r="H4771" s="3"/>
    </row>
    <row r="4772" spans="1:8">
      <c r="A4772" s="270">
        <v>45301</v>
      </c>
      <c r="B4772" s="267"/>
      <c r="C4772" s="267" t="s">
        <v>92</v>
      </c>
      <c r="D4772" s="3" t="s">
        <v>1763</v>
      </c>
      <c r="E4772" s="1497"/>
      <c r="F4772" s="1497">
        <v>98200</v>
      </c>
      <c r="G4772" s="267" t="s">
        <v>27</v>
      </c>
      <c r="H4772" s="3"/>
    </row>
    <row r="4773" spans="1:8">
      <c r="A4773" s="270">
        <v>45301</v>
      </c>
      <c r="B4773" s="267"/>
      <c r="C4773" s="267" t="s">
        <v>86</v>
      </c>
      <c r="D4773" s="3" t="s">
        <v>104</v>
      </c>
      <c r="E4773" s="1497">
        <v>10210</v>
      </c>
      <c r="F4773" s="1497"/>
      <c r="G4773" s="267" t="s">
        <v>56</v>
      </c>
      <c r="H4773" s="3"/>
    </row>
    <row r="4774" spans="1:8">
      <c r="A4774" s="270">
        <v>45301</v>
      </c>
      <c r="B4774" s="267"/>
      <c r="C4774" s="267" t="s">
        <v>55</v>
      </c>
      <c r="D4774" s="3" t="s">
        <v>38</v>
      </c>
      <c r="E4774" s="1497">
        <v>2900</v>
      </c>
      <c r="F4774" s="1497"/>
      <c r="G4774" s="267" t="s">
        <v>56</v>
      </c>
      <c r="H4774" s="3"/>
    </row>
    <row r="4775" spans="1:8">
      <c r="A4775" s="270">
        <v>45301</v>
      </c>
      <c r="B4775" s="267"/>
      <c r="C4775" s="267" t="s">
        <v>205</v>
      </c>
      <c r="D4775" s="3" t="s">
        <v>2631</v>
      </c>
      <c r="E4775" s="1497">
        <v>10500</v>
      </c>
      <c r="F4775" s="1497"/>
      <c r="G4775" s="267" t="s">
        <v>56</v>
      </c>
      <c r="H4775" s="3"/>
    </row>
    <row r="4776" spans="1:8">
      <c r="A4776" s="270">
        <v>45302</v>
      </c>
      <c r="B4776" s="267"/>
      <c r="C4776" s="267" t="s">
        <v>103</v>
      </c>
      <c r="D4776" s="3" t="s">
        <v>2632</v>
      </c>
      <c r="E4776" s="1497">
        <v>27751.8</v>
      </c>
      <c r="F4776" s="1497"/>
      <c r="G4776" s="267" t="s">
        <v>27</v>
      </c>
      <c r="H4776" s="3"/>
    </row>
    <row r="4777" spans="1:8">
      <c r="A4777" s="270">
        <v>45302</v>
      </c>
      <c r="B4777" s="267"/>
      <c r="C4777" s="267" t="s">
        <v>55</v>
      </c>
      <c r="D4777" s="3" t="s">
        <v>2633</v>
      </c>
      <c r="E4777" s="1497">
        <v>4500</v>
      </c>
      <c r="F4777" s="1497"/>
      <c r="G4777" s="267" t="s">
        <v>56</v>
      </c>
      <c r="H4777" s="3"/>
    </row>
    <row r="4778" spans="1:8">
      <c r="A4778" s="270">
        <v>45302</v>
      </c>
      <c r="B4778" s="267"/>
      <c r="C4778" s="267" t="s">
        <v>55</v>
      </c>
      <c r="D4778" s="3" t="s">
        <v>1951</v>
      </c>
      <c r="E4778" s="1497">
        <v>5000</v>
      </c>
      <c r="F4778" s="1497"/>
      <c r="G4778" s="267" t="s">
        <v>56</v>
      </c>
      <c r="H4778" s="3"/>
    </row>
    <row r="4779" spans="1:8">
      <c r="A4779" s="270">
        <v>45302</v>
      </c>
      <c r="B4779" s="267"/>
      <c r="C4779" s="267" t="s">
        <v>92</v>
      </c>
      <c r="D4779" s="3" t="s">
        <v>2634</v>
      </c>
      <c r="E4779" s="1497"/>
      <c r="F4779" s="1497">
        <v>59400</v>
      </c>
      <c r="G4779" s="267" t="s">
        <v>27</v>
      </c>
      <c r="H4779" s="3"/>
    </row>
    <row r="4780" spans="1:8">
      <c r="A4780" s="270">
        <v>45637</v>
      </c>
      <c r="B4780" s="267"/>
      <c r="C4780" s="267" t="s">
        <v>97</v>
      </c>
      <c r="D4780" s="3" t="s">
        <v>2636</v>
      </c>
      <c r="E4780" s="1497">
        <v>7000</v>
      </c>
      <c r="F4780" s="1497"/>
      <c r="G4780" s="267" t="s">
        <v>27</v>
      </c>
      <c r="H4780" s="3"/>
    </row>
    <row r="4781" spans="1:8">
      <c r="A4781" s="270">
        <v>45303</v>
      </c>
      <c r="B4781" s="267"/>
      <c r="C4781" s="267" t="s">
        <v>92</v>
      </c>
      <c r="D4781" s="3" t="s">
        <v>2635</v>
      </c>
      <c r="E4781" s="1497"/>
      <c r="F4781" s="1497">
        <v>120100</v>
      </c>
      <c r="G4781" s="267" t="s">
        <v>27</v>
      </c>
      <c r="H4781" s="3"/>
    </row>
    <row r="4782" spans="1:8">
      <c r="A4782" s="270">
        <v>45303</v>
      </c>
      <c r="B4782" s="267"/>
      <c r="C4782" s="267" t="s">
        <v>205</v>
      </c>
      <c r="D4782" s="3" t="s">
        <v>2637</v>
      </c>
      <c r="E4782" s="1497">
        <v>105844.27</v>
      </c>
      <c r="F4782" s="1497"/>
      <c r="G4782" s="267" t="s">
        <v>27</v>
      </c>
      <c r="H4782" s="3"/>
    </row>
    <row r="4783" spans="1:8">
      <c r="A4783" s="270">
        <v>45303</v>
      </c>
      <c r="B4783" s="267"/>
      <c r="C4783" s="267" t="s">
        <v>86</v>
      </c>
      <c r="D4783" s="3" t="s">
        <v>195</v>
      </c>
      <c r="E4783" s="1497">
        <v>10000</v>
      </c>
      <c r="F4783" s="1497"/>
      <c r="G4783" s="267" t="s">
        <v>27</v>
      </c>
      <c r="H4783" s="3"/>
    </row>
    <row r="4784" spans="1:8">
      <c r="A4784" s="270">
        <v>45303</v>
      </c>
      <c r="B4784" s="267"/>
      <c r="C4784" s="267" t="s">
        <v>537</v>
      </c>
      <c r="D4784" s="3" t="s">
        <v>2638</v>
      </c>
      <c r="E4784" s="1497">
        <v>60000</v>
      </c>
      <c r="F4784" s="1497"/>
      <c r="G4784" s="267" t="s">
        <v>27</v>
      </c>
      <c r="H4784" s="3"/>
    </row>
    <row r="4785" spans="1:8">
      <c r="A4785" s="270">
        <v>45303</v>
      </c>
      <c r="B4785" s="267"/>
      <c r="C4785" s="267" t="s">
        <v>537</v>
      </c>
      <c r="D4785" s="3" t="s">
        <v>2638</v>
      </c>
      <c r="E4785" s="1497">
        <v>105000</v>
      </c>
      <c r="F4785" s="1497"/>
      <c r="G4785" s="267" t="s">
        <v>56</v>
      </c>
      <c r="H4785" s="3"/>
    </row>
    <row r="4786" spans="1:8">
      <c r="A4786" s="270">
        <v>45303</v>
      </c>
      <c r="B4786" s="267"/>
      <c r="C4786" s="267" t="s">
        <v>537</v>
      </c>
      <c r="D4786" s="3" t="s">
        <v>2638</v>
      </c>
      <c r="E4786" s="1497">
        <v>25000</v>
      </c>
      <c r="F4786" s="1497"/>
      <c r="G4786" s="267" t="s">
        <v>56</v>
      </c>
      <c r="H4786" s="3"/>
    </row>
    <row r="4787" spans="1:8">
      <c r="A4787" s="270">
        <v>45303</v>
      </c>
      <c r="B4787" s="267"/>
      <c r="C4787" s="267" t="s">
        <v>537</v>
      </c>
      <c r="D4787" s="15" t="s">
        <v>219</v>
      </c>
      <c r="E4787" s="1497">
        <v>113000</v>
      </c>
      <c r="F4787" s="1497"/>
      <c r="G4787" s="267" t="s">
        <v>56</v>
      </c>
      <c r="H4787" s="3"/>
    </row>
    <row r="4788" spans="1:8">
      <c r="A4788" s="270">
        <v>45303</v>
      </c>
      <c r="B4788" s="267"/>
      <c r="C4788" s="267" t="s">
        <v>537</v>
      </c>
      <c r="D4788" s="15" t="s">
        <v>2642</v>
      </c>
      <c r="E4788" s="1497">
        <v>63000</v>
      </c>
      <c r="F4788" s="1497"/>
      <c r="G4788" s="267" t="s">
        <v>56</v>
      </c>
      <c r="H4788" s="3"/>
    </row>
    <row r="4789" spans="1:8" ht="15.75" thickBot="1">
      <c r="A4789" s="270">
        <v>45303</v>
      </c>
      <c r="B4789" s="267"/>
      <c r="C4789" s="267" t="s">
        <v>537</v>
      </c>
      <c r="D4789" s="15" t="s">
        <v>193</v>
      </c>
      <c r="E4789" s="1497">
        <v>50000</v>
      </c>
      <c r="F4789" s="1497"/>
      <c r="G4789" s="267" t="s">
        <v>56</v>
      </c>
      <c r="H4789" s="577">
        <f>SUM(F4756:F4789)</f>
        <v>1891890.67</v>
      </c>
    </row>
    <row r="4790" spans="1:8" ht="15.75" thickBot="1">
      <c r="H4790" s="201">
        <v>45303</v>
      </c>
    </row>
    <row r="4791" spans="1:8">
      <c r="H4791" s="199" t="s">
        <v>2641</v>
      </c>
    </row>
    <row r="4792" spans="1:8">
      <c r="H4792" s="137" t="s">
        <v>2640</v>
      </c>
    </row>
    <row r="4793" spans="1:8">
      <c r="H4793" s="138" t="s">
        <v>2639</v>
      </c>
    </row>
    <row r="4794" spans="1:8">
      <c r="H4794" s="138" t="s">
        <v>2613</v>
      </c>
    </row>
    <row r="4795" spans="1:8">
      <c r="H4795" s="138" t="s">
        <v>2473</v>
      </c>
    </row>
    <row r="4796" spans="1:8">
      <c r="H4796" s="138" t="s">
        <v>2024</v>
      </c>
    </row>
    <row r="4797" spans="1:8">
      <c r="H4797" s="138" t="s">
        <v>1215</v>
      </c>
    </row>
    <row r="4798" spans="1:8" ht="15.75" thickBot="1">
      <c r="H4798" s="147" t="s">
        <v>2151</v>
      </c>
    </row>
    <row r="4799" spans="1:8" ht="15.75" thickBot="1">
      <c r="H4799" s="140" t="s">
        <v>2643</v>
      </c>
    </row>
    <row r="4800" spans="1:8">
      <c r="H4800" s="208">
        <v>8591310.4000000004</v>
      </c>
    </row>
    <row r="4801" spans="1:8">
      <c r="A4801" s="270">
        <v>45306</v>
      </c>
      <c r="B4801" s="267"/>
      <c r="C4801" s="267" t="s">
        <v>79</v>
      </c>
      <c r="D4801" s="3" t="s">
        <v>2651</v>
      </c>
      <c r="E4801" s="1497"/>
      <c r="F4801" s="1497">
        <v>364055.96</v>
      </c>
      <c r="G4801" s="267" t="s">
        <v>27</v>
      </c>
      <c r="H4801" s="214"/>
    </row>
    <row r="4802" spans="1:8">
      <c r="A4802" s="270">
        <v>45306</v>
      </c>
      <c r="B4802" s="267"/>
      <c r="C4802" s="267" t="s">
        <v>79</v>
      </c>
      <c r="D4802" s="3" t="s">
        <v>2645</v>
      </c>
      <c r="E4802" s="1497">
        <v>55189.65</v>
      </c>
      <c r="F4802" s="1497"/>
      <c r="G4802" s="267" t="s">
        <v>27</v>
      </c>
      <c r="H4802" s="3"/>
    </row>
    <row r="4803" spans="1:8">
      <c r="A4803" s="270">
        <v>45306</v>
      </c>
      <c r="B4803" s="267"/>
      <c r="C4803" s="267" t="s">
        <v>79</v>
      </c>
      <c r="D4803" s="3" t="s">
        <v>2646</v>
      </c>
      <c r="E4803" s="1497">
        <v>39909</v>
      </c>
      <c r="F4803" s="1497"/>
      <c r="G4803" s="267" t="s">
        <v>27</v>
      </c>
      <c r="H4803" s="3"/>
    </row>
    <row r="4804" spans="1:8">
      <c r="A4804" s="270">
        <v>45306</v>
      </c>
      <c r="B4804" s="267"/>
      <c r="C4804" s="267" t="s">
        <v>79</v>
      </c>
      <c r="D4804" s="3" t="s">
        <v>2644</v>
      </c>
      <c r="E4804" s="1497">
        <v>65000</v>
      </c>
      <c r="F4804" s="1497"/>
      <c r="G4804" s="267" t="s">
        <v>27</v>
      </c>
      <c r="H4804" s="3"/>
    </row>
    <row r="4805" spans="1:8">
      <c r="A4805" s="270">
        <v>45306</v>
      </c>
      <c r="B4805" s="267"/>
      <c r="C4805" s="267" t="s">
        <v>55</v>
      </c>
      <c r="D4805" s="3" t="s">
        <v>514</v>
      </c>
      <c r="E4805" s="1497">
        <v>1400</v>
      </c>
      <c r="F4805" s="1497"/>
      <c r="G4805" s="267" t="s">
        <v>27</v>
      </c>
      <c r="H4805" s="3"/>
    </row>
    <row r="4806" spans="1:8">
      <c r="A4806" s="270">
        <v>45306</v>
      </c>
      <c r="B4806" s="267"/>
      <c r="C4806" s="267" t="s">
        <v>77</v>
      </c>
      <c r="D4806" s="3" t="s">
        <v>2647</v>
      </c>
      <c r="E4806" s="1497"/>
      <c r="F4806" s="1497">
        <v>360000</v>
      </c>
      <c r="G4806" s="267" t="s">
        <v>72</v>
      </c>
      <c r="H4806" s="3"/>
    </row>
    <row r="4807" spans="1:8">
      <c r="A4807" s="270">
        <v>45306</v>
      </c>
      <c r="B4807" s="267"/>
      <c r="C4807" s="267" t="s">
        <v>94</v>
      </c>
      <c r="D4807" s="3" t="s">
        <v>2649</v>
      </c>
      <c r="E4807" s="8" t="s">
        <v>2648</v>
      </c>
      <c r="F4807" s="1497"/>
      <c r="G4807" s="267" t="s">
        <v>27</v>
      </c>
      <c r="H4807" s="3"/>
    </row>
    <row r="4808" spans="1:8">
      <c r="A4808" s="270">
        <v>45306</v>
      </c>
      <c r="B4808" s="267"/>
      <c r="C4808" s="267" t="s">
        <v>205</v>
      </c>
      <c r="D4808" s="3" t="s">
        <v>48</v>
      </c>
      <c r="E4808" s="1497">
        <v>1800000</v>
      </c>
      <c r="F4808" s="1497"/>
      <c r="G4808" s="267" t="s">
        <v>1283</v>
      </c>
      <c r="H4808" s="3"/>
    </row>
    <row r="4809" spans="1:8">
      <c r="A4809" s="270">
        <v>45306</v>
      </c>
      <c r="B4809" s="267"/>
      <c r="C4809" s="267" t="s">
        <v>205</v>
      </c>
      <c r="D4809" s="3" t="s">
        <v>48</v>
      </c>
      <c r="E4809" s="1497">
        <v>1500000</v>
      </c>
      <c r="F4809" s="1497"/>
      <c r="G4809" s="267" t="s">
        <v>1283</v>
      </c>
      <c r="H4809" s="3"/>
    </row>
    <row r="4810" spans="1:8">
      <c r="A4810" s="270">
        <v>45306</v>
      </c>
      <c r="B4810" s="267"/>
      <c r="C4810" s="267" t="s">
        <v>2652</v>
      </c>
      <c r="D4810" s="3" t="s">
        <v>2650</v>
      </c>
      <c r="E4810" s="1497"/>
      <c r="F4810" s="1497">
        <v>229006.12</v>
      </c>
      <c r="G4810" s="267" t="s">
        <v>27</v>
      </c>
      <c r="H4810" s="3"/>
    </row>
    <row r="4811" spans="1:8">
      <c r="A4811" s="270">
        <v>45308</v>
      </c>
      <c r="B4811" s="267"/>
      <c r="C4811" s="267" t="s">
        <v>205</v>
      </c>
      <c r="D4811" s="3" t="s">
        <v>859</v>
      </c>
      <c r="E4811" s="1497">
        <v>175000</v>
      </c>
      <c r="F4811" s="1497"/>
      <c r="G4811" s="267" t="s">
        <v>27</v>
      </c>
      <c r="H4811" s="3"/>
    </row>
    <row r="4812" spans="1:8">
      <c r="A4812" s="270">
        <v>45308</v>
      </c>
      <c r="B4812" s="267"/>
      <c r="C4812" s="267" t="s">
        <v>86</v>
      </c>
      <c r="D4812" s="3" t="s">
        <v>104</v>
      </c>
      <c r="E4812" s="1497">
        <v>8000</v>
      </c>
      <c r="F4812" s="1497"/>
      <c r="G4812" s="267" t="s">
        <v>56</v>
      </c>
      <c r="H4812" s="3"/>
    </row>
    <row r="4813" spans="1:8">
      <c r="A4813" s="270">
        <v>45310</v>
      </c>
      <c r="B4813" s="267"/>
      <c r="C4813" s="267" t="s">
        <v>92</v>
      </c>
      <c r="D4813" s="3" t="s">
        <v>300</v>
      </c>
      <c r="E4813" s="1497"/>
      <c r="F4813" s="1497">
        <v>328000</v>
      </c>
      <c r="G4813" s="267" t="s">
        <v>56</v>
      </c>
      <c r="H4813" s="3"/>
    </row>
    <row r="4814" spans="1:8">
      <c r="A4814" s="270">
        <v>45310</v>
      </c>
      <c r="B4814" s="267"/>
      <c r="C4814" s="267" t="s">
        <v>92</v>
      </c>
      <c r="D4814" s="3" t="s">
        <v>609</v>
      </c>
      <c r="E4814" s="1497"/>
      <c r="F4814" s="1497">
        <v>32616.76</v>
      </c>
      <c r="G4814" s="267" t="s">
        <v>27</v>
      </c>
      <c r="H4814" s="3"/>
    </row>
    <row r="4815" spans="1:8">
      <c r="A4815" s="270">
        <v>45310</v>
      </c>
      <c r="B4815" s="267"/>
      <c r="C4815" s="267" t="s">
        <v>537</v>
      </c>
      <c r="D4815" s="3" t="s">
        <v>144</v>
      </c>
      <c r="E4815" s="1497">
        <v>70000</v>
      </c>
      <c r="F4815" s="1497"/>
      <c r="G4815" s="267" t="s">
        <v>27</v>
      </c>
      <c r="H4815" s="3"/>
    </row>
    <row r="4816" spans="1:8">
      <c r="A4816" s="270">
        <v>45310</v>
      </c>
      <c r="B4816" s="267"/>
      <c r="C4816" s="267" t="s">
        <v>537</v>
      </c>
      <c r="D4816" s="3" t="s">
        <v>144</v>
      </c>
      <c r="E4816" s="1497">
        <v>55000</v>
      </c>
      <c r="F4816" s="1497"/>
      <c r="G4816" s="267" t="s">
        <v>56</v>
      </c>
      <c r="H4816" s="3"/>
    </row>
    <row r="4817" spans="1:8">
      <c r="A4817" s="270">
        <v>45310</v>
      </c>
      <c r="B4817" s="267"/>
      <c r="C4817" s="267" t="s">
        <v>537</v>
      </c>
      <c r="D4817" s="3" t="s">
        <v>219</v>
      </c>
      <c r="E4817" s="1497">
        <v>87000</v>
      </c>
      <c r="F4817" s="1497"/>
      <c r="G4817" s="267" t="s">
        <v>56</v>
      </c>
      <c r="H4817" s="3"/>
    </row>
    <row r="4818" spans="1:8">
      <c r="A4818" s="270">
        <v>45310</v>
      </c>
      <c r="B4818" s="267"/>
      <c r="C4818" s="267" t="s">
        <v>537</v>
      </c>
      <c r="D4818" s="3" t="s">
        <v>193</v>
      </c>
      <c r="E4818" s="1497">
        <v>50000</v>
      </c>
      <c r="F4818" s="1497"/>
      <c r="G4818" s="267" t="s">
        <v>56</v>
      </c>
      <c r="H4818" s="3"/>
    </row>
    <row r="4819" spans="1:8">
      <c r="A4819" s="270">
        <v>45310</v>
      </c>
      <c r="B4819" s="267"/>
      <c r="C4819" s="267" t="s">
        <v>537</v>
      </c>
      <c r="D4819" s="3" t="s">
        <v>2606</v>
      </c>
      <c r="E4819" s="1497">
        <v>64000</v>
      </c>
      <c r="F4819" s="1497"/>
      <c r="G4819" s="267" t="s">
        <v>56</v>
      </c>
      <c r="H4819" s="3"/>
    </row>
    <row r="4820" spans="1:8">
      <c r="A4820" s="270">
        <v>45310</v>
      </c>
      <c r="B4820" s="267"/>
      <c r="C4820" s="267" t="s">
        <v>79</v>
      </c>
      <c r="D4820" s="3" t="s">
        <v>166</v>
      </c>
      <c r="E4820" s="1497">
        <v>156000</v>
      </c>
      <c r="F4820" s="1497"/>
      <c r="G4820" s="267" t="s">
        <v>27</v>
      </c>
      <c r="H4820" s="3"/>
    </row>
    <row r="4821" spans="1:8">
      <c r="A4821" s="270">
        <v>45310</v>
      </c>
      <c r="B4821" s="267"/>
      <c r="C4821" s="267" t="s">
        <v>205</v>
      </c>
      <c r="D4821" s="3" t="s">
        <v>2654</v>
      </c>
      <c r="E4821" s="1497">
        <v>2600</v>
      </c>
      <c r="F4821" s="1497"/>
      <c r="G4821" s="267" t="s">
        <v>56</v>
      </c>
      <c r="H4821" s="3"/>
    </row>
    <row r="4822" spans="1:8">
      <c r="A4822" s="270">
        <v>45310</v>
      </c>
      <c r="B4822" s="267"/>
      <c r="C4822" s="267" t="s">
        <v>90</v>
      </c>
      <c r="D4822" s="3" t="s">
        <v>2655</v>
      </c>
      <c r="E4822" s="1497">
        <v>1000</v>
      </c>
      <c r="F4822" s="1497"/>
      <c r="G4822" s="267" t="s">
        <v>56</v>
      </c>
      <c r="H4822" s="3"/>
    </row>
    <row r="4823" spans="1:8" ht="15.75" thickBot="1">
      <c r="A4823" s="270">
        <v>45310</v>
      </c>
      <c r="B4823" s="267"/>
      <c r="C4823" s="267" t="s">
        <v>205</v>
      </c>
      <c r="D4823" s="3" t="s">
        <v>2653</v>
      </c>
      <c r="E4823" s="1497">
        <v>32322</v>
      </c>
      <c r="F4823" s="1497"/>
      <c r="G4823" s="267" t="s">
        <v>27</v>
      </c>
      <c r="H4823" s="71">
        <f>SUM(F4801:F4823)</f>
        <v>1313678.8400000001</v>
      </c>
    </row>
    <row r="4824" spans="1:8" ht="15.75" thickBot="1">
      <c r="A4824" s="148"/>
      <c r="B4824" s="244"/>
      <c r="C4824" s="244"/>
      <c r="D4824" s="115"/>
      <c r="E4824" s="1492"/>
      <c r="F4824" s="1492"/>
      <c r="G4824" s="244"/>
      <c r="H4824" s="201">
        <v>45310</v>
      </c>
    </row>
    <row r="4825" spans="1:8">
      <c r="A4825" s="244"/>
      <c r="B4825" s="244"/>
      <c r="C4825" s="244"/>
      <c r="D4825" s="115"/>
      <c r="E4825" s="1492"/>
      <c r="F4825" s="1492"/>
      <c r="G4825" s="244"/>
      <c r="H4825" s="199" t="s">
        <v>2641</v>
      </c>
    </row>
    <row r="4826" spans="1:8">
      <c r="A4826" s="244"/>
      <c r="B4826" s="244"/>
      <c r="C4826" s="244"/>
      <c r="D4826" s="115"/>
      <c r="E4826" s="1492"/>
      <c r="F4826" s="1492"/>
      <c r="G4826" s="244"/>
      <c r="H4826" s="137" t="s">
        <v>2657</v>
      </c>
    </row>
    <row r="4827" spans="1:8">
      <c r="A4827" s="244"/>
      <c r="B4827" s="244"/>
      <c r="C4827" s="244"/>
      <c r="D4827" s="115"/>
      <c r="E4827" s="1492"/>
      <c r="F4827" s="1492"/>
      <c r="G4827" s="244"/>
      <c r="H4827" s="138" t="s">
        <v>2656</v>
      </c>
    </row>
    <row r="4828" spans="1:8">
      <c r="H4828" s="138" t="s">
        <v>2613</v>
      </c>
    </row>
    <row r="4829" spans="1:8">
      <c r="H4829" s="138" t="s">
        <v>2473</v>
      </c>
    </row>
    <row r="4830" spans="1:8">
      <c r="H4830" s="138" t="s">
        <v>2024</v>
      </c>
    </row>
    <row r="4831" spans="1:8">
      <c r="H4831" s="138" t="s">
        <v>1215</v>
      </c>
    </row>
    <row r="4832" spans="1:8" ht="15.75" thickBot="1">
      <c r="H4832" s="147" t="s">
        <v>2151</v>
      </c>
    </row>
    <row r="4833" spans="1:8" ht="15.75" thickBot="1">
      <c r="H4833" s="140" t="s">
        <v>2658</v>
      </c>
    </row>
    <row r="4834" spans="1:8" ht="15.75" thickBot="1">
      <c r="H4834" s="210">
        <v>8623321.9100000001</v>
      </c>
    </row>
    <row r="4835" spans="1:8">
      <c r="A4835" s="270">
        <v>45313</v>
      </c>
      <c r="B4835" s="267"/>
      <c r="C4835" s="267" t="s">
        <v>79</v>
      </c>
      <c r="D4835" s="3" t="s">
        <v>79</v>
      </c>
      <c r="E4835" s="1497">
        <v>6500</v>
      </c>
      <c r="F4835" s="1497"/>
      <c r="G4835" s="267" t="s">
        <v>56</v>
      </c>
      <c r="H4835" s="215"/>
    </row>
    <row r="4836" spans="1:8">
      <c r="A4836" s="270">
        <v>45313</v>
      </c>
      <c r="B4836" s="267"/>
      <c r="C4836" s="267" t="s">
        <v>176</v>
      </c>
      <c r="D4836" s="3" t="s">
        <v>130</v>
      </c>
      <c r="E4836" s="1497">
        <v>12000</v>
      </c>
      <c r="F4836" s="1497"/>
      <c r="G4836" s="267" t="s">
        <v>27</v>
      </c>
      <c r="H4836" s="3"/>
    </row>
    <row r="4837" spans="1:8">
      <c r="A4837" s="270">
        <v>45313</v>
      </c>
      <c r="B4837" s="267"/>
      <c r="C4837" s="267" t="s">
        <v>55</v>
      </c>
      <c r="D4837" s="3" t="s">
        <v>2659</v>
      </c>
      <c r="E4837" s="1497">
        <v>1000</v>
      </c>
      <c r="F4837" s="1497"/>
      <c r="G4837" s="267" t="s">
        <v>56</v>
      </c>
      <c r="H4837" s="3"/>
    </row>
    <row r="4838" spans="1:8">
      <c r="A4838" s="270">
        <v>45314</v>
      </c>
      <c r="B4838" s="267"/>
      <c r="C4838" s="267" t="s">
        <v>86</v>
      </c>
      <c r="D4838" s="3" t="s">
        <v>107</v>
      </c>
      <c r="E4838" s="1497">
        <v>10000</v>
      </c>
      <c r="F4838" s="1497"/>
      <c r="G4838" s="267" t="s">
        <v>27</v>
      </c>
      <c r="H4838" s="3"/>
    </row>
    <row r="4839" spans="1:8">
      <c r="A4839" s="270">
        <v>45314</v>
      </c>
      <c r="B4839" s="267"/>
      <c r="C4839" s="267" t="s">
        <v>97</v>
      </c>
      <c r="D4839" s="3" t="s">
        <v>920</v>
      </c>
      <c r="E4839" s="1497">
        <v>7000</v>
      </c>
      <c r="F4839" s="1497"/>
      <c r="G4839" s="267" t="s">
        <v>56</v>
      </c>
      <c r="H4839" s="3"/>
    </row>
    <row r="4840" spans="1:8">
      <c r="A4840" s="270">
        <v>45314</v>
      </c>
      <c r="B4840" s="267"/>
      <c r="C4840" s="267" t="s">
        <v>86</v>
      </c>
      <c r="D4840" s="3" t="s">
        <v>104</v>
      </c>
      <c r="E4840" s="1497">
        <v>30000</v>
      </c>
      <c r="F4840" s="1497"/>
      <c r="G4840" s="267" t="s">
        <v>56</v>
      </c>
      <c r="H4840" s="3" t="s">
        <v>2660</v>
      </c>
    </row>
    <row r="4841" spans="1:8">
      <c r="A4841" s="270">
        <v>45314</v>
      </c>
      <c r="B4841" s="267"/>
      <c r="C4841" s="267" t="s">
        <v>831</v>
      </c>
      <c r="D4841" s="3" t="s">
        <v>2561</v>
      </c>
      <c r="E4841" s="1497">
        <v>10404</v>
      </c>
      <c r="F4841" s="1497"/>
      <c r="G4841" s="267" t="s">
        <v>56</v>
      </c>
      <c r="H4841" s="3" t="s">
        <v>2660</v>
      </c>
    </row>
    <row r="4842" spans="1:8">
      <c r="A4842" s="270">
        <v>45315</v>
      </c>
      <c r="B4842" s="267"/>
      <c r="C4842" s="267" t="s">
        <v>55</v>
      </c>
      <c r="D4842" s="3" t="s">
        <v>2661</v>
      </c>
      <c r="E4842" s="1497">
        <v>4000</v>
      </c>
      <c r="F4842" s="1497"/>
      <c r="G4842" s="267" t="s">
        <v>56</v>
      </c>
      <c r="H4842" s="3"/>
    </row>
    <row r="4843" spans="1:8">
      <c r="A4843" s="270">
        <v>45315</v>
      </c>
      <c r="B4843" s="267"/>
      <c r="C4843" s="267" t="s">
        <v>79</v>
      </c>
      <c r="D4843" s="3" t="s">
        <v>2466</v>
      </c>
      <c r="E4843" s="1497" t="s">
        <v>2662</v>
      </c>
      <c r="F4843" s="1497"/>
      <c r="G4843" s="267" t="s">
        <v>27</v>
      </c>
      <c r="H4843" s="3"/>
    </row>
    <row r="4844" spans="1:8">
      <c r="A4844" s="270">
        <v>45315</v>
      </c>
      <c r="B4844" s="267"/>
      <c r="C4844" s="267" t="s">
        <v>55</v>
      </c>
      <c r="D4844" s="3" t="s">
        <v>109</v>
      </c>
      <c r="E4844" s="1497">
        <v>6650</v>
      </c>
      <c r="F4844" s="1497"/>
      <c r="G4844" s="267" t="s">
        <v>56</v>
      </c>
      <c r="H4844" s="3"/>
    </row>
    <row r="4845" spans="1:8">
      <c r="A4845" s="270">
        <v>45315</v>
      </c>
      <c r="B4845" s="267"/>
      <c r="C4845" s="267" t="s">
        <v>55</v>
      </c>
      <c r="D4845" s="3" t="s">
        <v>2663</v>
      </c>
      <c r="E4845" s="1497">
        <v>5000</v>
      </c>
      <c r="F4845" s="1497"/>
      <c r="G4845" s="267" t="s">
        <v>56</v>
      </c>
      <c r="H4845" s="3"/>
    </row>
    <row r="4846" spans="1:8">
      <c r="A4846" s="270">
        <v>45315</v>
      </c>
      <c r="B4846" s="267"/>
      <c r="C4846" s="267" t="s">
        <v>849</v>
      </c>
      <c r="D4846" s="3" t="s">
        <v>2664</v>
      </c>
      <c r="E4846" s="1497">
        <v>5800</v>
      </c>
      <c r="F4846" s="1497"/>
      <c r="G4846" s="267" t="s">
        <v>56</v>
      </c>
      <c r="H4846" s="3"/>
    </row>
    <row r="4847" spans="1:8">
      <c r="A4847" s="270">
        <v>45316</v>
      </c>
      <c r="B4847" s="267"/>
      <c r="C4847" s="267" t="s">
        <v>55</v>
      </c>
      <c r="D4847" s="3" t="s">
        <v>1951</v>
      </c>
      <c r="E4847" s="1497">
        <v>5000</v>
      </c>
      <c r="F4847" s="1497"/>
      <c r="G4847" s="267" t="s">
        <v>56</v>
      </c>
      <c r="H4847" s="3"/>
    </row>
    <row r="4848" spans="1:8">
      <c r="A4848" s="270">
        <v>45316</v>
      </c>
      <c r="B4848" s="267"/>
      <c r="C4848" s="267" t="s">
        <v>55</v>
      </c>
      <c r="D4848" s="3" t="s">
        <v>63</v>
      </c>
      <c r="E4848" s="1497">
        <v>4300</v>
      </c>
      <c r="F4848" s="1497"/>
      <c r="G4848" s="267" t="s">
        <v>56</v>
      </c>
      <c r="H4848" s="3"/>
    </row>
    <row r="4849" spans="1:8">
      <c r="A4849" s="270">
        <v>45316</v>
      </c>
      <c r="B4849" s="267"/>
      <c r="C4849" s="267" t="s">
        <v>205</v>
      </c>
      <c r="D4849" s="3" t="s">
        <v>113</v>
      </c>
      <c r="E4849" s="1497">
        <v>91043.41</v>
      </c>
      <c r="F4849" s="1497"/>
      <c r="G4849" s="267" t="s">
        <v>27</v>
      </c>
      <c r="H4849" s="3"/>
    </row>
    <row r="4850" spans="1:8">
      <c r="A4850" s="270">
        <v>45316</v>
      </c>
      <c r="B4850" s="267"/>
      <c r="C4850" s="267" t="s">
        <v>79</v>
      </c>
      <c r="D4850" s="3" t="s">
        <v>2665</v>
      </c>
      <c r="E4850" s="1497">
        <v>8210.5</v>
      </c>
      <c r="F4850" s="1497"/>
      <c r="G4850" s="267" t="s">
        <v>27</v>
      </c>
      <c r="H4850" s="3"/>
    </row>
    <row r="4851" spans="1:8">
      <c r="A4851" s="270">
        <v>45316</v>
      </c>
      <c r="B4851" s="267"/>
      <c r="C4851" s="267" t="s">
        <v>79</v>
      </c>
      <c r="D4851" s="3" t="s">
        <v>526</v>
      </c>
      <c r="E4851" s="1497">
        <v>16471.96</v>
      </c>
      <c r="F4851" s="1497"/>
      <c r="G4851" s="267" t="s">
        <v>27</v>
      </c>
      <c r="H4851" s="3"/>
    </row>
    <row r="4852" spans="1:8">
      <c r="A4852" s="270">
        <v>45317</v>
      </c>
      <c r="B4852" s="267"/>
      <c r="C4852" s="267" t="s">
        <v>156</v>
      </c>
      <c r="D4852" s="3" t="s">
        <v>156</v>
      </c>
      <c r="E4852" s="1497">
        <v>15753.26</v>
      </c>
      <c r="F4852" s="1497"/>
      <c r="G4852" s="267" t="s">
        <v>27</v>
      </c>
      <c r="H4852" s="3"/>
    </row>
    <row r="4853" spans="1:8">
      <c r="A4853" s="270">
        <v>45317</v>
      </c>
      <c r="B4853" s="267"/>
      <c r="C4853" s="267" t="s">
        <v>79</v>
      </c>
      <c r="D4853" s="3" t="s">
        <v>79</v>
      </c>
      <c r="E4853" s="1497">
        <v>7461.36</v>
      </c>
      <c r="F4853" s="1497"/>
      <c r="G4853" s="267" t="s">
        <v>27</v>
      </c>
      <c r="H4853" s="3"/>
    </row>
    <row r="4854" spans="1:8">
      <c r="A4854" s="270">
        <v>45317</v>
      </c>
      <c r="B4854" s="267"/>
      <c r="C4854" s="267" t="s">
        <v>92</v>
      </c>
      <c r="D4854" s="3" t="s">
        <v>1736</v>
      </c>
      <c r="E4854" s="1497"/>
      <c r="F4854" s="1497">
        <v>153600</v>
      </c>
      <c r="G4854" s="267" t="s">
        <v>56</v>
      </c>
      <c r="H4854" s="3"/>
    </row>
    <row r="4855" spans="1:8">
      <c r="A4855" s="270">
        <v>45317</v>
      </c>
      <c r="B4855" s="267"/>
      <c r="C4855" s="267" t="s">
        <v>92</v>
      </c>
      <c r="D4855" s="3" t="s">
        <v>2597</v>
      </c>
      <c r="E4855" s="1497"/>
      <c r="F4855" s="1497">
        <v>81000</v>
      </c>
      <c r="G4855" s="267" t="s">
        <v>56</v>
      </c>
      <c r="H4855" s="3"/>
    </row>
    <row r="4856" spans="1:8">
      <c r="A4856" s="270">
        <v>45317</v>
      </c>
      <c r="B4856" s="267"/>
      <c r="C4856" s="267" t="s">
        <v>92</v>
      </c>
      <c r="D4856" s="3" t="s">
        <v>2666</v>
      </c>
      <c r="E4856" s="1497"/>
      <c r="F4856" s="1497">
        <v>13000</v>
      </c>
      <c r="G4856" s="267" t="s">
        <v>56</v>
      </c>
      <c r="H4856" s="3"/>
    </row>
    <row r="4857" spans="1:8">
      <c r="A4857" s="270">
        <v>45317</v>
      </c>
      <c r="B4857" s="267"/>
      <c r="C4857" s="267" t="s">
        <v>537</v>
      </c>
      <c r="D4857" s="3" t="s">
        <v>193</v>
      </c>
      <c r="E4857" s="1497">
        <v>50000</v>
      </c>
      <c r="F4857" s="1497"/>
      <c r="G4857" s="267" t="s">
        <v>56</v>
      </c>
      <c r="H4857" s="3"/>
    </row>
    <row r="4858" spans="1:8">
      <c r="A4858" s="270">
        <v>45317</v>
      </c>
      <c r="B4858" s="267"/>
      <c r="C4858" s="267" t="s">
        <v>537</v>
      </c>
      <c r="D4858" s="3" t="s">
        <v>219</v>
      </c>
      <c r="E4858" s="1497">
        <v>98500</v>
      </c>
      <c r="F4858" s="1497"/>
      <c r="G4858" s="267" t="s">
        <v>56</v>
      </c>
      <c r="H4858" s="3"/>
    </row>
    <row r="4859" spans="1:8">
      <c r="A4859" s="270">
        <v>45317</v>
      </c>
      <c r="B4859" s="267"/>
      <c r="C4859" s="267" t="s">
        <v>537</v>
      </c>
      <c r="D4859" s="3" t="s">
        <v>2668</v>
      </c>
      <c r="E4859" s="1497">
        <v>65750</v>
      </c>
      <c r="F4859" s="1497"/>
      <c r="G4859" s="267" t="s">
        <v>56</v>
      </c>
      <c r="H4859" s="3"/>
    </row>
    <row r="4860" spans="1:8">
      <c r="A4860" s="270">
        <v>45317</v>
      </c>
      <c r="B4860" s="267"/>
      <c r="C4860" s="267" t="s">
        <v>537</v>
      </c>
      <c r="D4860" s="3" t="s">
        <v>144</v>
      </c>
      <c r="E4860" s="1497">
        <v>125000</v>
      </c>
      <c r="F4860" s="1497"/>
      <c r="G4860" s="267" t="s">
        <v>56</v>
      </c>
      <c r="H4860" s="3"/>
    </row>
    <row r="4861" spans="1:8">
      <c r="A4861" s="270">
        <v>45317</v>
      </c>
      <c r="B4861" s="267"/>
      <c r="C4861" s="267" t="s">
        <v>92</v>
      </c>
      <c r="D4861" s="3" t="s">
        <v>2667</v>
      </c>
      <c r="E4861" s="1497"/>
      <c r="F4861" s="1497">
        <v>363100</v>
      </c>
      <c r="G4861" s="267" t="s">
        <v>27</v>
      </c>
      <c r="H4861" s="3"/>
    </row>
    <row r="4862" spans="1:8">
      <c r="A4862" s="270">
        <v>45317</v>
      </c>
      <c r="B4862" s="267"/>
      <c r="C4862" s="267" t="s">
        <v>92</v>
      </c>
      <c r="D4862" s="3" t="s">
        <v>2667</v>
      </c>
      <c r="E4862" s="1497"/>
      <c r="F4862" s="1497">
        <v>331500</v>
      </c>
      <c r="G4862" s="267" t="s">
        <v>27</v>
      </c>
      <c r="H4862" s="3"/>
    </row>
    <row r="4863" spans="1:8">
      <c r="A4863" s="270">
        <v>45317</v>
      </c>
      <c r="B4863" s="267"/>
      <c r="C4863" s="267" t="s">
        <v>79</v>
      </c>
      <c r="D4863" s="3" t="s">
        <v>2670</v>
      </c>
      <c r="E4863" s="1497">
        <v>195824.63</v>
      </c>
      <c r="F4863" s="1497"/>
      <c r="G4863" s="267" t="s">
        <v>27</v>
      </c>
      <c r="H4863" s="3"/>
    </row>
    <row r="4864" spans="1:8" ht="15.75" thickBot="1">
      <c r="A4864" s="270">
        <v>45317</v>
      </c>
      <c r="B4864" s="267"/>
      <c r="C4864" s="267" t="s">
        <v>205</v>
      </c>
      <c r="D4864" s="3" t="s">
        <v>2672</v>
      </c>
      <c r="E4864" s="1497">
        <v>10400</v>
      </c>
      <c r="F4864" s="1497"/>
      <c r="G4864" s="267" t="s">
        <v>56</v>
      </c>
      <c r="H4864" s="71">
        <f>SUM(F4835:F4864)</f>
        <v>942200</v>
      </c>
    </row>
    <row r="4865" spans="1:8" ht="15.75" thickBot="1">
      <c r="H4865" s="201">
        <v>45317</v>
      </c>
    </row>
    <row r="4866" spans="1:8">
      <c r="H4866" s="199" t="s">
        <v>2641</v>
      </c>
    </row>
    <row r="4867" spans="1:8">
      <c r="H4867" s="137" t="s">
        <v>2671</v>
      </c>
    </row>
    <row r="4868" spans="1:8">
      <c r="H4868" s="138" t="s">
        <v>2430</v>
      </c>
    </row>
    <row r="4869" spans="1:8">
      <c r="H4869" s="138" t="s">
        <v>2613</v>
      </c>
    </row>
    <row r="4870" spans="1:8">
      <c r="H4870" s="138" t="s">
        <v>2473</v>
      </c>
    </row>
    <row r="4871" spans="1:8">
      <c r="H4871" s="138" t="s">
        <v>3918</v>
      </c>
    </row>
    <row r="4872" spans="1:8">
      <c r="H4872" s="138" t="s">
        <v>2669</v>
      </c>
    </row>
    <row r="4873" spans="1:8">
      <c r="H4873" s="138" t="s">
        <v>1215</v>
      </c>
    </row>
    <row r="4874" spans="1:8" ht="15.75" thickBot="1">
      <c r="H4874" s="147" t="s">
        <v>2151</v>
      </c>
    </row>
    <row r="4875" spans="1:8" ht="15.75" thickBot="1">
      <c r="H4875" s="140" t="s">
        <v>2658</v>
      </c>
    </row>
    <row r="4876" spans="1:8" ht="15.75" thickBot="1">
      <c r="H4876" s="210">
        <v>8071058.1699999999</v>
      </c>
    </row>
    <row r="4877" spans="1:8">
      <c r="A4877" s="270">
        <v>45320</v>
      </c>
      <c r="B4877" s="267"/>
      <c r="C4877" s="267" t="s">
        <v>86</v>
      </c>
      <c r="D4877" s="3" t="s">
        <v>107</v>
      </c>
      <c r="E4877" s="1497"/>
      <c r="F4877" s="1497" t="s">
        <v>2673</v>
      </c>
      <c r="G4877" s="267" t="s">
        <v>27</v>
      </c>
      <c r="H4877" s="5"/>
    </row>
    <row r="4878" spans="1:8">
      <c r="A4878" s="270">
        <v>45320</v>
      </c>
      <c r="B4878" s="267"/>
      <c r="C4878" s="267" t="s">
        <v>79</v>
      </c>
      <c r="D4878" s="3" t="s">
        <v>79</v>
      </c>
      <c r="E4878" s="1497"/>
      <c r="F4878" s="1497">
        <v>15009.97</v>
      </c>
      <c r="G4878" s="267" t="s">
        <v>27</v>
      </c>
      <c r="H4878" s="3"/>
    </row>
    <row r="4879" spans="1:8">
      <c r="A4879" s="270">
        <v>45320</v>
      </c>
      <c r="B4879" s="267"/>
      <c r="C4879" s="267" t="s">
        <v>205</v>
      </c>
      <c r="D4879" s="3" t="s">
        <v>53</v>
      </c>
      <c r="E4879" s="1497">
        <v>112500</v>
      </c>
      <c r="F4879" s="1497"/>
      <c r="G4879" s="267" t="s">
        <v>27</v>
      </c>
      <c r="H4879" s="3"/>
    </row>
    <row r="4880" spans="1:8">
      <c r="A4880" s="270">
        <v>45320</v>
      </c>
      <c r="B4880" s="267"/>
      <c r="C4880" s="267" t="s">
        <v>92</v>
      </c>
      <c r="D4880" s="3" t="s">
        <v>2112</v>
      </c>
      <c r="E4880" s="1497"/>
      <c r="F4880" s="1497">
        <v>37000</v>
      </c>
      <c r="G4880" s="267" t="s">
        <v>56</v>
      </c>
      <c r="H4880" s="3"/>
    </row>
    <row r="4881" spans="1:8">
      <c r="A4881" s="270">
        <v>45320</v>
      </c>
      <c r="B4881" s="267"/>
      <c r="C4881" s="267" t="s">
        <v>79</v>
      </c>
      <c r="D4881" s="3" t="s">
        <v>79</v>
      </c>
      <c r="E4881" s="1497">
        <v>17000</v>
      </c>
      <c r="F4881" s="1497"/>
      <c r="G4881" s="267" t="s">
        <v>56</v>
      </c>
      <c r="H4881" s="3"/>
    </row>
    <row r="4882" spans="1:8">
      <c r="A4882" s="270">
        <v>45321</v>
      </c>
      <c r="B4882" s="267"/>
      <c r="C4882" s="267" t="s">
        <v>55</v>
      </c>
      <c r="D4882" s="3" t="s">
        <v>2675</v>
      </c>
      <c r="E4882" s="1497" t="s">
        <v>2674</v>
      </c>
      <c r="F4882" s="1497"/>
      <c r="G4882" s="267" t="s">
        <v>56</v>
      </c>
      <c r="H4882" s="3"/>
    </row>
    <row r="4883" spans="1:8">
      <c r="A4883" s="270">
        <v>45321</v>
      </c>
      <c r="B4883" s="267"/>
      <c r="C4883" s="267" t="s">
        <v>97</v>
      </c>
      <c r="D4883" s="3" t="s">
        <v>450</v>
      </c>
      <c r="E4883" s="1497">
        <v>47000</v>
      </c>
      <c r="F4883" s="1497"/>
      <c r="G4883" s="267" t="s">
        <v>27</v>
      </c>
      <c r="H4883" s="3"/>
    </row>
    <row r="4884" spans="1:8">
      <c r="A4884" s="270">
        <v>45321</v>
      </c>
      <c r="B4884" s="267"/>
      <c r="C4884" s="267" t="s">
        <v>730</v>
      </c>
      <c r="D4884" s="3" t="s">
        <v>2676</v>
      </c>
      <c r="E4884" s="1497">
        <v>35000</v>
      </c>
      <c r="F4884" s="1497"/>
      <c r="G4884" s="267" t="s">
        <v>27</v>
      </c>
      <c r="H4884" s="3"/>
    </row>
    <row r="4885" spans="1:8">
      <c r="A4885" s="112">
        <v>45321</v>
      </c>
      <c r="B4885" s="70"/>
      <c r="C4885" s="70"/>
      <c r="D4885" s="113" t="s">
        <v>2679</v>
      </c>
      <c r="E4885" s="70">
        <v>40000</v>
      </c>
      <c r="F4885" s="70"/>
      <c r="G4885" s="70" t="s">
        <v>56</v>
      </c>
      <c r="H4885" s="113" t="s">
        <v>2682</v>
      </c>
    </row>
    <row r="4886" spans="1:8">
      <c r="A4886" s="270">
        <v>45322</v>
      </c>
      <c r="B4886" s="267"/>
      <c r="C4886" s="267" t="s">
        <v>205</v>
      </c>
      <c r="D4886" s="3" t="s">
        <v>854</v>
      </c>
      <c r="E4886" s="1497">
        <v>28500</v>
      </c>
      <c r="F4886" s="1497"/>
      <c r="G4886" s="267" t="s">
        <v>56</v>
      </c>
      <c r="H4886" s="3" t="s">
        <v>2677</v>
      </c>
    </row>
    <row r="4887" spans="1:8">
      <c r="A4887" s="270">
        <v>45322</v>
      </c>
      <c r="B4887" s="267"/>
      <c r="C4887" s="267" t="s">
        <v>86</v>
      </c>
      <c r="D4887" s="3" t="s">
        <v>107</v>
      </c>
      <c r="E4887" s="1497">
        <v>37508</v>
      </c>
      <c r="F4887" s="1497"/>
      <c r="G4887" s="267" t="s">
        <v>27</v>
      </c>
      <c r="H4887" s="3"/>
    </row>
    <row r="4888" spans="1:8">
      <c r="A4888" s="270">
        <v>45322</v>
      </c>
      <c r="B4888" s="267"/>
      <c r="C4888" s="267" t="s">
        <v>92</v>
      </c>
      <c r="D4888" s="3" t="s">
        <v>2678</v>
      </c>
      <c r="E4888" s="1497"/>
      <c r="F4888" s="1497">
        <v>64200</v>
      </c>
      <c r="G4888" s="267" t="s">
        <v>56</v>
      </c>
      <c r="H4888" s="3"/>
    </row>
    <row r="4889" spans="1:8">
      <c r="A4889" s="270">
        <v>45322</v>
      </c>
      <c r="B4889" s="267"/>
      <c r="C4889" s="267" t="s">
        <v>537</v>
      </c>
      <c r="D4889" s="3" t="s">
        <v>2606</v>
      </c>
      <c r="E4889" s="1497">
        <v>37800</v>
      </c>
      <c r="F4889" s="1497"/>
      <c r="G4889" s="267" t="s">
        <v>56</v>
      </c>
      <c r="H4889" s="3"/>
    </row>
    <row r="4890" spans="1:8">
      <c r="A4890" s="270">
        <v>45322</v>
      </c>
      <c r="B4890" s="267"/>
      <c r="C4890" s="267" t="s">
        <v>205</v>
      </c>
      <c r="D4890" s="3" t="s">
        <v>2680</v>
      </c>
      <c r="E4890" s="1497">
        <v>42150</v>
      </c>
      <c r="F4890" s="1497"/>
      <c r="G4890" s="267" t="s">
        <v>27</v>
      </c>
      <c r="H4890" s="3"/>
    </row>
    <row r="4891" spans="1:8">
      <c r="A4891" s="270">
        <v>45322</v>
      </c>
      <c r="B4891" s="267"/>
      <c r="C4891" s="267" t="s">
        <v>77</v>
      </c>
      <c r="D4891" s="3" t="s">
        <v>1794</v>
      </c>
      <c r="E4891" s="1497"/>
      <c r="F4891" s="1497">
        <v>150000</v>
      </c>
      <c r="G4891" s="267" t="s">
        <v>56</v>
      </c>
      <c r="H4891" s="3"/>
    </row>
    <row r="4892" spans="1:8">
      <c r="A4892" s="270">
        <v>45322</v>
      </c>
      <c r="B4892" s="267"/>
      <c r="C4892" s="267" t="s">
        <v>77</v>
      </c>
      <c r="D4892" s="3" t="s">
        <v>1794</v>
      </c>
      <c r="E4892" s="1497"/>
      <c r="F4892" s="1497">
        <v>268000</v>
      </c>
      <c r="G4892" s="267" t="s">
        <v>72</v>
      </c>
      <c r="H4892" s="45" t="s">
        <v>2681</v>
      </c>
    </row>
    <row r="4893" spans="1:8" ht="15.75" thickBot="1">
      <c r="A4893" s="270">
        <v>45322</v>
      </c>
      <c r="B4893" s="267"/>
      <c r="C4893" s="267" t="s">
        <v>92</v>
      </c>
      <c r="D4893" s="3" t="s">
        <v>2683</v>
      </c>
      <c r="E4893" s="1497"/>
      <c r="F4893" s="1497">
        <v>193660.17</v>
      </c>
      <c r="G4893" s="267" t="s">
        <v>27</v>
      </c>
      <c r="H4893" s="71">
        <f>SUM(F4877:F4893)</f>
        <v>727870.14</v>
      </c>
    </row>
    <row r="4894" spans="1:8" ht="15.75" thickBot="1">
      <c r="A4894" s="267"/>
      <c r="B4894" s="267"/>
      <c r="C4894" s="267"/>
      <c r="D4894" s="3"/>
      <c r="E4894" s="1497"/>
      <c r="F4894" s="1497"/>
      <c r="G4894" s="267"/>
      <c r="H4894" s="201">
        <v>45322</v>
      </c>
    </row>
    <row r="4895" spans="1:8">
      <c r="A4895" s="267"/>
      <c r="B4895" s="267"/>
      <c r="C4895" s="267"/>
      <c r="D4895" s="3"/>
      <c r="E4895" s="1497"/>
      <c r="F4895" s="1497"/>
      <c r="G4895" s="267"/>
      <c r="H4895" s="199" t="s">
        <v>2641</v>
      </c>
    </row>
    <row r="4896" spans="1:8">
      <c r="A4896" s="267"/>
      <c r="B4896" s="267"/>
      <c r="C4896" s="267"/>
      <c r="D4896" s="3"/>
      <c r="E4896" s="1497"/>
      <c r="F4896" s="1497"/>
      <c r="G4896" s="267"/>
      <c r="H4896" s="137" t="s">
        <v>2687</v>
      </c>
    </row>
    <row r="4897" spans="1:8">
      <c r="A4897" s="267"/>
      <c r="B4897" s="267"/>
      <c r="C4897" s="267"/>
      <c r="D4897" s="3"/>
      <c r="E4897" s="1497"/>
      <c r="F4897" s="1497"/>
      <c r="G4897" s="267"/>
      <c r="H4897" s="138" t="s">
        <v>2692</v>
      </c>
    </row>
    <row r="4898" spans="1:8">
      <c r="A4898" s="267"/>
      <c r="B4898" s="267"/>
      <c r="C4898" s="267"/>
      <c r="D4898" s="3"/>
      <c r="E4898" s="1497"/>
      <c r="F4898" s="1497"/>
      <c r="G4898" s="267"/>
      <c r="H4898" s="138" t="s">
        <v>2685</v>
      </c>
    </row>
    <row r="4899" spans="1:8">
      <c r="H4899" s="138" t="s">
        <v>2473</v>
      </c>
    </row>
    <row r="4900" spans="1:8">
      <c r="H4900" s="138" t="s">
        <v>2684</v>
      </c>
    </row>
    <row r="4901" spans="1:8">
      <c r="H4901" s="138" t="s">
        <v>2686</v>
      </c>
    </row>
    <row r="4902" spans="1:8">
      <c r="H4902" s="138" t="s">
        <v>1215</v>
      </c>
    </row>
    <row r="4903" spans="1:8" ht="15.75" thickBot="1">
      <c r="H4903" s="147" t="s">
        <v>2151</v>
      </c>
    </row>
    <row r="4904" spans="1:8" ht="15.75" thickBot="1">
      <c r="H4904" s="140" t="s">
        <v>2688</v>
      </c>
    </row>
    <row r="4905" spans="1:8">
      <c r="H4905" s="208"/>
    </row>
    <row r="4906" spans="1:8">
      <c r="A4906" s="270">
        <v>45323</v>
      </c>
      <c r="B4906" s="267"/>
      <c r="C4906" s="267" t="s">
        <v>68</v>
      </c>
      <c r="D4906" s="3" t="s">
        <v>1951</v>
      </c>
      <c r="E4906" s="1497">
        <v>5500</v>
      </c>
      <c r="F4906" s="1497"/>
      <c r="G4906" s="267" t="s">
        <v>56</v>
      </c>
      <c r="H4906" s="3"/>
    </row>
    <row r="4907" spans="1:8">
      <c r="A4907" s="270">
        <v>45323</v>
      </c>
      <c r="B4907" s="267"/>
      <c r="C4907" s="267" t="s">
        <v>92</v>
      </c>
      <c r="D4907" s="3" t="s">
        <v>2689</v>
      </c>
      <c r="E4907" s="1497"/>
      <c r="F4907" s="1497">
        <v>30000</v>
      </c>
      <c r="G4907" s="267" t="s">
        <v>56</v>
      </c>
      <c r="H4907" s="3"/>
    </row>
    <row r="4908" spans="1:8">
      <c r="A4908" s="270">
        <v>45323</v>
      </c>
      <c r="B4908" s="267"/>
      <c r="C4908" s="267" t="s">
        <v>205</v>
      </c>
      <c r="D4908" s="3" t="s">
        <v>113</v>
      </c>
      <c r="E4908" s="1497">
        <v>92908</v>
      </c>
      <c r="F4908" s="1497"/>
      <c r="G4908" s="267" t="s">
        <v>27</v>
      </c>
      <c r="H4908" s="3"/>
    </row>
    <row r="4909" spans="1:8">
      <c r="A4909" s="270">
        <v>45323</v>
      </c>
      <c r="B4909" s="267"/>
      <c r="C4909" s="267" t="s">
        <v>205</v>
      </c>
      <c r="D4909" s="3" t="s">
        <v>35</v>
      </c>
      <c r="E4909" s="1497">
        <v>65000</v>
      </c>
      <c r="F4909" s="1497"/>
      <c r="G4909" s="267" t="s">
        <v>27</v>
      </c>
      <c r="H4909" s="3"/>
    </row>
    <row r="4910" spans="1:8">
      <c r="A4910" s="270">
        <v>45323</v>
      </c>
      <c r="B4910" s="267"/>
      <c r="C4910" s="267" t="s">
        <v>205</v>
      </c>
      <c r="D4910" s="3" t="s">
        <v>190</v>
      </c>
      <c r="E4910" s="1497">
        <v>100000</v>
      </c>
      <c r="F4910" s="1497"/>
      <c r="G4910" s="267" t="s">
        <v>72</v>
      </c>
      <c r="H4910" s="3" t="s">
        <v>2691</v>
      </c>
    </row>
    <row r="4911" spans="1:8">
      <c r="A4911" s="270">
        <v>45323</v>
      </c>
      <c r="B4911" s="267"/>
      <c r="C4911" s="267" t="s">
        <v>849</v>
      </c>
      <c r="D4911" s="3" t="s">
        <v>1854</v>
      </c>
      <c r="E4911" s="1497">
        <v>168000</v>
      </c>
      <c r="F4911" s="1497"/>
      <c r="G4911" s="267" t="s">
        <v>72</v>
      </c>
      <c r="H4911" s="3" t="s">
        <v>2690</v>
      </c>
    </row>
    <row r="4912" spans="1:8">
      <c r="A4912" s="270">
        <v>45323</v>
      </c>
      <c r="B4912" s="267"/>
      <c r="C4912" s="267" t="s">
        <v>849</v>
      </c>
      <c r="D4912" s="3" t="s">
        <v>1854</v>
      </c>
      <c r="E4912" s="1497">
        <v>74832</v>
      </c>
      <c r="F4912" s="1497"/>
      <c r="G4912" s="267" t="s">
        <v>206</v>
      </c>
      <c r="H4912" s="3"/>
    </row>
    <row r="4913" spans="1:8">
      <c r="A4913" s="270">
        <v>45323</v>
      </c>
      <c r="B4913" s="267"/>
      <c r="C4913" s="267" t="s">
        <v>55</v>
      </c>
      <c r="D4913" s="3" t="s">
        <v>109</v>
      </c>
      <c r="E4913" s="1497">
        <v>4400</v>
      </c>
      <c r="F4913" s="1497"/>
      <c r="G4913" s="267" t="s">
        <v>56</v>
      </c>
      <c r="H4913" s="3"/>
    </row>
    <row r="4914" spans="1:8">
      <c r="A4914" s="270">
        <v>45323</v>
      </c>
      <c r="B4914" s="267"/>
      <c r="C4914" s="267" t="s">
        <v>537</v>
      </c>
      <c r="D4914" s="3" t="s">
        <v>144</v>
      </c>
      <c r="E4914" s="1497">
        <v>35000</v>
      </c>
      <c r="F4914" s="1497"/>
      <c r="G4914" s="267" t="s">
        <v>56</v>
      </c>
      <c r="H4914" s="3"/>
    </row>
    <row r="4915" spans="1:8">
      <c r="A4915" s="270">
        <v>45323</v>
      </c>
      <c r="B4915" s="267"/>
      <c r="C4915" s="267" t="s">
        <v>79</v>
      </c>
      <c r="D4915" s="3" t="s">
        <v>79</v>
      </c>
      <c r="E4915" s="1497">
        <v>5000</v>
      </c>
      <c r="F4915" s="1497"/>
      <c r="G4915" s="267" t="s">
        <v>56</v>
      </c>
      <c r="H4915" s="3"/>
    </row>
    <row r="4916" spans="1:8">
      <c r="A4916" s="270">
        <v>45324</v>
      </c>
      <c r="B4916" s="267"/>
      <c r="C4916" s="267" t="s">
        <v>92</v>
      </c>
      <c r="D4916" s="3" t="s">
        <v>2693</v>
      </c>
      <c r="E4916" s="1497"/>
      <c r="F4916" s="1497">
        <v>51780</v>
      </c>
      <c r="G4916" s="267" t="s">
        <v>27</v>
      </c>
      <c r="H4916" s="3"/>
    </row>
    <row r="4917" spans="1:8">
      <c r="A4917" s="270">
        <v>45324</v>
      </c>
      <c r="B4917" s="267"/>
      <c r="C4917" s="267" t="s">
        <v>79</v>
      </c>
      <c r="D4917" s="15" t="s">
        <v>2694</v>
      </c>
      <c r="E4917" s="1497"/>
      <c r="F4917" s="1497">
        <v>700000</v>
      </c>
      <c r="G4917" s="267" t="s">
        <v>27</v>
      </c>
      <c r="H4917" s="3" t="s">
        <v>2695</v>
      </c>
    </row>
    <row r="4918" spans="1:8">
      <c r="A4918" s="270">
        <v>45324</v>
      </c>
      <c r="B4918" s="267"/>
      <c r="C4918" s="267" t="s">
        <v>94</v>
      </c>
      <c r="D4918" s="3" t="s">
        <v>17</v>
      </c>
      <c r="E4918" s="1497">
        <v>137252.81</v>
      </c>
      <c r="F4918" s="1497"/>
      <c r="G4918" s="267" t="s">
        <v>27</v>
      </c>
      <c r="H4918" s="3"/>
    </row>
    <row r="4919" spans="1:8">
      <c r="A4919" s="270">
        <v>45324</v>
      </c>
      <c r="B4919" s="267"/>
      <c r="C4919" s="267" t="s">
        <v>94</v>
      </c>
      <c r="D4919" s="3" t="s">
        <v>15</v>
      </c>
      <c r="E4919" s="1497">
        <v>21520.42</v>
      </c>
      <c r="F4919" s="1497"/>
      <c r="G4919" s="267" t="s">
        <v>27</v>
      </c>
      <c r="H4919" s="3"/>
    </row>
    <row r="4920" spans="1:8">
      <c r="A4920" s="270">
        <v>45324</v>
      </c>
      <c r="B4920" s="267"/>
      <c r="C4920" s="267" t="s">
        <v>537</v>
      </c>
      <c r="D4920" s="3" t="s">
        <v>219</v>
      </c>
      <c r="E4920" s="1497">
        <v>95000</v>
      </c>
      <c r="F4920" s="1497"/>
      <c r="G4920" s="267" t="s">
        <v>56</v>
      </c>
      <c r="H4920" s="3"/>
    </row>
    <row r="4921" spans="1:8">
      <c r="A4921" s="270">
        <v>45324</v>
      </c>
      <c r="B4921" s="267"/>
      <c r="C4921" s="267" t="s">
        <v>537</v>
      </c>
      <c r="D4921" s="3" t="s">
        <v>144</v>
      </c>
      <c r="E4921" s="1497">
        <v>108000</v>
      </c>
      <c r="F4921" s="1497"/>
      <c r="G4921" s="267" t="s">
        <v>56</v>
      </c>
      <c r="H4921" s="3"/>
    </row>
    <row r="4922" spans="1:8">
      <c r="A4922" s="270">
        <v>45324</v>
      </c>
      <c r="B4922" s="267"/>
      <c r="C4922" s="267" t="s">
        <v>537</v>
      </c>
      <c r="D4922" s="3" t="s">
        <v>193</v>
      </c>
      <c r="E4922" s="1497">
        <v>57000</v>
      </c>
      <c r="F4922" s="1497"/>
      <c r="G4922" s="267" t="s">
        <v>56</v>
      </c>
      <c r="H4922" s="3"/>
    </row>
    <row r="4923" spans="1:8">
      <c r="A4923" s="270">
        <v>45324</v>
      </c>
      <c r="B4923" s="267"/>
      <c r="C4923" s="267" t="s">
        <v>79</v>
      </c>
      <c r="D4923" s="15" t="s">
        <v>79</v>
      </c>
      <c r="E4923" s="1497">
        <v>40000</v>
      </c>
      <c r="F4923" s="1497"/>
      <c r="G4923" s="267" t="s">
        <v>56</v>
      </c>
      <c r="H4923" s="3"/>
    </row>
    <row r="4924" spans="1:8" ht="15.75" thickBot="1">
      <c r="A4924" s="267"/>
      <c r="B4924" s="267"/>
      <c r="C4924" s="267"/>
      <c r="D4924" s="3"/>
      <c r="E4924" s="1497"/>
      <c r="F4924" s="1497"/>
      <c r="G4924" s="267"/>
      <c r="H4924" s="3"/>
    </row>
    <row r="4925" spans="1:8" ht="15.75" thickBot="1">
      <c r="H4925" s="201">
        <v>45324</v>
      </c>
    </row>
    <row r="4926" spans="1:8">
      <c r="H4926" s="199" t="s">
        <v>2641</v>
      </c>
    </row>
    <row r="4927" spans="1:8">
      <c r="H4927" s="137" t="s">
        <v>2702</v>
      </c>
    </row>
    <row r="4928" spans="1:8">
      <c r="H4928" s="138" t="s">
        <v>2704</v>
      </c>
    </row>
    <row r="4929" spans="1:8">
      <c r="H4929" s="138" t="s">
        <v>2700</v>
      </c>
    </row>
    <row r="4930" spans="1:8">
      <c r="H4930" s="138" t="s">
        <v>2473</v>
      </c>
    </row>
    <row r="4931" spans="1:8">
      <c r="H4931" s="138" t="s">
        <v>809</v>
      </c>
    </row>
    <row r="4932" spans="1:8">
      <c r="H4932" s="138" t="s">
        <v>2703</v>
      </c>
    </row>
    <row r="4933" spans="1:8">
      <c r="H4933" s="138" t="s">
        <v>1215</v>
      </c>
    </row>
    <row r="4934" spans="1:8" ht="15.75" thickBot="1">
      <c r="H4934" s="147" t="s">
        <v>2151</v>
      </c>
    </row>
    <row r="4935" spans="1:8" ht="15.75" thickBot="1">
      <c r="H4935" s="140" t="s">
        <v>2701</v>
      </c>
    </row>
    <row r="4936" spans="1:8">
      <c r="H4936" s="208">
        <v>8675675.9900000002</v>
      </c>
    </row>
    <row r="4937" spans="1:8">
      <c r="A4937" s="270">
        <v>45327</v>
      </c>
      <c r="B4937" s="267"/>
      <c r="C4937" s="267" t="s">
        <v>97</v>
      </c>
      <c r="D4937" s="3" t="s">
        <v>1992</v>
      </c>
      <c r="E4937" s="1497">
        <v>80000</v>
      </c>
      <c r="F4937" s="1497"/>
      <c r="G4937" s="267" t="s">
        <v>27</v>
      </c>
      <c r="H4937" s="3"/>
    </row>
    <row r="4938" spans="1:8">
      <c r="A4938" s="270">
        <v>45327</v>
      </c>
      <c r="B4938" s="267"/>
      <c r="C4938" s="267" t="s">
        <v>79</v>
      </c>
      <c r="D4938" s="3" t="s">
        <v>435</v>
      </c>
      <c r="E4938" s="1497">
        <v>25425.360000000001</v>
      </c>
      <c r="F4938" s="1497"/>
      <c r="G4938" s="267" t="s">
        <v>27</v>
      </c>
      <c r="H4938" s="3"/>
    </row>
    <row r="4939" spans="1:8">
      <c r="A4939" s="270">
        <v>45327</v>
      </c>
      <c r="B4939" s="267"/>
      <c r="C4939" s="267" t="s">
        <v>65</v>
      </c>
      <c r="D4939" s="3" t="s">
        <v>436</v>
      </c>
      <c r="E4939" s="1497">
        <v>5500</v>
      </c>
      <c r="F4939" s="1497"/>
      <c r="G4939" s="267" t="s">
        <v>27</v>
      </c>
      <c r="H4939" s="3"/>
    </row>
    <row r="4940" spans="1:8">
      <c r="A4940" s="270">
        <v>45327</v>
      </c>
      <c r="B4940" s="267"/>
      <c r="C4940" s="267" t="s">
        <v>65</v>
      </c>
      <c r="D4940" s="3" t="s">
        <v>437</v>
      </c>
      <c r="E4940" s="1497">
        <v>5500</v>
      </c>
      <c r="F4940" s="1497"/>
      <c r="G4940" s="267" t="s">
        <v>27</v>
      </c>
      <c r="H4940" s="3"/>
    </row>
    <row r="4941" spans="1:8">
      <c r="A4941" s="270">
        <v>45327</v>
      </c>
      <c r="B4941" s="267"/>
      <c r="C4941" s="267" t="s">
        <v>79</v>
      </c>
      <c r="D4941" s="3" t="s">
        <v>1991</v>
      </c>
      <c r="E4941" s="1497">
        <v>20090</v>
      </c>
      <c r="F4941" s="1497"/>
      <c r="G4941" s="267" t="s">
        <v>27</v>
      </c>
      <c r="H4941" s="3"/>
    </row>
    <row r="4942" spans="1:8">
      <c r="A4942" s="270">
        <v>45327</v>
      </c>
      <c r="B4942" s="267"/>
      <c r="C4942" s="267" t="s">
        <v>97</v>
      </c>
      <c r="D4942" s="3" t="s">
        <v>1992</v>
      </c>
      <c r="E4942" s="1497">
        <v>47000</v>
      </c>
      <c r="F4942" s="1497"/>
      <c r="G4942" s="267" t="s">
        <v>27</v>
      </c>
      <c r="H4942" s="3"/>
    </row>
    <row r="4943" spans="1:8">
      <c r="A4943" s="270">
        <v>45327</v>
      </c>
      <c r="B4943" s="267"/>
      <c r="C4943" s="267" t="s">
        <v>77</v>
      </c>
      <c r="D4943" s="3"/>
      <c r="E4943" s="1497"/>
      <c r="F4943" s="1497">
        <v>2500000</v>
      </c>
      <c r="G4943" s="267" t="s">
        <v>27</v>
      </c>
      <c r="H4943" s="3"/>
    </row>
    <row r="4944" spans="1:8">
      <c r="A4944" s="270">
        <v>45328</v>
      </c>
      <c r="B4944" s="267"/>
      <c r="C4944" s="267" t="s">
        <v>29</v>
      </c>
      <c r="D4944" s="3" t="s">
        <v>71</v>
      </c>
      <c r="E4944" s="1497">
        <v>300000</v>
      </c>
      <c r="F4944" s="1497"/>
      <c r="G4944" s="267" t="s">
        <v>27</v>
      </c>
      <c r="H4944" s="3"/>
    </row>
    <row r="4945" spans="1:8">
      <c r="A4945" s="270">
        <v>45328</v>
      </c>
      <c r="B4945" s="267"/>
      <c r="C4945" s="267" t="s">
        <v>77</v>
      </c>
      <c r="D4945" s="3"/>
      <c r="E4945" s="1497"/>
      <c r="F4945" s="1497">
        <v>1137000</v>
      </c>
      <c r="G4945" s="267" t="s">
        <v>27</v>
      </c>
      <c r="H4945" s="3"/>
    </row>
    <row r="4946" spans="1:8">
      <c r="A4946" s="270">
        <v>45329</v>
      </c>
      <c r="B4946" s="267"/>
      <c r="C4946" s="267" t="s">
        <v>29</v>
      </c>
      <c r="D4946" s="15" t="s">
        <v>71</v>
      </c>
      <c r="E4946" s="1497">
        <v>250000</v>
      </c>
      <c r="F4946" s="1497"/>
      <c r="G4946" s="267" t="s">
        <v>27</v>
      </c>
      <c r="H4946" s="3"/>
    </row>
    <row r="4947" spans="1:8">
      <c r="A4947" s="270">
        <v>45329</v>
      </c>
      <c r="B4947" s="267"/>
      <c r="C4947" s="267" t="s">
        <v>77</v>
      </c>
      <c r="D4947" s="3"/>
      <c r="E4947" s="1497"/>
      <c r="F4947" s="1497">
        <v>1240000</v>
      </c>
      <c r="G4947" s="267" t="s">
        <v>27</v>
      </c>
      <c r="H4947" s="3"/>
    </row>
    <row r="4948" spans="1:8">
      <c r="A4948" s="270">
        <v>45329</v>
      </c>
      <c r="B4948" s="267"/>
      <c r="C4948" s="267" t="s">
        <v>77</v>
      </c>
      <c r="D4948" s="3"/>
      <c r="E4948" s="1497"/>
      <c r="F4948" s="1497">
        <v>1023000</v>
      </c>
      <c r="G4948" s="267" t="s">
        <v>27</v>
      </c>
      <c r="H4948" s="3"/>
    </row>
    <row r="4949" spans="1:8">
      <c r="A4949" s="270">
        <v>45330</v>
      </c>
      <c r="B4949" s="267"/>
      <c r="C4949" s="267" t="s">
        <v>29</v>
      </c>
      <c r="D4949" s="3" t="s">
        <v>71</v>
      </c>
      <c r="E4949" s="1497">
        <v>195500</v>
      </c>
      <c r="F4949" s="1497"/>
      <c r="G4949" s="267" t="s">
        <v>27</v>
      </c>
      <c r="H4949" s="3"/>
    </row>
    <row r="4950" spans="1:8">
      <c r="A4950" s="270">
        <v>45330</v>
      </c>
      <c r="B4950" s="267"/>
      <c r="C4950" s="267" t="s">
        <v>537</v>
      </c>
      <c r="D4950" s="3" t="s">
        <v>144</v>
      </c>
      <c r="E4950" s="1497">
        <v>9735</v>
      </c>
      <c r="F4950" s="1497"/>
      <c r="G4950" s="267" t="s">
        <v>27</v>
      </c>
      <c r="H4950" s="3"/>
    </row>
    <row r="4951" spans="1:8">
      <c r="A4951" s="270">
        <v>45331</v>
      </c>
      <c r="B4951" s="267"/>
      <c r="C4951" s="267" t="s">
        <v>55</v>
      </c>
      <c r="D4951" s="3" t="s">
        <v>2630</v>
      </c>
      <c r="E4951" s="1497">
        <v>9441</v>
      </c>
      <c r="F4951" s="1497"/>
      <c r="G4951" s="267" t="s">
        <v>27</v>
      </c>
      <c r="H4951" s="3"/>
    </row>
    <row r="4952" spans="1:8">
      <c r="A4952" s="270">
        <v>45331</v>
      </c>
      <c r="B4952" s="267"/>
      <c r="C4952" s="267" t="s">
        <v>537</v>
      </c>
      <c r="D4952" s="3" t="s">
        <v>2606</v>
      </c>
      <c r="E4952" s="1497">
        <v>63000</v>
      </c>
      <c r="F4952" s="1497"/>
      <c r="G4952" s="267" t="s">
        <v>27</v>
      </c>
      <c r="H4952" s="3"/>
    </row>
    <row r="4953" spans="1:8">
      <c r="A4953" s="270">
        <v>45331</v>
      </c>
      <c r="B4953" s="267"/>
      <c r="C4953" s="267" t="s">
        <v>92</v>
      </c>
      <c r="D4953" s="3" t="s">
        <v>1318</v>
      </c>
      <c r="E4953" s="1497"/>
      <c r="F4953" s="1497">
        <v>775024.08</v>
      </c>
      <c r="G4953" s="267" t="s">
        <v>27</v>
      </c>
      <c r="H4953" s="3"/>
    </row>
    <row r="4954" spans="1:8">
      <c r="A4954" s="270">
        <v>45336</v>
      </c>
      <c r="B4954" s="267"/>
      <c r="C4954" s="267" t="s">
        <v>55</v>
      </c>
      <c r="D4954" s="3" t="s">
        <v>514</v>
      </c>
      <c r="E4954" s="1497">
        <v>2000</v>
      </c>
      <c r="F4954" s="1497"/>
      <c r="G4954" s="267" t="s">
        <v>27</v>
      </c>
      <c r="H4954" s="3"/>
    </row>
    <row r="4955" spans="1:8">
      <c r="A4955" s="270">
        <v>45336</v>
      </c>
      <c r="B4955" s="267"/>
      <c r="C4955" s="267" t="s">
        <v>77</v>
      </c>
      <c r="D4955" s="3" t="s">
        <v>2705</v>
      </c>
      <c r="E4955" s="1497"/>
      <c r="F4955" s="1497">
        <v>158310</v>
      </c>
      <c r="G4955" s="267" t="s">
        <v>27</v>
      </c>
      <c r="H4955" s="3"/>
    </row>
    <row r="4956" spans="1:8">
      <c r="A4956" s="270">
        <v>45336</v>
      </c>
      <c r="B4956" s="267"/>
      <c r="C4956" s="267" t="s">
        <v>176</v>
      </c>
      <c r="D4956" s="3" t="s">
        <v>2494</v>
      </c>
      <c r="E4956" s="1497">
        <v>117600</v>
      </c>
      <c r="F4956" s="1497"/>
      <c r="G4956" s="267" t="s">
        <v>27</v>
      </c>
      <c r="H4956" s="3"/>
    </row>
    <row r="4957" spans="1:8">
      <c r="A4957" s="270">
        <v>45336</v>
      </c>
      <c r="B4957" s="267"/>
      <c r="C4957" s="267" t="s">
        <v>28</v>
      </c>
      <c r="D4957" s="3" t="s">
        <v>2706</v>
      </c>
      <c r="E4957" s="1497">
        <v>92591.1</v>
      </c>
      <c r="F4957" s="1497"/>
      <c r="G4957" s="267" t="s">
        <v>27</v>
      </c>
      <c r="H4957" s="3"/>
    </row>
    <row r="4958" spans="1:8">
      <c r="A4958" s="270">
        <v>45336</v>
      </c>
      <c r="B4958" s="267"/>
      <c r="C4958" s="267" t="s">
        <v>537</v>
      </c>
      <c r="D4958" s="3" t="s">
        <v>219</v>
      </c>
      <c r="E4958" s="1497">
        <v>95000</v>
      </c>
      <c r="F4958" s="1497"/>
      <c r="G4958" s="267" t="s">
        <v>56</v>
      </c>
      <c r="H4958" s="3"/>
    </row>
    <row r="4959" spans="1:8">
      <c r="A4959" s="270">
        <v>45336</v>
      </c>
      <c r="B4959" s="267"/>
      <c r="C4959" s="267" t="s">
        <v>537</v>
      </c>
      <c r="D4959" s="3" t="s">
        <v>2707</v>
      </c>
      <c r="E4959" s="1497"/>
      <c r="F4959" s="1497">
        <v>63000</v>
      </c>
      <c r="G4959" s="267" t="s">
        <v>56</v>
      </c>
      <c r="H4959" s="3"/>
    </row>
    <row r="4960" spans="1:8">
      <c r="A4960" s="270">
        <v>45336</v>
      </c>
      <c r="B4960" s="267"/>
      <c r="C4960" s="267" t="s">
        <v>537</v>
      </c>
      <c r="D4960" s="3" t="s">
        <v>144</v>
      </c>
      <c r="E4960" s="1497">
        <v>140000</v>
      </c>
      <c r="F4960" s="1497"/>
      <c r="G4960" s="267" t="s">
        <v>56</v>
      </c>
      <c r="H4960" s="3"/>
    </row>
    <row r="4961" spans="1:8">
      <c r="A4961" s="270">
        <v>45336</v>
      </c>
      <c r="B4961" s="267"/>
      <c r="C4961" s="267" t="s">
        <v>537</v>
      </c>
      <c r="D4961" s="3" t="s">
        <v>193</v>
      </c>
      <c r="E4961" s="1497">
        <v>57000</v>
      </c>
      <c r="F4961" s="1497"/>
      <c r="G4961" s="267" t="s">
        <v>27</v>
      </c>
      <c r="H4961" s="3"/>
    </row>
    <row r="4962" spans="1:8">
      <c r="A4962" s="270">
        <v>45336</v>
      </c>
      <c r="B4962" s="267"/>
      <c r="C4962" s="267" t="s">
        <v>79</v>
      </c>
      <c r="D4962" s="3" t="s">
        <v>79</v>
      </c>
      <c r="E4962" s="1497">
        <v>257443.1</v>
      </c>
      <c r="F4962" s="1497"/>
      <c r="G4962" s="267" t="s">
        <v>27</v>
      </c>
      <c r="H4962" s="3"/>
    </row>
    <row r="4963" spans="1:8">
      <c r="A4963" s="270">
        <v>45336</v>
      </c>
      <c r="B4963" s="267"/>
      <c r="C4963" s="267" t="s">
        <v>29</v>
      </c>
      <c r="D4963" s="3" t="s">
        <v>190</v>
      </c>
      <c r="E4963" s="1497">
        <v>6000</v>
      </c>
      <c r="F4963" s="1497"/>
      <c r="G4963" s="267" t="s">
        <v>56</v>
      </c>
      <c r="H4963" s="3"/>
    </row>
    <row r="4964" spans="1:8">
      <c r="A4964" s="124">
        <v>45336</v>
      </c>
      <c r="B4964" s="266"/>
      <c r="C4964" s="266" t="s">
        <v>86</v>
      </c>
      <c r="D4964" s="79" t="s">
        <v>104</v>
      </c>
      <c r="E4964" s="1496">
        <v>10000</v>
      </c>
      <c r="F4964" s="1496"/>
      <c r="G4964" s="266" t="s">
        <v>56</v>
      </c>
      <c r="H4964" s="3"/>
    </row>
    <row r="4965" spans="1:8">
      <c r="A4965" s="270">
        <v>45336</v>
      </c>
      <c r="B4965" s="267"/>
      <c r="C4965" s="267" t="s">
        <v>68</v>
      </c>
      <c r="D4965" s="15" t="s">
        <v>2463</v>
      </c>
      <c r="E4965" s="1497">
        <v>6600</v>
      </c>
      <c r="F4965" s="1497"/>
      <c r="G4965" s="267" t="s">
        <v>56</v>
      </c>
      <c r="H4965" s="3"/>
    </row>
    <row r="4966" spans="1:8">
      <c r="A4966" s="270">
        <v>45336</v>
      </c>
      <c r="B4966" s="267"/>
      <c r="C4966" s="267" t="s">
        <v>55</v>
      </c>
      <c r="D4966" s="3" t="s">
        <v>2708</v>
      </c>
      <c r="E4966" s="1497">
        <v>1500</v>
      </c>
      <c r="F4966" s="1497"/>
      <c r="G4966" s="267" t="s">
        <v>56</v>
      </c>
      <c r="H4966" s="3"/>
    </row>
    <row r="4967" spans="1:8">
      <c r="A4967" s="270">
        <v>45337</v>
      </c>
      <c r="B4967" s="267"/>
      <c r="C4967" s="267" t="s">
        <v>92</v>
      </c>
      <c r="D4967" s="3" t="s">
        <v>1445</v>
      </c>
      <c r="E4967" s="1497"/>
      <c r="F4967" s="1497">
        <v>69445</v>
      </c>
      <c r="G4967" s="267" t="s">
        <v>72</v>
      </c>
      <c r="H4967" s="3"/>
    </row>
    <row r="4968" spans="1:8">
      <c r="A4968" s="270">
        <v>45337</v>
      </c>
      <c r="B4968" s="267"/>
      <c r="C4968" s="267" t="s">
        <v>29</v>
      </c>
      <c r="D4968" s="3" t="s">
        <v>63</v>
      </c>
      <c r="E4968" s="1497">
        <v>196560</v>
      </c>
      <c r="F4968" s="1497"/>
      <c r="G4968" s="267" t="s">
        <v>27</v>
      </c>
      <c r="H4968" s="3"/>
    </row>
    <row r="4969" spans="1:8">
      <c r="A4969" s="270">
        <v>45337</v>
      </c>
      <c r="B4969" s="267"/>
      <c r="C4969" s="267" t="s">
        <v>29</v>
      </c>
      <c r="D4969" s="3" t="s">
        <v>859</v>
      </c>
      <c r="E4969" s="1497">
        <v>2500000</v>
      </c>
      <c r="F4969" s="1497"/>
      <c r="G4969" s="267" t="s">
        <v>27</v>
      </c>
      <c r="H4969" s="3"/>
    </row>
    <row r="4970" spans="1:8">
      <c r="A4970" s="270">
        <v>45338</v>
      </c>
      <c r="B4970" s="267"/>
      <c r="C4970" s="267" t="s">
        <v>29</v>
      </c>
      <c r="D4970" s="3" t="s">
        <v>63</v>
      </c>
      <c r="E4970" s="1497">
        <v>2575.9699999999998</v>
      </c>
      <c r="F4970" s="1497"/>
      <c r="G4970" s="267" t="s">
        <v>56</v>
      </c>
      <c r="H4970" s="3"/>
    </row>
    <row r="4971" spans="1:8">
      <c r="A4971" s="270">
        <v>45338</v>
      </c>
      <c r="B4971" s="267"/>
      <c r="C4971" s="267" t="s">
        <v>65</v>
      </c>
      <c r="D4971" s="3" t="s">
        <v>1512</v>
      </c>
      <c r="E4971" s="1497">
        <v>69445</v>
      </c>
      <c r="F4971" s="1497"/>
      <c r="G4971" s="267" t="s">
        <v>72</v>
      </c>
      <c r="H4971" s="3"/>
    </row>
    <row r="4972" spans="1:8">
      <c r="A4972" s="270">
        <v>45338</v>
      </c>
      <c r="B4972" s="267"/>
      <c r="C4972" s="267" t="s">
        <v>65</v>
      </c>
      <c r="D4972" s="3" t="s">
        <v>1512</v>
      </c>
      <c r="E4972" s="1497">
        <v>600</v>
      </c>
      <c r="F4972" s="1497"/>
      <c r="G4972" s="267" t="s">
        <v>56</v>
      </c>
      <c r="H4972" s="3"/>
    </row>
    <row r="4973" spans="1:8">
      <c r="A4973" s="270">
        <v>45338</v>
      </c>
      <c r="B4973" s="267"/>
      <c r="C4973" s="267" t="s">
        <v>537</v>
      </c>
      <c r="D4973" s="3" t="s">
        <v>219</v>
      </c>
      <c r="E4973" s="1497">
        <v>110000</v>
      </c>
      <c r="F4973" s="1497"/>
      <c r="G4973" s="267" t="s">
        <v>56</v>
      </c>
      <c r="H4973" s="3"/>
    </row>
    <row r="4974" spans="1:8">
      <c r="A4974" s="270">
        <v>45338</v>
      </c>
      <c r="B4974" s="267"/>
      <c r="C4974" s="267" t="s">
        <v>79</v>
      </c>
      <c r="D4974" s="3" t="s">
        <v>2711</v>
      </c>
      <c r="E4974" s="1497">
        <v>212000</v>
      </c>
      <c r="F4974" s="1497"/>
      <c r="G4974" s="267" t="s">
        <v>27</v>
      </c>
      <c r="H4974" s="3"/>
    </row>
    <row r="4975" spans="1:8">
      <c r="A4975" s="270">
        <v>45338</v>
      </c>
      <c r="B4975" s="267"/>
      <c r="C4975" s="267" t="s">
        <v>79</v>
      </c>
      <c r="D4975" s="3" t="s">
        <v>750</v>
      </c>
      <c r="E4975" s="1497">
        <v>110000</v>
      </c>
      <c r="F4975" s="1497"/>
      <c r="G4975" s="267" t="s">
        <v>56</v>
      </c>
      <c r="H4975" s="3"/>
    </row>
    <row r="4976" spans="1:8">
      <c r="A4976" s="270">
        <v>45338</v>
      </c>
      <c r="B4976" s="267"/>
      <c r="C4976" s="267" t="s">
        <v>79</v>
      </c>
      <c r="D4976" s="3" t="s">
        <v>144</v>
      </c>
      <c r="E4976" s="1497">
        <v>167000</v>
      </c>
      <c r="F4976" s="1497"/>
      <c r="G4976" s="267" t="s">
        <v>56</v>
      </c>
      <c r="H4976" s="3"/>
    </row>
    <row r="4977" spans="1:8">
      <c r="A4977" s="270">
        <v>45338</v>
      </c>
      <c r="B4977" s="267"/>
      <c r="C4977" s="267" t="s">
        <v>79</v>
      </c>
      <c r="D4977" s="3" t="s">
        <v>193</v>
      </c>
      <c r="E4977" s="1497">
        <v>57000</v>
      </c>
      <c r="F4977" s="1497"/>
      <c r="G4977" s="267" t="s">
        <v>27</v>
      </c>
      <c r="H4977" s="3"/>
    </row>
    <row r="4978" spans="1:8">
      <c r="A4978" s="267"/>
      <c r="B4978" s="267"/>
      <c r="C4978" s="267" t="s">
        <v>156</v>
      </c>
      <c r="D4978" s="3" t="s">
        <v>156</v>
      </c>
      <c r="E4978" s="1497">
        <v>103889.08</v>
      </c>
      <c r="F4978" s="1497"/>
      <c r="G4978" s="267" t="s">
        <v>27</v>
      </c>
      <c r="H4978" s="3"/>
    </row>
    <row r="4979" spans="1:8" ht="15.75" thickBot="1">
      <c r="H4979" s="209">
        <v>45338</v>
      </c>
    </row>
    <row r="4980" spans="1:8">
      <c r="H4980" s="199" t="s">
        <v>876</v>
      </c>
    </row>
    <row r="4981" spans="1:8">
      <c r="H4981" s="137" t="s">
        <v>2712</v>
      </c>
    </row>
    <row r="4982" spans="1:8">
      <c r="H4982" s="138" t="s">
        <v>808</v>
      </c>
    </row>
    <row r="4983" spans="1:8">
      <c r="H4983" s="138" t="s">
        <v>2598</v>
      </c>
    </row>
    <row r="4984" spans="1:8">
      <c r="H4984" s="138" t="s">
        <v>2473</v>
      </c>
    </row>
    <row r="4985" spans="1:8">
      <c r="H4985" s="138" t="s">
        <v>809</v>
      </c>
    </row>
    <row r="4986" spans="1:8">
      <c r="H4986" s="138" t="s">
        <v>2709</v>
      </c>
    </row>
    <row r="4987" spans="1:8">
      <c r="H4987" s="138" t="s">
        <v>1215</v>
      </c>
    </row>
    <row r="4988" spans="1:8" ht="15.75" thickBot="1">
      <c r="H4988" s="147" t="s">
        <v>2151</v>
      </c>
    </row>
    <row r="4989" spans="1:8" ht="15.75" thickBot="1">
      <c r="H4989" s="140" t="s">
        <v>2710</v>
      </c>
    </row>
    <row r="4990" spans="1:8">
      <c r="H4990" s="208">
        <v>8675675.9900000002</v>
      </c>
    </row>
    <row r="4991" spans="1:8">
      <c r="A4991" s="270">
        <v>45341</v>
      </c>
      <c r="B4991" s="267"/>
      <c r="C4991" s="267" t="s">
        <v>79</v>
      </c>
      <c r="D4991" s="3" t="s">
        <v>79</v>
      </c>
      <c r="E4991" s="1497">
        <v>69500</v>
      </c>
      <c r="F4991" s="1497"/>
      <c r="G4991" s="267" t="s">
        <v>27</v>
      </c>
      <c r="H4991" s="3"/>
    </row>
    <row r="4992" spans="1:8">
      <c r="A4992" s="270">
        <v>45341</v>
      </c>
      <c r="B4992" s="267"/>
      <c r="C4992" s="267" t="s">
        <v>79</v>
      </c>
      <c r="D4992" s="3" t="s">
        <v>79</v>
      </c>
      <c r="E4992" s="1497">
        <v>7400</v>
      </c>
      <c r="F4992" s="1497"/>
      <c r="G4992" s="267" t="s">
        <v>27</v>
      </c>
      <c r="H4992" s="3"/>
    </row>
    <row r="4993" spans="1:8">
      <c r="A4993" s="270">
        <v>45341</v>
      </c>
      <c r="B4993" s="267"/>
      <c r="C4993" s="267" t="s">
        <v>55</v>
      </c>
      <c r="D4993" s="3" t="s">
        <v>1852</v>
      </c>
      <c r="E4993" s="1497">
        <v>22200</v>
      </c>
      <c r="F4993" s="1497"/>
      <c r="G4993" s="267" t="s">
        <v>56</v>
      </c>
      <c r="H4993" s="3"/>
    </row>
    <row r="4994" spans="1:8">
      <c r="A4994" s="270">
        <v>45341</v>
      </c>
      <c r="B4994" s="267"/>
      <c r="C4994" s="267" t="s">
        <v>176</v>
      </c>
      <c r="D4994" s="3" t="s">
        <v>175</v>
      </c>
      <c r="E4994" s="1497">
        <v>28000</v>
      </c>
      <c r="F4994" s="1497"/>
      <c r="G4994" s="267" t="s">
        <v>27</v>
      </c>
      <c r="H4994" s="45" t="s">
        <v>827</v>
      </c>
    </row>
    <row r="4995" spans="1:8">
      <c r="A4995" s="270">
        <v>45341</v>
      </c>
      <c r="B4995" s="267"/>
      <c r="C4995" s="267" t="s">
        <v>92</v>
      </c>
      <c r="D4995" s="3" t="s">
        <v>2716</v>
      </c>
      <c r="E4995" s="1497"/>
      <c r="F4995" s="1497">
        <v>205000</v>
      </c>
      <c r="G4995" s="267" t="s">
        <v>56</v>
      </c>
      <c r="H4995" s="45"/>
    </row>
    <row r="4996" spans="1:8">
      <c r="A4996" s="270">
        <v>45342</v>
      </c>
      <c r="B4996" s="267"/>
      <c r="C4996" s="267" t="s">
        <v>79</v>
      </c>
      <c r="D4996" s="3" t="s">
        <v>2713</v>
      </c>
      <c r="E4996" s="1497">
        <v>156000</v>
      </c>
      <c r="F4996" s="1497"/>
      <c r="G4996" s="267" t="s">
        <v>27</v>
      </c>
      <c r="H4996" s="3"/>
    </row>
    <row r="4997" spans="1:8">
      <c r="A4997" s="270">
        <v>45342</v>
      </c>
      <c r="B4997" s="267"/>
      <c r="C4997" s="267" t="s">
        <v>55</v>
      </c>
      <c r="D4997" s="3" t="s">
        <v>2714</v>
      </c>
      <c r="E4997" s="1497">
        <v>16500</v>
      </c>
      <c r="F4997" s="1497"/>
      <c r="G4997" s="267" t="s">
        <v>27</v>
      </c>
      <c r="H4997" s="3"/>
    </row>
    <row r="4998" spans="1:8">
      <c r="A4998" s="270">
        <v>45342</v>
      </c>
      <c r="B4998" s="267"/>
      <c r="C4998" s="267" t="s">
        <v>79</v>
      </c>
      <c r="D4998" s="3" t="s">
        <v>2715</v>
      </c>
      <c r="E4998" s="1497">
        <v>7000</v>
      </c>
      <c r="F4998" s="1497"/>
      <c r="G4998" s="267" t="s">
        <v>56</v>
      </c>
      <c r="H4998" s="3"/>
    </row>
    <row r="4999" spans="1:8">
      <c r="A4999" s="270">
        <v>45342</v>
      </c>
      <c r="B4999" s="267"/>
      <c r="C4999" s="267" t="s">
        <v>178</v>
      </c>
      <c r="D4999" s="3" t="s">
        <v>2721</v>
      </c>
      <c r="E4999" s="1497">
        <v>3000</v>
      </c>
      <c r="F4999" s="1497"/>
      <c r="G4999" s="267" t="s">
        <v>56</v>
      </c>
      <c r="H4999" s="3"/>
    </row>
    <row r="5000" spans="1:8">
      <c r="A5000" s="270">
        <v>45342</v>
      </c>
      <c r="B5000" s="267"/>
      <c r="C5000" s="267" t="s">
        <v>92</v>
      </c>
      <c r="D5000" s="3" t="s">
        <v>107</v>
      </c>
      <c r="E5000" s="1497">
        <v>43502.01</v>
      </c>
      <c r="F5000" s="1497"/>
      <c r="G5000" s="267" t="s">
        <v>27</v>
      </c>
      <c r="H5000" s="3"/>
    </row>
    <row r="5001" spans="1:8">
      <c r="A5001" s="270">
        <v>45343</v>
      </c>
      <c r="B5001" s="267"/>
      <c r="C5001" s="267" t="s">
        <v>29</v>
      </c>
      <c r="D5001" s="3" t="s">
        <v>48</v>
      </c>
      <c r="E5001" s="1497">
        <v>1000000</v>
      </c>
      <c r="F5001" s="1497"/>
      <c r="G5001" s="267" t="s">
        <v>27</v>
      </c>
      <c r="H5001" s="3"/>
    </row>
    <row r="5002" spans="1:8">
      <c r="A5002" s="270">
        <v>45343</v>
      </c>
      <c r="B5002" s="267"/>
      <c r="C5002" s="267" t="s">
        <v>79</v>
      </c>
      <c r="D5002" s="3" t="s">
        <v>195</v>
      </c>
      <c r="E5002" s="1497">
        <v>10000</v>
      </c>
      <c r="F5002" s="1497"/>
      <c r="G5002" s="267" t="s">
        <v>27</v>
      </c>
      <c r="H5002" s="3"/>
    </row>
    <row r="5003" spans="1:8">
      <c r="A5003" s="270">
        <v>45343</v>
      </c>
      <c r="B5003" s="267"/>
      <c r="C5003" s="267" t="s">
        <v>29</v>
      </c>
      <c r="D5003" s="3" t="s">
        <v>38</v>
      </c>
      <c r="E5003" s="1497">
        <v>600</v>
      </c>
      <c r="F5003" s="1497"/>
      <c r="G5003" s="267" t="s">
        <v>56</v>
      </c>
      <c r="H5003" s="3"/>
    </row>
    <row r="5004" spans="1:8">
      <c r="A5004" s="270">
        <v>45343</v>
      </c>
      <c r="B5004" s="267"/>
      <c r="C5004" s="267" t="s">
        <v>86</v>
      </c>
      <c r="D5004" s="3" t="s">
        <v>104</v>
      </c>
      <c r="E5004" s="1497">
        <v>15000</v>
      </c>
      <c r="F5004" s="1497"/>
      <c r="G5004" s="267" t="s">
        <v>56</v>
      </c>
      <c r="H5004" s="3"/>
    </row>
    <row r="5005" spans="1:8">
      <c r="A5005" s="270">
        <v>45344</v>
      </c>
      <c r="B5005" s="267"/>
      <c r="C5005" s="267" t="s">
        <v>55</v>
      </c>
      <c r="D5005" s="3" t="s">
        <v>70</v>
      </c>
      <c r="E5005" s="1497">
        <v>5780</v>
      </c>
      <c r="F5005" s="1497"/>
      <c r="G5005" s="267" t="s">
        <v>56</v>
      </c>
      <c r="H5005" s="3"/>
    </row>
    <row r="5006" spans="1:8">
      <c r="A5006" s="270">
        <v>45344</v>
      </c>
      <c r="B5006" s="267"/>
      <c r="C5006" s="267" t="s">
        <v>79</v>
      </c>
      <c r="D5006" s="3" t="s">
        <v>2375</v>
      </c>
      <c r="E5006" s="1497">
        <v>15222.5</v>
      </c>
      <c r="F5006" s="1497"/>
      <c r="G5006" s="267" t="s">
        <v>27</v>
      </c>
      <c r="H5006" s="3"/>
    </row>
    <row r="5007" spans="1:8">
      <c r="A5007" s="270">
        <v>45344</v>
      </c>
      <c r="B5007" s="267"/>
      <c r="C5007" s="267" t="s">
        <v>79</v>
      </c>
      <c r="D5007" s="3" t="s">
        <v>2375</v>
      </c>
      <c r="E5007" s="1497">
        <v>14085.5</v>
      </c>
      <c r="F5007" s="1497"/>
      <c r="G5007" s="267" t="s">
        <v>27</v>
      </c>
      <c r="H5007" s="3"/>
    </row>
    <row r="5008" spans="1:8">
      <c r="A5008" s="270">
        <v>45344</v>
      </c>
      <c r="B5008" s="267"/>
      <c r="C5008" s="267" t="s">
        <v>90</v>
      </c>
      <c r="D5008" s="3" t="s">
        <v>2717</v>
      </c>
      <c r="E5008" s="1497">
        <v>5500</v>
      </c>
      <c r="F5008" s="1497"/>
      <c r="G5008" s="267" t="s">
        <v>56</v>
      </c>
      <c r="H5008" s="3"/>
    </row>
    <row r="5009" spans="1:8">
      <c r="A5009" s="270">
        <v>45344</v>
      </c>
      <c r="B5009" s="267"/>
      <c r="C5009" s="267" t="s">
        <v>55</v>
      </c>
      <c r="D5009" s="3" t="s">
        <v>2718</v>
      </c>
      <c r="E5009" s="1497">
        <v>8500</v>
      </c>
      <c r="F5009" s="1497"/>
      <c r="G5009" s="267" t="s">
        <v>56</v>
      </c>
      <c r="H5009" s="3"/>
    </row>
    <row r="5010" spans="1:8">
      <c r="A5010" s="270">
        <v>45345</v>
      </c>
      <c r="B5010" s="267"/>
      <c r="C5010" s="267" t="s">
        <v>174</v>
      </c>
      <c r="D5010" s="3" t="s">
        <v>2719</v>
      </c>
      <c r="E5010" s="1497">
        <v>11823.16</v>
      </c>
      <c r="F5010" s="1497"/>
      <c r="G5010" s="267" t="s">
        <v>27</v>
      </c>
      <c r="H5010" s="3"/>
    </row>
    <row r="5011" spans="1:8">
      <c r="A5011" s="270">
        <v>45345</v>
      </c>
      <c r="B5011" s="267"/>
      <c r="C5011" s="267" t="s">
        <v>174</v>
      </c>
      <c r="D5011" s="3" t="s">
        <v>526</v>
      </c>
      <c r="E5011" s="1497">
        <v>16471.95</v>
      </c>
      <c r="F5011" s="1497"/>
      <c r="G5011" s="267" t="s">
        <v>27</v>
      </c>
      <c r="H5011" s="3"/>
    </row>
    <row r="5012" spans="1:8">
      <c r="A5012" s="270">
        <v>45345</v>
      </c>
      <c r="B5012" s="267"/>
      <c r="C5012" s="267" t="s">
        <v>29</v>
      </c>
      <c r="D5012" s="3" t="s">
        <v>38</v>
      </c>
      <c r="E5012" s="1497">
        <v>1450</v>
      </c>
      <c r="F5012" s="1497"/>
      <c r="G5012" s="267" t="s">
        <v>56</v>
      </c>
      <c r="H5012" s="3"/>
    </row>
    <row r="5013" spans="1:8">
      <c r="A5013" s="270">
        <v>45345</v>
      </c>
      <c r="B5013" s="267"/>
      <c r="C5013" s="267" t="s">
        <v>92</v>
      </c>
      <c r="D5013" s="3" t="s">
        <v>2722</v>
      </c>
      <c r="E5013" s="1497">
        <v>8000</v>
      </c>
      <c r="F5013" s="1497"/>
      <c r="G5013" s="267" t="s">
        <v>27</v>
      </c>
      <c r="H5013" s="3"/>
    </row>
    <row r="5014" spans="1:8">
      <c r="A5014" s="270">
        <v>45345</v>
      </c>
      <c r="B5014" s="267"/>
      <c r="C5014" s="267" t="s">
        <v>86</v>
      </c>
      <c r="D5014" s="3" t="s">
        <v>104</v>
      </c>
      <c r="E5014" s="1497">
        <v>15000</v>
      </c>
      <c r="F5014" s="1497"/>
      <c r="G5014" s="267" t="s">
        <v>56</v>
      </c>
      <c r="H5014" s="45" t="s">
        <v>2723</v>
      </c>
    </row>
    <row r="5015" spans="1:8">
      <c r="A5015" s="270">
        <v>45345</v>
      </c>
      <c r="B5015" s="267"/>
      <c r="C5015" s="267" t="s">
        <v>537</v>
      </c>
      <c r="D5015" s="3" t="s">
        <v>144</v>
      </c>
      <c r="E5015" s="1497">
        <v>160000</v>
      </c>
      <c r="F5015" s="1497"/>
      <c r="G5015" s="267" t="s">
        <v>27</v>
      </c>
      <c r="H5015" s="3"/>
    </row>
    <row r="5016" spans="1:8">
      <c r="A5016" s="270">
        <v>45345</v>
      </c>
      <c r="B5016" s="267"/>
      <c r="C5016" s="267" t="s">
        <v>537</v>
      </c>
      <c r="D5016" s="3" t="s">
        <v>144</v>
      </c>
      <c r="E5016" s="1497">
        <v>7000</v>
      </c>
      <c r="F5016" s="1497"/>
      <c r="G5016" s="267" t="s">
        <v>56</v>
      </c>
      <c r="H5016" s="3"/>
    </row>
    <row r="5017" spans="1:8">
      <c r="A5017" s="270">
        <v>45345</v>
      </c>
      <c r="B5017" s="267"/>
      <c r="C5017" s="267" t="s">
        <v>537</v>
      </c>
      <c r="D5017" s="3" t="s">
        <v>2720</v>
      </c>
      <c r="E5017" s="1497">
        <v>100000</v>
      </c>
      <c r="F5017" s="1497"/>
      <c r="G5017" s="267" t="s">
        <v>56</v>
      </c>
      <c r="H5017" s="3"/>
    </row>
    <row r="5018" spans="1:8">
      <c r="A5018" s="270">
        <v>45345</v>
      </c>
      <c r="B5018" s="267"/>
      <c r="C5018" s="267" t="s">
        <v>537</v>
      </c>
      <c r="D5018" s="3" t="s">
        <v>219</v>
      </c>
      <c r="E5018" s="1497">
        <v>110000</v>
      </c>
      <c r="F5018" s="1497"/>
      <c r="G5018" s="267" t="s">
        <v>56</v>
      </c>
      <c r="H5018" s="3"/>
    </row>
    <row r="5019" spans="1:8" ht="15.75" thickBot="1">
      <c r="A5019" s="270">
        <v>45345</v>
      </c>
      <c r="B5019" s="267"/>
      <c r="C5019" s="267" t="s">
        <v>537</v>
      </c>
      <c r="D5019" s="3" t="s">
        <v>193</v>
      </c>
      <c r="E5019" s="1497">
        <v>57000</v>
      </c>
      <c r="F5019" s="1497"/>
      <c r="G5019" s="267" t="s">
        <v>56</v>
      </c>
      <c r="H5019" s="3"/>
    </row>
    <row r="5020" spans="1:8" ht="15.75" thickBot="1">
      <c r="H5020" s="201">
        <v>45345</v>
      </c>
    </row>
    <row r="5021" spans="1:8">
      <c r="H5021" s="199" t="s">
        <v>2726</v>
      </c>
    </row>
    <row r="5022" spans="1:8">
      <c r="H5022" s="137" t="s">
        <v>2725</v>
      </c>
    </row>
    <row r="5023" spans="1:8">
      <c r="H5023" s="138" t="s">
        <v>2728</v>
      </c>
    </row>
    <row r="5024" spans="1:8">
      <c r="H5024" s="138" t="s">
        <v>2598</v>
      </c>
    </row>
    <row r="5025" spans="1:8">
      <c r="H5025" s="138" t="s">
        <v>2473</v>
      </c>
    </row>
    <row r="5026" spans="1:8">
      <c r="H5026" s="138" t="s">
        <v>809</v>
      </c>
    </row>
    <row r="5027" spans="1:8">
      <c r="H5027" s="138" t="s">
        <v>2724</v>
      </c>
    </row>
    <row r="5028" spans="1:8">
      <c r="H5028" s="138" t="s">
        <v>1215</v>
      </c>
    </row>
    <row r="5029" spans="1:8" ht="15.75" thickBot="1">
      <c r="H5029" s="147" t="s">
        <v>2151</v>
      </c>
    </row>
    <row r="5030" spans="1:8" ht="15.75" thickBot="1">
      <c r="H5030" s="140" t="s">
        <v>2727</v>
      </c>
    </row>
    <row r="5031" spans="1:8">
      <c r="H5031" s="208">
        <v>8361432.8200000003</v>
      </c>
    </row>
    <row r="5032" spans="1:8">
      <c r="A5032" s="270">
        <v>45348</v>
      </c>
      <c r="B5032" s="267"/>
      <c r="C5032" s="267" t="s">
        <v>185</v>
      </c>
      <c r="D5032" s="3" t="s">
        <v>232</v>
      </c>
      <c r="E5032" s="1497">
        <v>12000</v>
      </c>
      <c r="F5032" s="1497"/>
      <c r="G5032" s="267" t="s">
        <v>27</v>
      </c>
      <c r="H5032" s="3"/>
    </row>
    <row r="5033" spans="1:8">
      <c r="A5033" s="270">
        <v>45348</v>
      </c>
      <c r="B5033" s="267"/>
      <c r="C5033" s="267" t="s">
        <v>156</v>
      </c>
      <c r="D5033" s="3" t="s">
        <v>156</v>
      </c>
      <c r="E5033" s="1497">
        <v>42850.39</v>
      </c>
      <c r="F5033" s="1497"/>
      <c r="G5033" s="267" t="s">
        <v>27</v>
      </c>
      <c r="H5033" s="3"/>
    </row>
    <row r="5034" spans="1:8">
      <c r="A5034" s="270">
        <v>45348</v>
      </c>
      <c r="B5034" s="267"/>
      <c r="C5034" s="267" t="s">
        <v>94</v>
      </c>
      <c r="D5034" s="3" t="s">
        <v>2729</v>
      </c>
      <c r="E5034" s="1497">
        <v>20000</v>
      </c>
      <c r="F5034" s="1497"/>
      <c r="G5034" s="267" t="s">
        <v>27</v>
      </c>
      <c r="H5034" s="3"/>
    </row>
    <row r="5035" spans="1:8">
      <c r="A5035" s="270">
        <v>45348</v>
      </c>
      <c r="B5035" s="267"/>
      <c r="C5035" s="267" t="s">
        <v>205</v>
      </c>
      <c r="D5035" s="3" t="s">
        <v>1953</v>
      </c>
      <c r="E5035" s="1497">
        <v>51100</v>
      </c>
      <c r="F5035" s="1497"/>
      <c r="G5035" s="267" t="s">
        <v>27</v>
      </c>
      <c r="H5035" s="3"/>
    </row>
    <row r="5036" spans="1:8">
      <c r="A5036" s="270">
        <v>45348</v>
      </c>
      <c r="B5036" s="267"/>
      <c r="C5036" s="267" t="s">
        <v>205</v>
      </c>
      <c r="D5036" s="3" t="s">
        <v>448</v>
      </c>
      <c r="E5036" s="1497">
        <v>985000</v>
      </c>
      <c r="F5036" s="1497"/>
      <c r="G5036" s="267" t="s">
        <v>27</v>
      </c>
      <c r="H5036" s="3"/>
    </row>
    <row r="5037" spans="1:8">
      <c r="A5037" s="270">
        <v>45349</v>
      </c>
      <c r="B5037" s="267"/>
      <c r="C5037" s="267" t="s">
        <v>77</v>
      </c>
      <c r="D5037" s="3" t="s">
        <v>2730</v>
      </c>
      <c r="E5037" s="1497"/>
      <c r="F5037" s="1497">
        <v>1000000</v>
      </c>
      <c r="G5037" s="267" t="s">
        <v>27</v>
      </c>
      <c r="H5037" s="3"/>
    </row>
    <row r="5038" spans="1:8">
      <c r="A5038" s="270">
        <v>45349</v>
      </c>
      <c r="B5038" s="267"/>
      <c r="C5038" s="267" t="s">
        <v>29</v>
      </c>
      <c r="D5038" s="3" t="s">
        <v>2731</v>
      </c>
      <c r="E5038" s="1497">
        <v>6200</v>
      </c>
      <c r="F5038" s="1497"/>
      <c r="G5038" s="267" t="s">
        <v>56</v>
      </c>
      <c r="H5038" s="3"/>
    </row>
    <row r="5039" spans="1:8">
      <c r="A5039" s="270">
        <v>45349</v>
      </c>
      <c r="B5039" s="267"/>
      <c r="C5039" s="267" t="s">
        <v>2732</v>
      </c>
      <c r="D5039" s="3" t="s">
        <v>1845</v>
      </c>
      <c r="E5039" s="1497">
        <v>27000</v>
      </c>
      <c r="F5039" s="1497"/>
      <c r="G5039" s="267" t="s">
        <v>27</v>
      </c>
      <c r="H5039" s="3"/>
    </row>
    <row r="5040" spans="1:8">
      <c r="A5040" s="270">
        <v>45349</v>
      </c>
      <c r="B5040" s="267"/>
      <c r="C5040" s="267" t="s">
        <v>2732</v>
      </c>
      <c r="D5040" s="3" t="s">
        <v>207</v>
      </c>
      <c r="E5040" s="1497">
        <v>131300</v>
      </c>
      <c r="F5040" s="1497"/>
      <c r="G5040" s="267" t="s">
        <v>27</v>
      </c>
      <c r="H5040" s="3"/>
    </row>
    <row r="5041" spans="1:8">
      <c r="A5041" s="270">
        <v>45349</v>
      </c>
      <c r="B5041" s="267"/>
      <c r="C5041" s="267" t="s">
        <v>2732</v>
      </c>
      <c r="D5041" s="3" t="s">
        <v>1670</v>
      </c>
      <c r="E5041" s="1497">
        <v>68500</v>
      </c>
      <c r="F5041" s="1497"/>
      <c r="G5041" s="267" t="s">
        <v>27</v>
      </c>
      <c r="H5041" s="3"/>
    </row>
    <row r="5042" spans="1:8">
      <c r="A5042" s="270">
        <v>45349</v>
      </c>
      <c r="B5042" s="267"/>
      <c r="C5042" s="267" t="s">
        <v>150</v>
      </c>
      <c r="D5042" s="3" t="s">
        <v>2733</v>
      </c>
      <c r="E5042" s="1497">
        <v>5000</v>
      </c>
      <c r="F5042" s="1497"/>
      <c r="G5042" s="267" t="s">
        <v>27</v>
      </c>
      <c r="H5042" s="3"/>
    </row>
    <row r="5043" spans="1:8">
      <c r="A5043" s="270">
        <v>45349</v>
      </c>
      <c r="B5043" s="267"/>
      <c r="C5043" s="267" t="s">
        <v>150</v>
      </c>
      <c r="D5043" s="3" t="s">
        <v>2734</v>
      </c>
      <c r="E5043" s="1497"/>
      <c r="F5043" s="1497">
        <v>5000</v>
      </c>
      <c r="G5043" s="267" t="s">
        <v>108</v>
      </c>
      <c r="H5043" s="3"/>
    </row>
    <row r="5044" spans="1:8">
      <c r="A5044" s="270">
        <v>45349</v>
      </c>
      <c r="B5044" s="267"/>
      <c r="C5044" s="267" t="s">
        <v>92</v>
      </c>
      <c r="D5044" s="3" t="s">
        <v>2735</v>
      </c>
      <c r="E5044" s="1497"/>
      <c r="F5044" s="1497">
        <v>270748</v>
      </c>
      <c r="G5044" s="267" t="s">
        <v>27</v>
      </c>
      <c r="H5044" s="3"/>
    </row>
    <row r="5045" spans="1:8">
      <c r="A5045" s="270">
        <v>45349</v>
      </c>
      <c r="B5045" s="267"/>
      <c r="C5045" s="267" t="s">
        <v>150</v>
      </c>
      <c r="D5045" s="3" t="s">
        <v>650</v>
      </c>
      <c r="E5045" s="1497">
        <v>17395</v>
      </c>
      <c r="F5045" s="1497"/>
      <c r="G5045" s="267" t="s">
        <v>27</v>
      </c>
      <c r="H5045" s="3"/>
    </row>
    <row r="5046" spans="1:8">
      <c r="A5046" s="270">
        <v>45349</v>
      </c>
      <c r="B5046" s="267"/>
      <c r="C5046" s="267" t="s">
        <v>160</v>
      </c>
      <c r="D5046" s="3" t="s">
        <v>2741</v>
      </c>
      <c r="E5046" s="1497"/>
      <c r="F5046" s="1497">
        <v>60000</v>
      </c>
      <c r="G5046" s="267" t="s">
        <v>56</v>
      </c>
      <c r="H5046" s="3"/>
    </row>
    <row r="5047" spans="1:8">
      <c r="A5047" s="270">
        <v>45350</v>
      </c>
      <c r="B5047" s="267"/>
      <c r="C5047" s="267" t="s">
        <v>79</v>
      </c>
      <c r="D5047" s="3" t="s">
        <v>2737</v>
      </c>
      <c r="E5047" s="1497" t="s">
        <v>2736</v>
      </c>
      <c r="F5047" s="1497"/>
      <c r="G5047" s="267" t="s">
        <v>27</v>
      </c>
      <c r="H5047" s="3"/>
    </row>
    <row r="5048" spans="1:8">
      <c r="A5048" s="270">
        <v>45350</v>
      </c>
      <c r="B5048" s="267"/>
      <c r="C5048" s="267" t="s">
        <v>79</v>
      </c>
      <c r="D5048" s="3" t="s">
        <v>2738</v>
      </c>
      <c r="E5048" s="1497">
        <v>50000</v>
      </c>
      <c r="F5048" s="1497"/>
      <c r="G5048" s="267" t="s">
        <v>27</v>
      </c>
      <c r="H5048" s="3"/>
    </row>
    <row r="5049" spans="1:8">
      <c r="A5049" s="270">
        <v>45350</v>
      </c>
      <c r="B5049" s="267"/>
      <c r="C5049" s="267" t="s">
        <v>79</v>
      </c>
      <c r="D5049" s="3" t="s">
        <v>2738</v>
      </c>
      <c r="E5049" s="1497">
        <v>30035</v>
      </c>
      <c r="F5049" s="1497"/>
      <c r="G5049" s="267" t="s">
        <v>27</v>
      </c>
      <c r="H5049" s="3"/>
    </row>
    <row r="5050" spans="1:8">
      <c r="A5050" s="270">
        <v>45351</v>
      </c>
      <c r="B5050" s="267"/>
      <c r="C5050" s="267" t="s">
        <v>90</v>
      </c>
      <c r="D5050" s="3" t="s">
        <v>1951</v>
      </c>
      <c r="E5050" s="1497">
        <v>6000</v>
      </c>
      <c r="F5050" s="1497"/>
      <c r="G5050" s="267" t="s">
        <v>56</v>
      </c>
      <c r="H5050" s="3"/>
    </row>
    <row r="5051" spans="1:8">
      <c r="A5051" s="270">
        <v>45351</v>
      </c>
      <c r="B5051" s="267"/>
      <c r="C5051" s="267" t="s">
        <v>176</v>
      </c>
      <c r="D5051" s="3" t="s">
        <v>175</v>
      </c>
      <c r="E5051" s="1497">
        <v>200000</v>
      </c>
      <c r="F5051" s="1497"/>
      <c r="G5051" s="267" t="s">
        <v>27</v>
      </c>
      <c r="H5051" s="3"/>
    </row>
    <row r="5052" spans="1:8">
      <c r="A5052" s="270">
        <v>45351</v>
      </c>
      <c r="B5052" s="267"/>
      <c r="C5052" s="267" t="s">
        <v>537</v>
      </c>
      <c r="D5052" s="15" t="s">
        <v>2739</v>
      </c>
      <c r="E5052" s="1497">
        <v>64000</v>
      </c>
      <c r="F5052" s="1497"/>
      <c r="G5052" s="267" t="s">
        <v>56</v>
      </c>
      <c r="H5052" s="3"/>
    </row>
    <row r="5053" spans="1:8">
      <c r="A5053" s="270">
        <v>45351</v>
      </c>
      <c r="B5053" s="267"/>
      <c r="C5053" s="267" t="s">
        <v>79</v>
      </c>
      <c r="D5053" s="15" t="s">
        <v>79</v>
      </c>
      <c r="E5053" s="1497">
        <v>31650</v>
      </c>
      <c r="F5053" s="1497"/>
      <c r="G5053" s="267" t="s">
        <v>27</v>
      </c>
      <c r="H5053" s="3"/>
    </row>
    <row r="5054" spans="1:8" ht="15.75" thickBot="1">
      <c r="H5054" s="209">
        <v>45351</v>
      </c>
    </row>
    <row r="5055" spans="1:8">
      <c r="H5055" s="199" t="s">
        <v>2745</v>
      </c>
    </row>
    <row r="5056" spans="1:8">
      <c r="H5056" s="137" t="s">
        <v>2740</v>
      </c>
    </row>
    <row r="5057" spans="1:8">
      <c r="H5057" s="138" t="s">
        <v>2743</v>
      </c>
    </row>
    <row r="5058" spans="1:8">
      <c r="H5058" s="138" t="s">
        <v>2744</v>
      </c>
    </row>
    <row r="5059" spans="1:8">
      <c r="H5059" s="138" t="s">
        <v>2473</v>
      </c>
    </row>
    <row r="5060" spans="1:8">
      <c r="H5060" s="138" t="s">
        <v>809</v>
      </c>
    </row>
    <row r="5061" spans="1:8">
      <c r="H5061" s="138" t="s">
        <v>2742</v>
      </c>
    </row>
    <row r="5062" spans="1:8">
      <c r="H5062" s="138" t="s">
        <v>1215</v>
      </c>
    </row>
    <row r="5063" spans="1:8" ht="15.75" thickBot="1">
      <c r="H5063" s="147" t="s">
        <v>2151</v>
      </c>
    </row>
    <row r="5064" spans="1:8" ht="15.75" thickBot="1">
      <c r="H5064" s="140" t="s">
        <v>2727</v>
      </c>
    </row>
    <row r="5065" spans="1:8">
      <c r="H5065" s="208" t="s">
        <v>2746</v>
      </c>
    </row>
    <row r="5066" spans="1:8">
      <c r="A5066" s="270">
        <v>45352</v>
      </c>
      <c r="B5066" s="267"/>
      <c r="C5066" s="267" t="s">
        <v>55</v>
      </c>
      <c r="D5066" s="3" t="s">
        <v>2747</v>
      </c>
      <c r="E5066" s="1497">
        <v>1500</v>
      </c>
      <c r="F5066" s="1497"/>
      <c r="G5066" s="267" t="s">
        <v>56</v>
      </c>
      <c r="H5066" s="3"/>
    </row>
    <row r="5067" spans="1:8">
      <c r="A5067" s="270">
        <v>45352</v>
      </c>
      <c r="B5067" s="267"/>
      <c r="C5067" s="267" t="s">
        <v>537</v>
      </c>
      <c r="D5067" s="3" t="s">
        <v>219</v>
      </c>
      <c r="E5067" s="217">
        <v>103080</v>
      </c>
      <c r="F5067" s="1497"/>
      <c r="G5067" s="267" t="s">
        <v>56</v>
      </c>
      <c r="H5067" s="3"/>
    </row>
    <row r="5068" spans="1:8">
      <c r="A5068" s="270">
        <v>45352</v>
      </c>
      <c r="B5068" s="267"/>
      <c r="C5068" s="267" t="s">
        <v>77</v>
      </c>
      <c r="D5068" s="3" t="s">
        <v>2748</v>
      </c>
      <c r="E5068" s="1497"/>
      <c r="F5068" s="1497">
        <v>2601830</v>
      </c>
      <c r="G5068" s="267" t="s">
        <v>27</v>
      </c>
      <c r="H5068" s="3"/>
    </row>
    <row r="5069" spans="1:8">
      <c r="A5069" s="270">
        <v>45352</v>
      </c>
      <c r="B5069" s="267"/>
      <c r="C5069" s="267" t="s">
        <v>205</v>
      </c>
      <c r="D5069" s="3" t="s">
        <v>2749</v>
      </c>
      <c r="E5069" s="1497">
        <v>1816902</v>
      </c>
      <c r="F5069" s="1497"/>
      <c r="G5069" s="267" t="s">
        <v>27</v>
      </c>
      <c r="H5069" s="3"/>
    </row>
    <row r="5070" spans="1:8">
      <c r="A5070" s="270">
        <v>45352</v>
      </c>
      <c r="B5070" s="267"/>
      <c r="C5070" s="267" t="s">
        <v>537</v>
      </c>
      <c r="D5070" s="3" t="s">
        <v>144</v>
      </c>
      <c r="E5070" s="1497">
        <v>150000</v>
      </c>
      <c r="F5070" s="1497"/>
      <c r="G5070" s="267" t="s">
        <v>56</v>
      </c>
      <c r="H5070" s="3"/>
    </row>
    <row r="5071" spans="1:8" ht="15.75" thickBot="1">
      <c r="A5071" s="270">
        <v>45352</v>
      </c>
      <c r="B5071" s="267"/>
      <c r="C5071" s="267" t="s">
        <v>79</v>
      </c>
      <c r="D5071" s="3" t="s">
        <v>79</v>
      </c>
      <c r="E5071" s="1497">
        <v>49400</v>
      </c>
      <c r="F5071" s="1497"/>
      <c r="G5071" s="267" t="s">
        <v>27</v>
      </c>
      <c r="H5071" s="85"/>
    </row>
    <row r="5072" spans="1:8" ht="15.75" thickBot="1">
      <c r="A5072" s="244"/>
      <c r="B5072" s="244"/>
      <c r="C5072" s="244"/>
      <c r="D5072" s="115"/>
      <c r="E5072" s="1492"/>
      <c r="F5072" s="1492"/>
      <c r="G5072" s="244"/>
      <c r="H5072" s="201">
        <v>45352</v>
      </c>
    </row>
    <row r="5073" spans="1:8">
      <c r="A5073" s="244"/>
      <c r="B5073" s="244"/>
      <c r="C5073" s="244"/>
      <c r="D5073" s="115"/>
      <c r="E5073" s="1492"/>
      <c r="F5073" s="1492"/>
      <c r="G5073" s="244"/>
      <c r="H5073" s="199" t="s">
        <v>2745</v>
      </c>
    </row>
    <row r="5074" spans="1:8">
      <c r="A5074" s="244"/>
      <c r="B5074" s="244"/>
      <c r="C5074" s="244"/>
      <c r="D5074" s="115"/>
      <c r="E5074" s="1492"/>
      <c r="F5074" s="1492"/>
      <c r="G5074" s="244"/>
      <c r="H5074" s="137" t="s">
        <v>2750</v>
      </c>
    </row>
    <row r="5075" spans="1:8">
      <c r="A5075" s="244"/>
      <c r="B5075" s="244"/>
      <c r="C5075" s="244"/>
      <c r="D5075" s="115"/>
      <c r="E5075" s="1492"/>
      <c r="F5075" s="1492"/>
      <c r="G5075" s="244"/>
      <c r="H5075" s="138" t="s">
        <v>2751</v>
      </c>
    </row>
    <row r="5076" spans="1:8">
      <c r="A5076" s="244"/>
      <c r="B5076" s="244"/>
      <c r="C5076" s="244"/>
      <c r="D5076" s="115"/>
      <c r="E5076" s="1492"/>
      <c r="F5076" s="1492"/>
      <c r="G5076" s="244"/>
      <c r="H5076" s="138" t="s">
        <v>2613</v>
      </c>
    </row>
    <row r="5077" spans="1:8">
      <c r="A5077" s="244"/>
      <c r="B5077" s="244"/>
      <c r="C5077" s="244"/>
      <c r="D5077" s="115"/>
      <c r="E5077" s="1492"/>
      <c r="F5077" s="1492"/>
      <c r="G5077" s="244"/>
      <c r="H5077" s="138" t="s">
        <v>2473</v>
      </c>
    </row>
    <row r="5078" spans="1:8">
      <c r="H5078" s="138" t="s">
        <v>809</v>
      </c>
    </row>
    <row r="5079" spans="1:8">
      <c r="H5079" s="138" t="s">
        <v>2742</v>
      </c>
    </row>
    <row r="5080" spans="1:8">
      <c r="H5080" s="138" t="s">
        <v>1215</v>
      </c>
    </row>
    <row r="5081" spans="1:8" ht="15.75" thickBot="1">
      <c r="H5081" s="147" t="s">
        <v>2151</v>
      </c>
    </row>
    <row r="5082" spans="1:8" ht="15.75" thickBot="1">
      <c r="H5082" s="140" t="s">
        <v>2643</v>
      </c>
    </row>
    <row r="5083" spans="1:8">
      <c r="H5083" s="208">
        <v>8211123.5800000001</v>
      </c>
    </row>
    <row r="5084" spans="1:8">
      <c r="A5084" s="270">
        <v>45355</v>
      </c>
      <c r="B5084" s="267"/>
      <c r="C5084" s="267" t="s">
        <v>86</v>
      </c>
      <c r="D5084" s="3" t="s">
        <v>534</v>
      </c>
      <c r="E5084" s="1497">
        <v>100000</v>
      </c>
      <c r="F5084" s="1497"/>
      <c r="G5084" s="267" t="s">
        <v>56</v>
      </c>
      <c r="H5084" s="214"/>
    </row>
    <row r="5085" spans="1:8">
      <c r="A5085" s="77">
        <v>45355</v>
      </c>
      <c r="B5085" s="62"/>
      <c r="C5085" s="62" t="s">
        <v>715</v>
      </c>
      <c r="D5085" s="5" t="s">
        <v>776</v>
      </c>
      <c r="E5085" s="62">
        <v>28841.46</v>
      </c>
      <c r="F5085" s="62"/>
      <c r="G5085" s="62" t="s">
        <v>27</v>
      </c>
      <c r="H5085" s="5"/>
    </row>
    <row r="5086" spans="1:8">
      <c r="A5086" s="270">
        <v>45355</v>
      </c>
      <c r="B5086" s="267"/>
      <c r="C5086" s="267" t="s">
        <v>715</v>
      </c>
      <c r="D5086" s="3" t="s">
        <v>776</v>
      </c>
      <c r="E5086" s="1497">
        <v>6336.43</v>
      </c>
      <c r="F5086" s="1497"/>
      <c r="G5086" s="267" t="s">
        <v>27</v>
      </c>
      <c r="H5086" s="3"/>
    </row>
    <row r="5087" spans="1:8">
      <c r="A5087" s="270">
        <v>45355</v>
      </c>
      <c r="B5087" s="267"/>
      <c r="C5087" s="267" t="s">
        <v>715</v>
      </c>
      <c r="D5087" s="3" t="s">
        <v>776</v>
      </c>
      <c r="E5087" s="1497">
        <v>6336.43</v>
      </c>
      <c r="F5087" s="1497"/>
      <c r="G5087" s="267" t="s">
        <v>27</v>
      </c>
      <c r="H5087" s="3"/>
    </row>
    <row r="5088" spans="1:8">
      <c r="A5088" s="270">
        <v>45355</v>
      </c>
      <c r="B5088" s="267"/>
      <c r="C5088" s="267" t="s">
        <v>79</v>
      </c>
      <c r="D5088" s="3" t="s">
        <v>79</v>
      </c>
      <c r="E5088" s="1497">
        <v>47750</v>
      </c>
      <c r="F5088" s="1497"/>
      <c r="G5088" s="267" t="s">
        <v>27</v>
      </c>
      <c r="H5088" s="3"/>
    </row>
    <row r="5089" spans="1:8">
      <c r="A5089" s="270">
        <v>45355</v>
      </c>
      <c r="B5089" s="267"/>
      <c r="C5089" s="267" t="s">
        <v>79</v>
      </c>
      <c r="D5089" s="3" t="s">
        <v>195</v>
      </c>
      <c r="E5089" s="1497">
        <v>65000</v>
      </c>
      <c r="F5089" s="1497"/>
      <c r="G5089" s="267" t="s">
        <v>27</v>
      </c>
      <c r="H5089" s="3"/>
    </row>
    <row r="5090" spans="1:8">
      <c r="A5090" s="270">
        <v>45356</v>
      </c>
      <c r="B5090" s="267"/>
      <c r="C5090" s="267" t="s">
        <v>433</v>
      </c>
      <c r="D5090" s="3" t="s">
        <v>786</v>
      </c>
      <c r="E5090" s="1497">
        <v>19750</v>
      </c>
      <c r="F5090" s="1497"/>
      <c r="G5090" s="267" t="s">
        <v>27</v>
      </c>
      <c r="H5090" s="3"/>
    </row>
    <row r="5091" spans="1:8">
      <c r="A5091" s="270">
        <v>45356</v>
      </c>
      <c r="B5091" s="267"/>
      <c r="C5091" s="267" t="s">
        <v>122</v>
      </c>
      <c r="D5091" s="3" t="s">
        <v>2752</v>
      </c>
      <c r="E5091" s="1497">
        <v>37000</v>
      </c>
      <c r="F5091" s="1497"/>
      <c r="G5091" s="267" t="s">
        <v>27</v>
      </c>
      <c r="H5091" s="3"/>
    </row>
    <row r="5092" spans="1:8">
      <c r="A5092" s="270">
        <v>45356</v>
      </c>
      <c r="B5092" s="267"/>
      <c r="C5092" s="267" t="s">
        <v>122</v>
      </c>
      <c r="D5092" s="3" t="s">
        <v>2753</v>
      </c>
      <c r="E5092" s="1497">
        <v>81564</v>
      </c>
      <c r="F5092" s="1497"/>
      <c r="G5092" s="267" t="s">
        <v>27</v>
      </c>
      <c r="H5092" s="3"/>
    </row>
    <row r="5093" spans="1:8">
      <c r="A5093" s="270">
        <v>45356</v>
      </c>
      <c r="B5093" s="267"/>
      <c r="C5093" s="267" t="s">
        <v>55</v>
      </c>
      <c r="D5093" s="3" t="s">
        <v>347</v>
      </c>
      <c r="E5093" s="1497">
        <v>3500</v>
      </c>
      <c r="F5093" s="1497"/>
      <c r="G5093" s="267" t="s">
        <v>56</v>
      </c>
      <c r="H5093" s="3"/>
    </row>
    <row r="5094" spans="1:8">
      <c r="A5094" s="270">
        <v>45356</v>
      </c>
      <c r="B5094" s="267"/>
      <c r="C5094" s="267" t="s">
        <v>205</v>
      </c>
      <c r="D5094" s="3" t="s">
        <v>2754</v>
      </c>
      <c r="E5094" s="1497">
        <v>48000</v>
      </c>
      <c r="F5094" s="1497"/>
      <c r="G5094" s="267" t="s">
        <v>56</v>
      </c>
      <c r="H5094" s="3"/>
    </row>
    <row r="5095" spans="1:8">
      <c r="A5095" s="270">
        <v>45356</v>
      </c>
      <c r="B5095" s="267"/>
      <c r="C5095" s="267" t="s">
        <v>205</v>
      </c>
      <c r="D5095" s="3" t="s">
        <v>2755</v>
      </c>
      <c r="E5095" s="1497">
        <v>1680</v>
      </c>
      <c r="F5095" s="1497"/>
      <c r="G5095" s="267" t="s">
        <v>56</v>
      </c>
      <c r="H5095" s="3"/>
    </row>
    <row r="5096" spans="1:8">
      <c r="A5096" s="270">
        <v>45356</v>
      </c>
      <c r="B5096" s="267"/>
      <c r="C5096" s="267" t="s">
        <v>205</v>
      </c>
      <c r="D5096" s="3" t="s">
        <v>38</v>
      </c>
      <c r="E5096" s="1497">
        <v>4600</v>
      </c>
      <c r="F5096" s="1497"/>
      <c r="G5096" s="267" t="s">
        <v>56</v>
      </c>
      <c r="H5096" s="3"/>
    </row>
    <row r="5097" spans="1:8">
      <c r="A5097" s="270">
        <v>45356</v>
      </c>
      <c r="B5097" s="267"/>
      <c r="C5097" s="267" t="s">
        <v>77</v>
      </c>
      <c r="D5097" s="3" t="s">
        <v>2756</v>
      </c>
      <c r="E5097" s="1497"/>
      <c r="F5097" s="1497">
        <v>4551300</v>
      </c>
      <c r="G5097" s="267" t="s">
        <v>72</v>
      </c>
      <c r="H5097" s="3" t="s">
        <v>2757</v>
      </c>
    </row>
    <row r="5098" spans="1:8">
      <c r="A5098" s="270">
        <v>45358</v>
      </c>
      <c r="B5098" s="267"/>
      <c r="C5098" s="267" t="s">
        <v>205</v>
      </c>
      <c r="D5098" s="3" t="s">
        <v>11</v>
      </c>
      <c r="E5098" s="1497">
        <v>1365400</v>
      </c>
      <c r="F5098" s="1497"/>
      <c r="G5098" s="267" t="s">
        <v>72</v>
      </c>
      <c r="H5098" s="3" t="s">
        <v>2758</v>
      </c>
    </row>
    <row r="5099" spans="1:8">
      <c r="A5099" s="270">
        <v>45358</v>
      </c>
      <c r="B5099" s="267"/>
      <c r="C5099" s="267" t="s">
        <v>205</v>
      </c>
      <c r="D5099" s="3" t="s">
        <v>11</v>
      </c>
      <c r="E5099" s="1497">
        <v>23700</v>
      </c>
      <c r="F5099" s="1497"/>
      <c r="G5099" s="267" t="s">
        <v>27</v>
      </c>
      <c r="H5099" s="3"/>
    </row>
    <row r="5100" spans="1:8">
      <c r="A5100" s="270">
        <v>45358</v>
      </c>
      <c r="B5100" s="267"/>
      <c r="C5100" s="267" t="s">
        <v>537</v>
      </c>
      <c r="D5100" s="3" t="s">
        <v>193</v>
      </c>
      <c r="E5100" s="1497">
        <v>70000</v>
      </c>
      <c r="F5100" s="1497"/>
      <c r="G5100" s="267" t="s">
        <v>27</v>
      </c>
      <c r="H5100" s="3"/>
    </row>
    <row r="5101" spans="1:8">
      <c r="A5101" s="270">
        <v>45358</v>
      </c>
      <c r="B5101" s="267"/>
      <c r="C5101" s="267" t="s">
        <v>205</v>
      </c>
      <c r="D5101" s="3" t="s">
        <v>2759</v>
      </c>
      <c r="E5101" s="1497">
        <v>74550</v>
      </c>
      <c r="F5101" s="1497"/>
      <c r="G5101" s="267" t="s">
        <v>27</v>
      </c>
      <c r="H5101" s="3"/>
    </row>
    <row r="5102" spans="1:8">
      <c r="A5102" s="270">
        <v>45358</v>
      </c>
      <c r="B5102" s="267"/>
      <c r="C5102" s="267" t="s">
        <v>92</v>
      </c>
      <c r="D5102" s="3" t="s">
        <v>2761</v>
      </c>
      <c r="E5102" s="1497">
        <v>511179.67</v>
      </c>
      <c r="F5102" s="1497"/>
      <c r="G5102" s="267" t="s">
        <v>27</v>
      </c>
      <c r="H5102" s="3"/>
    </row>
    <row r="5103" spans="1:8">
      <c r="A5103" s="270">
        <v>45358</v>
      </c>
      <c r="B5103" s="267"/>
      <c r="C5103" s="267" t="s">
        <v>77</v>
      </c>
      <c r="D5103" s="3" t="s">
        <v>2760</v>
      </c>
      <c r="E5103" s="1497">
        <v>53300</v>
      </c>
      <c r="F5103" s="1497"/>
      <c r="G5103" s="267" t="s">
        <v>27</v>
      </c>
      <c r="H5103" s="3"/>
    </row>
    <row r="5104" spans="1:8">
      <c r="A5104" s="270">
        <v>45358</v>
      </c>
      <c r="B5104" s="267"/>
      <c r="C5104" s="267" t="s">
        <v>79</v>
      </c>
      <c r="D5104" s="3" t="s">
        <v>2762</v>
      </c>
      <c r="E5104" s="1497">
        <v>6000</v>
      </c>
      <c r="F5104" s="1497"/>
      <c r="G5104" s="267" t="s">
        <v>56</v>
      </c>
      <c r="H5104" s="3"/>
    </row>
    <row r="5105" spans="1:8">
      <c r="A5105" s="270">
        <v>45358</v>
      </c>
      <c r="B5105" s="267"/>
      <c r="C5105" s="267" t="s">
        <v>176</v>
      </c>
      <c r="D5105" s="3" t="s">
        <v>2763</v>
      </c>
      <c r="E5105" s="1497">
        <v>90000</v>
      </c>
      <c r="F5105" s="1497"/>
      <c r="G5105" s="267" t="s">
        <v>27</v>
      </c>
      <c r="H5105" s="3"/>
    </row>
    <row r="5106" spans="1:8">
      <c r="A5106" s="270">
        <v>45359</v>
      </c>
      <c r="B5106" s="267"/>
      <c r="C5106" s="267" t="s">
        <v>205</v>
      </c>
      <c r="D5106" s="3" t="s">
        <v>2764</v>
      </c>
      <c r="E5106" s="1497">
        <v>2000</v>
      </c>
      <c r="F5106" s="1497"/>
      <c r="G5106" s="267" t="s">
        <v>56</v>
      </c>
      <c r="H5106" s="3"/>
    </row>
    <row r="5107" spans="1:8">
      <c r="A5107" s="270">
        <v>45359</v>
      </c>
      <c r="B5107" s="267"/>
      <c r="C5107" s="267" t="s">
        <v>79</v>
      </c>
      <c r="D5107" s="3" t="s">
        <v>377</v>
      </c>
      <c r="E5107" s="1497"/>
      <c r="F5107" s="1497">
        <v>28200</v>
      </c>
      <c r="G5107" s="267" t="s">
        <v>56</v>
      </c>
      <c r="H5107" s="3"/>
    </row>
    <row r="5108" spans="1:8">
      <c r="A5108" s="270">
        <v>45359</v>
      </c>
      <c r="B5108" s="267"/>
      <c r="C5108" s="267" t="s">
        <v>77</v>
      </c>
      <c r="D5108" s="3" t="s">
        <v>2765</v>
      </c>
      <c r="E5108" s="1497"/>
      <c r="F5108" s="1497">
        <v>2550898.4300000002</v>
      </c>
      <c r="G5108" s="267" t="s">
        <v>27</v>
      </c>
      <c r="H5108" s="3"/>
    </row>
    <row r="5109" spans="1:8">
      <c r="A5109" s="270">
        <v>45359</v>
      </c>
      <c r="B5109" s="267"/>
      <c r="C5109" s="267" t="s">
        <v>55</v>
      </c>
      <c r="D5109" s="3" t="s">
        <v>109</v>
      </c>
      <c r="E5109" s="1497">
        <v>8000</v>
      </c>
      <c r="F5109" s="1497"/>
      <c r="G5109" s="267" t="s">
        <v>56</v>
      </c>
      <c r="H5109" s="3"/>
    </row>
    <row r="5110" spans="1:8">
      <c r="A5110" s="270">
        <v>45359</v>
      </c>
      <c r="B5110" s="267"/>
      <c r="C5110" s="267" t="s">
        <v>537</v>
      </c>
      <c r="D5110" s="3" t="s">
        <v>219</v>
      </c>
      <c r="E5110" s="1497">
        <v>100000</v>
      </c>
      <c r="F5110" s="1497"/>
      <c r="G5110" s="267" t="s">
        <v>56</v>
      </c>
      <c r="H5110" s="3"/>
    </row>
    <row r="5111" spans="1:8">
      <c r="A5111" s="270">
        <v>45359</v>
      </c>
      <c r="B5111" s="267"/>
      <c r="C5111" s="267" t="s">
        <v>537</v>
      </c>
      <c r="D5111" s="3" t="s">
        <v>1899</v>
      </c>
      <c r="E5111" s="1497">
        <v>64000</v>
      </c>
      <c r="F5111" s="1497"/>
      <c r="G5111" s="267" t="s">
        <v>56</v>
      </c>
      <c r="H5111" s="3"/>
    </row>
    <row r="5112" spans="1:8">
      <c r="A5112" s="270">
        <v>45359</v>
      </c>
      <c r="B5112" s="267"/>
      <c r="C5112" s="267" t="s">
        <v>537</v>
      </c>
      <c r="D5112" s="3" t="s">
        <v>575</v>
      </c>
      <c r="E5112" s="1497">
        <v>100000</v>
      </c>
      <c r="F5112" s="1497"/>
      <c r="G5112" s="267" t="s">
        <v>27</v>
      </c>
      <c r="H5112" s="3"/>
    </row>
    <row r="5113" spans="1:8">
      <c r="A5113" s="270">
        <v>45359</v>
      </c>
      <c r="B5113" s="267"/>
      <c r="C5113" s="267" t="s">
        <v>537</v>
      </c>
      <c r="D5113" s="3" t="s">
        <v>575</v>
      </c>
      <c r="E5113" s="1497">
        <v>50000</v>
      </c>
      <c r="F5113" s="1497"/>
      <c r="G5113" s="267" t="s">
        <v>56</v>
      </c>
      <c r="H5113" s="3"/>
    </row>
    <row r="5114" spans="1:8">
      <c r="A5114" s="270">
        <v>45359</v>
      </c>
      <c r="B5114" s="267"/>
      <c r="C5114" s="267" t="s">
        <v>79</v>
      </c>
      <c r="D5114" s="3" t="s">
        <v>2617</v>
      </c>
      <c r="E5114" s="1497">
        <v>110000</v>
      </c>
      <c r="F5114" s="1497"/>
      <c r="G5114" s="267" t="s">
        <v>27</v>
      </c>
      <c r="H5114" s="3"/>
    </row>
    <row r="5115" spans="1:8">
      <c r="A5115" s="270">
        <v>45359</v>
      </c>
      <c r="B5115" s="267"/>
      <c r="C5115" s="267" t="s">
        <v>176</v>
      </c>
      <c r="D5115" s="3" t="s">
        <v>175</v>
      </c>
      <c r="E5115" s="1497">
        <v>50000</v>
      </c>
      <c r="F5115" s="1497"/>
      <c r="G5115" s="267" t="s">
        <v>56</v>
      </c>
      <c r="H5115" s="3"/>
    </row>
    <row r="5116" spans="1:8" ht="15.75" thickBot="1">
      <c r="A5116" s="112">
        <v>45359</v>
      </c>
      <c r="B5116" s="70"/>
      <c r="C5116" s="70" t="s">
        <v>79</v>
      </c>
      <c r="D5116" s="113" t="s">
        <v>79</v>
      </c>
      <c r="E5116" s="70">
        <v>55000</v>
      </c>
      <c r="F5116" s="70"/>
      <c r="G5116" s="70" t="s">
        <v>56</v>
      </c>
      <c r="H5116" s="115"/>
    </row>
    <row r="5117" spans="1:8" ht="15.75" thickBot="1">
      <c r="A5117" s="267"/>
      <c r="B5117" s="267"/>
      <c r="C5117" s="267"/>
      <c r="D5117" s="3"/>
      <c r="E5117" s="1497"/>
      <c r="F5117" s="1497"/>
      <c r="G5117" s="267"/>
      <c r="H5117" s="201">
        <v>45359</v>
      </c>
    </row>
    <row r="5118" spans="1:8">
      <c r="A5118" s="267"/>
      <c r="B5118" s="267"/>
      <c r="C5118" s="267"/>
      <c r="D5118" s="3"/>
      <c r="E5118" s="1497"/>
      <c r="F5118" s="1497"/>
      <c r="G5118" s="267"/>
      <c r="H5118" s="199" t="s">
        <v>2766</v>
      </c>
    </row>
    <row r="5119" spans="1:8">
      <c r="A5119" s="267"/>
      <c r="B5119" s="267"/>
      <c r="C5119" s="267"/>
      <c r="D5119" s="3"/>
      <c r="E5119" s="1497"/>
      <c r="F5119" s="1497"/>
      <c r="G5119" s="267"/>
      <c r="H5119" s="137" t="s">
        <v>2767</v>
      </c>
    </row>
    <row r="5120" spans="1:8">
      <c r="H5120" s="138" t="s">
        <v>2768</v>
      </c>
    </row>
    <row r="5121" spans="1:8">
      <c r="H5121" s="138" t="s">
        <v>2769</v>
      </c>
    </row>
    <row r="5122" spans="1:8">
      <c r="H5122" s="138" t="s">
        <v>2473</v>
      </c>
    </row>
    <row r="5123" spans="1:8">
      <c r="H5123" s="138" t="s">
        <v>2770</v>
      </c>
    </row>
    <row r="5124" spans="1:8">
      <c r="H5124" s="138" t="s">
        <v>2771</v>
      </c>
    </row>
    <row r="5125" spans="1:8">
      <c r="H5125" s="138" t="s">
        <v>1215</v>
      </c>
    </row>
    <row r="5126" spans="1:8" ht="15.75" thickBot="1">
      <c r="H5126" s="147" t="s">
        <v>2151</v>
      </c>
    </row>
    <row r="5127" spans="1:8" ht="15.75" thickBot="1">
      <c r="H5127" s="140" t="s">
        <v>2506</v>
      </c>
    </row>
    <row r="5128" spans="1:8">
      <c r="H5128" s="208">
        <v>9543965.0899999999</v>
      </c>
    </row>
    <row r="5129" spans="1:8">
      <c r="A5129" s="270">
        <v>45362</v>
      </c>
      <c r="B5129" s="267"/>
      <c r="C5129" s="267" t="s">
        <v>55</v>
      </c>
      <c r="D5129" s="3" t="s">
        <v>2772</v>
      </c>
      <c r="E5129" s="1497">
        <v>3200</v>
      </c>
      <c r="F5129" s="1497"/>
      <c r="G5129" s="267" t="s">
        <v>56</v>
      </c>
      <c r="H5129" s="214"/>
    </row>
    <row r="5130" spans="1:8">
      <c r="A5130" s="270">
        <v>45362</v>
      </c>
      <c r="B5130" s="267"/>
      <c r="C5130" s="267" t="s">
        <v>88</v>
      </c>
      <c r="D5130" s="3" t="s">
        <v>193</v>
      </c>
      <c r="E5130" s="1497">
        <v>70000</v>
      </c>
      <c r="F5130" s="1497"/>
      <c r="G5130" s="267" t="s">
        <v>56</v>
      </c>
      <c r="H5130" s="214"/>
    </row>
    <row r="5131" spans="1:8">
      <c r="A5131" s="270">
        <v>45362</v>
      </c>
      <c r="B5131" s="267"/>
      <c r="C5131" s="267" t="s">
        <v>79</v>
      </c>
      <c r="D5131" s="3" t="s">
        <v>79</v>
      </c>
      <c r="E5131" s="1497">
        <v>13547</v>
      </c>
      <c r="F5131" s="1497"/>
      <c r="G5131" s="267" t="s">
        <v>56</v>
      </c>
      <c r="H5131" s="214"/>
    </row>
    <row r="5132" spans="1:8">
      <c r="A5132" s="270">
        <v>45362</v>
      </c>
      <c r="B5132" s="267"/>
      <c r="C5132" s="267" t="s">
        <v>79</v>
      </c>
      <c r="D5132" s="3" t="s">
        <v>79</v>
      </c>
      <c r="E5132" s="1497"/>
      <c r="F5132" s="1497">
        <v>35000</v>
      </c>
      <c r="G5132" s="267" t="s">
        <v>56</v>
      </c>
      <c r="H5132" s="3"/>
    </row>
    <row r="5133" spans="1:8">
      <c r="A5133" s="270">
        <v>45362</v>
      </c>
      <c r="B5133" s="267"/>
      <c r="C5133" s="267" t="s">
        <v>174</v>
      </c>
      <c r="D5133" s="3" t="s">
        <v>2630</v>
      </c>
      <c r="E5133" s="1497">
        <v>9441</v>
      </c>
      <c r="F5133" s="1497"/>
      <c r="G5133" s="267" t="s">
        <v>27</v>
      </c>
      <c r="H5133" s="3"/>
    </row>
    <row r="5134" spans="1:8">
      <c r="A5134" s="270">
        <v>45362</v>
      </c>
      <c r="B5134" s="267"/>
      <c r="C5134" s="267" t="s">
        <v>94</v>
      </c>
      <c r="D5134" s="3" t="s">
        <v>2729</v>
      </c>
      <c r="E5134" s="1497">
        <v>17217.63</v>
      </c>
      <c r="F5134" s="1497"/>
      <c r="G5134" s="267" t="s">
        <v>27</v>
      </c>
      <c r="H5134" s="3"/>
    </row>
    <row r="5135" spans="1:8">
      <c r="A5135" s="270">
        <v>45362</v>
      </c>
      <c r="B5135" s="267"/>
      <c r="C5135" s="267" t="s">
        <v>86</v>
      </c>
      <c r="D5135" s="3" t="s">
        <v>104</v>
      </c>
      <c r="E5135" s="1497">
        <v>10000</v>
      </c>
      <c r="F5135" s="1497"/>
      <c r="G5135" s="267" t="s">
        <v>56</v>
      </c>
      <c r="H5135" s="3"/>
    </row>
    <row r="5136" spans="1:8">
      <c r="A5136" s="270">
        <v>45362</v>
      </c>
      <c r="B5136" s="267"/>
      <c r="C5136" s="267" t="s">
        <v>97</v>
      </c>
      <c r="D5136" s="15" t="s">
        <v>2773</v>
      </c>
      <c r="E5136" s="1497">
        <v>37832</v>
      </c>
      <c r="F5136" s="1497"/>
      <c r="G5136" s="267" t="s">
        <v>27</v>
      </c>
      <c r="H5136" s="3"/>
    </row>
    <row r="5137" spans="1:8">
      <c r="A5137" s="270">
        <v>45362</v>
      </c>
      <c r="B5137" s="267"/>
      <c r="C5137" s="267" t="s">
        <v>55</v>
      </c>
      <c r="D5137" s="3" t="s">
        <v>2774</v>
      </c>
      <c r="E5137" s="1497">
        <v>3590</v>
      </c>
      <c r="F5137" s="1497"/>
      <c r="G5137" s="267" t="s">
        <v>27</v>
      </c>
      <c r="H5137" s="3"/>
    </row>
    <row r="5138" spans="1:8">
      <c r="A5138" s="270">
        <v>45362</v>
      </c>
      <c r="B5138" s="267"/>
      <c r="C5138" s="267" t="s">
        <v>537</v>
      </c>
      <c r="D5138" s="3" t="s">
        <v>208</v>
      </c>
      <c r="E5138" s="1497">
        <v>20000</v>
      </c>
      <c r="F5138" s="1497"/>
      <c r="G5138" s="267" t="s">
        <v>56</v>
      </c>
      <c r="H5138" s="3"/>
    </row>
    <row r="5139" spans="1:8">
      <c r="A5139" s="270">
        <v>45363</v>
      </c>
      <c r="B5139" s="267"/>
      <c r="C5139" s="267" t="s">
        <v>205</v>
      </c>
      <c r="D5139" s="3" t="s">
        <v>190</v>
      </c>
      <c r="E5139" s="1497">
        <v>250000</v>
      </c>
      <c r="F5139" s="1497"/>
      <c r="G5139" s="267" t="s">
        <v>27</v>
      </c>
      <c r="H5139" s="3"/>
    </row>
    <row r="5140" spans="1:8">
      <c r="A5140" s="270">
        <v>45363</v>
      </c>
      <c r="B5140" s="267"/>
      <c r="C5140" s="267" t="s">
        <v>205</v>
      </c>
      <c r="D5140" s="15" t="s">
        <v>2358</v>
      </c>
      <c r="E5140" s="1497">
        <v>38881</v>
      </c>
      <c r="F5140" s="1497"/>
      <c r="G5140" s="267" t="s">
        <v>27</v>
      </c>
      <c r="H5140" s="3"/>
    </row>
    <row r="5141" spans="1:8">
      <c r="A5141" s="270">
        <v>45363</v>
      </c>
      <c r="B5141" s="267"/>
      <c r="C5141" s="267" t="s">
        <v>55</v>
      </c>
      <c r="D5141" s="3" t="s">
        <v>177</v>
      </c>
      <c r="E5141" s="1497">
        <v>1000</v>
      </c>
      <c r="F5141" s="1497"/>
      <c r="G5141" s="267" t="s">
        <v>56</v>
      </c>
      <c r="H5141" s="3"/>
    </row>
    <row r="5142" spans="1:8">
      <c r="A5142" s="270">
        <v>45363</v>
      </c>
      <c r="B5142" s="267"/>
      <c r="C5142" s="267" t="s">
        <v>205</v>
      </c>
      <c r="D5142" s="3" t="s">
        <v>38</v>
      </c>
      <c r="E5142" s="1497">
        <v>600</v>
      </c>
      <c r="F5142" s="1497"/>
      <c r="G5142" s="267" t="s">
        <v>56</v>
      </c>
      <c r="H5142" s="3"/>
    </row>
    <row r="5143" spans="1:8">
      <c r="A5143" s="270">
        <v>45363</v>
      </c>
      <c r="B5143" s="267"/>
      <c r="C5143" s="267" t="s">
        <v>205</v>
      </c>
      <c r="D5143" s="3" t="s">
        <v>1344</v>
      </c>
      <c r="E5143" s="1497">
        <v>6814.5</v>
      </c>
      <c r="F5143" s="1497"/>
      <c r="G5143" s="267" t="s">
        <v>56</v>
      </c>
      <c r="H5143" s="3"/>
    </row>
    <row r="5144" spans="1:8">
      <c r="A5144" s="270">
        <v>45364</v>
      </c>
      <c r="B5144" s="267"/>
      <c r="C5144" s="267" t="s">
        <v>94</v>
      </c>
      <c r="D5144" s="3" t="s">
        <v>2775</v>
      </c>
      <c r="E5144" s="1497">
        <v>29190.19</v>
      </c>
      <c r="F5144" s="1497"/>
      <c r="G5144" s="267" t="s">
        <v>56</v>
      </c>
      <c r="H5144" s="3"/>
    </row>
    <row r="5145" spans="1:8">
      <c r="A5145" s="270">
        <v>45364</v>
      </c>
      <c r="B5145" s="267"/>
      <c r="C5145" s="267" t="s">
        <v>55</v>
      </c>
      <c r="D5145" s="3" t="s">
        <v>562</v>
      </c>
      <c r="E5145" s="1497">
        <v>5716</v>
      </c>
      <c r="F5145" s="1497"/>
      <c r="G5145" s="267" t="s">
        <v>56</v>
      </c>
      <c r="H5145" s="3"/>
    </row>
    <row r="5146" spans="1:8">
      <c r="A5146" s="270">
        <v>45364</v>
      </c>
      <c r="B5146" s="267"/>
      <c r="C5146" s="267" t="s">
        <v>88</v>
      </c>
      <c r="D5146" s="3" t="s">
        <v>144</v>
      </c>
      <c r="E5146" s="1497">
        <v>150000</v>
      </c>
      <c r="F5146" s="1497"/>
      <c r="G5146" s="267" t="s">
        <v>56</v>
      </c>
      <c r="H5146" s="3"/>
    </row>
    <row r="5147" spans="1:8">
      <c r="A5147" s="270">
        <v>45364</v>
      </c>
      <c r="B5147" s="267"/>
      <c r="C5147" s="267" t="s">
        <v>88</v>
      </c>
      <c r="D5147" s="3" t="s">
        <v>208</v>
      </c>
      <c r="E5147" s="1497">
        <v>60000</v>
      </c>
      <c r="F5147" s="1497"/>
      <c r="G5147" s="267" t="s">
        <v>56</v>
      </c>
      <c r="H5147" s="3"/>
    </row>
    <row r="5148" spans="1:8">
      <c r="A5148" s="270">
        <v>45364</v>
      </c>
      <c r="B5148" s="267"/>
      <c r="C5148" s="267" t="s">
        <v>88</v>
      </c>
      <c r="D5148" s="3" t="s">
        <v>219</v>
      </c>
      <c r="E5148" s="1497">
        <v>100000</v>
      </c>
      <c r="F5148" s="1497"/>
      <c r="G5148" s="267" t="s">
        <v>56</v>
      </c>
      <c r="H5148" s="3"/>
    </row>
    <row r="5149" spans="1:8">
      <c r="A5149" s="270">
        <v>45365</v>
      </c>
      <c r="B5149" s="267"/>
      <c r="C5149" s="267" t="s">
        <v>55</v>
      </c>
      <c r="D5149" s="3" t="s">
        <v>2772</v>
      </c>
      <c r="E5149" s="1497">
        <v>5090</v>
      </c>
      <c r="F5149" s="1497"/>
      <c r="G5149" s="267" t="s">
        <v>56</v>
      </c>
      <c r="H5149" s="3"/>
    </row>
    <row r="5150" spans="1:8">
      <c r="A5150" s="270">
        <v>45365</v>
      </c>
      <c r="B5150" s="267"/>
      <c r="C5150" s="267" t="s">
        <v>205</v>
      </c>
      <c r="D5150" s="15" t="s">
        <v>63</v>
      </c>
      <c r="E5150" s="1497">
        <v>3200</v>
      </c>
      <c r="F5150" s="1497"/>
      <c r="G5150" s="267" t="s">
        <v>56</v>
      </c>
      <c r="H5150" s="3"/>
    </row>
    <row r="5151" spans="1:8">
      <c r="A5151" s="270">
        <v>45365</v>
      </c>
      <c r="B5151" s="267"/>
      <c r="C5151" s="267" t="s">
        <v>55</v>
      </c>
      <c r="D5151" s="15" t="s">
        <v>2708</v>
      </c>
      <c r="E5151" s="1497">
        <v>1500</v>
      </c>
      <c r="F5151" s="1497"/>
      <c r="G5151" s="267" t="s">
        <v>56</v>
      </c>
      <c r="H5151" s="3"/>
    </row>
    <row r="5152" spans="1:8">
      <c r="A5152" s="270">
        <v>45365</v>
      </c>
      <c r="B5152" s="267"/>
      <c r="C5152" s="267" t="s">
        <v>68</v>
      </c>
      <c r="D5152" s="3" t="s">
        <v>2776</v>
      </c>
      <c r="E5152" s="1497">
        <v>5700</v>
      </c>
      <c r="F5152" s="1497"/>
      <c r="G5152" s="267" t="s">
        <v>56</v>
      </c>
      <c r="H5152" s="3"/>
    </row>
    <row r="5153" spans="1:8">
      <c r="A5153" s="270">
        <v>45365</v>
      </c>
      <c r="B5153" s="267"/>
      <c r="C5153" s="267" t="s">
        <v>92</v>
      </c>
      <c r="D5153" s="3" t="s">
        <v>1909</v>
      </c>
      <c r="E5153" s="1497"/>
      <c r="F5153" s="1497">
        <v>200000</v>
      </c>
      <c r="G5153" s="267" t="s">
        <v>56</v>
      </c>
      <c r="H5153" s="3"/>
    </row>
    <row r="5154" spans="1:8">
      <c r="A5154" s="270">
        <v>45366</v>
      </c>
      <c r="B5154" s="267"/>
      <c r="C5154" s="267" t="s">
        <v>77</v>
      </c>
      <c r="D5154" s="3" t="s">
        <v>2129</v>
      </c>
      <c r="E5154" s="1497"/>
      <c r="F5154" s="1497">
        <v>566740</v>
      </c>
      <c r="G5154" s="267" t="s">
        <v>56</v>
      </c>
      <c r="H5154" s="3"/>
    </row>
    <row r="5155" spans="1:8">
      <c r="A5155" s="270">
        <v>45366</v>
      </c>
      <c r="B5155" s="267"/>
      <c r="C5155" s="267" t="s">
        <v>86</v>
      </c>
      <c r="D5155" s="15" t="s">
        <v>104</v>
      </c>
      <c r="E5155" s="1497">
        <v>10000</v>
      </c>
      <c r="F5155" s="1497"/>
      <c r="G5155" s="267" t="s">
        <v>56</v>
      </c>
      <c r="H5155" s="3"/>
    </row>
    <row r="5156" spans="1:8">
      <c r="A5156" s="270">
        <v>45366</v>
      </c>
      <c r="B5156" s="267"/>
      <c r="C5156" s="267" t="s">
        <v>205</v>
      </c>
      <c r="D5156" s="15" t="s">
        <v>71</v>
      </c>
      <c r="E5156" s="1497">
        <v>550000</v>
      </c>
      <c r="F5156" s="1497"/>
      <c r="G5156" s="267" t="s">
        <v>27</v>
      </c>
      <c r="H5156" s="3"/>
    </row>
    <row r="5157" spans="1:8">
      <c r="A5157" s="270">
        <v>45366</v>
      </c>
      <c r="B5157" s="267"/>
      <c r="C5157" s="267" t="s">
        <v>90</v>
      </c>
      <c r="D5157" s="15" t="s">
        <v>193</v>
      </c>
      <c r="E5157" s="1497">
        <v>70000</v>
      </c>
      <c r="F5157" s="1497"/>
      <c r="G5157" s="267" t="s">
        <v>27</v>
      </c>
      <c r="H5157" s="3"/>
    </row>
    <row r="5158" spans="1:8">
      <c r="A5158" s="270">
        <v>45366</v>
      </c>
      <c r="B5158" s="267"/>
      <c r="C5158" s="267" t="s">
        <v>205</v>
      </c>
      <c r="D5158" s="15" t="s">
        <v>2777</v>
      </c>
      <c r="E5158" s="1497">
        <v>395595</v>
      </c>
      <c r="F5158" s="1497"/>
      <c r="G5158" s="267" t="s">
        <v>27</v>
      </c>
      <c r="H5158" s="3"/>
    </row>
    <row r="5159" spans="1:8">
      <c r="A5159" s="270">
        <v>45366</v>
      </c>
      <c r="B5159" s="267"/>
      <c r="C5159" s="267" t="s">
        <v>79</v>
      </c>
      <c r="D5159" s="15" t="s">
        <v>79</v>
      </c>
      <c r="E5159" s="1497">
        <v>3000</v>
      </c>
      <c r="F5159" s="1497"/>
      <c r="G5159" s="267" t="s">
        <v>27</v>
      </c>
      <c r="H5159" s="3"/>
    </row>
    <row r="5160" spans="1:8">
      <c r="A5160" s="270">
        <v>45366</v>
      </c>
      <c r="B5160" s="267"/>
      <c r="C5160" s="267" t="s">
        <v>77</v>
      </c>
      <c r="D5160" s="15" t="s">
        <v>2778</v>
      </c>
      <c r="E5160" s="1497"/>
      <c r="F5160" s="1497">
        <v>45000</v>
      </c>
      <c r="G5160" s="267" t="s">
        <v>56</v>
      </c>
      <c r="H5160" s="3"/>
    </row>
    <row r="5161" spans="1:8">
      <c r="A5161" s="270">
        <v>45000</v>
      </c>
      <c r="B5161" s="267"/>
      <c r="C5161" s="267" t="s">
        <v>92</v>
      </c>
      <c r="D5161" s="3" t="s">
        <v>46</v>
      </c>
      <c r="E5161" s="1497"/>
      <c r="F5161" s="1497">
        <v>582200</v>
      </c>
      <c r="G5161" s="267" t="s">
        <v>27</v>
      </c>
      <c r="H5161" s="3"/>
    </row>
    <row r="5162" spans="1:8">
      <c r="A5162" s="269"/>
      <c r="B5162" s="268"/>
      <c r="C5162" s="268"/>
      <c r="D5162" s="83"/>
      <c r="E5162" s="1501"/>
      <c r="F5162" s="1501"/>
      <c r="G5162" s="268"/>
      <c r="H5162" s="83"/>
    </row>
    <row r="5163" spans="1:8">
      <c r="A5163" s="270">
        <v>45369</v>
      </c>
      <c r="B5163" s="267"/>
      <c r="C5163" s="267" t="s">
        <v>55</v>
      </c>
      <c r="D5163" s="3" t="s">
        <v>514</v>
      </c>
      <c r="E5163" s="1497">
        <v>2000</v>
      </c>
      <c r="F5163" s="1497"/>
      <c r="G5163" s="267" t="s">
        <v>27</v>
      </c>
      <c r="H5163" s="3"/>
    </row>
    <row r="5164" spans="1:8">
      <c r="A5164" s="270">
        <v>45369</v>
      </c>
      <c r="B5164" s="267"/>
      <c r="C5164" s="267" t="s">
        <v>156</v>
      </c>
      <c r="D5164" s="3" t="s">
        <v>2779</v>
      </c>
      <c r="E5164" s="1497">
        <v>41165.51</v>
      </c>
      <c r="F5164" s="1497"/>
      <c r="G5164" s="267" t="s">
        <v>27</v>
      </c>
      <c r="H5164" s="3"/>
    </row>
    <row r="5165" spans="1:8">
      <c r="A5165" s="270">
        <v>45369</v>
      </c>
      <c r="B5165" s="267"/>
      <c r="C5165" s="267" t="s">
        <v>77</v>
      </c>
      <c r="D5165" s="3" t="s">
        <v>2780</v>
      </c>
      <c r="E5165" s="1497">
        <v>148541.16</v>
      </c>
      <c r="F5165" s="1497"/>
      <c r="G5165" s="267" t="s">
        <v>27</v>
      </c>
      <c r="H5165" s="3"/>
    </row>
    <row r="5166" spans="1:8">
      <c r="A5166" s="270">
        <v>45369</v>
      </c>
      <c r="B5166" s="267"/>
      <c r="C5166" s="267" t="s">
        <v>176</v>
      </c>
      <c r="D5166" s="3" t="s">
        <v>175</v>
      </c>
      <c r="E5166" s="1497">
        <v>200000</v>
      </c>
      <c r="F5166" s="1497"/>
      <c r="G5166" s="267" t="s">
        <v>27</v>
      </c>
      <c r="H5166" s="3"/>
    </row>
    <row r="5167" spans="1:8">
      <c r="A5167" s="270">
        <v>45369</v>
      </c>
      <c r="B5167" s="267"/>
      <c r="C5167" s="267" t="s">
        <v>79</v>
      </c>
      <c r="D5167" s="3" t="s">
        <v>427</v>
      </c>
      <c r="E5167" s="1497">
        <v>100000</v>
      </c>
      <c r="F5167" s="1497"/>
      <c r="G5167" s="267" t="s">
        <v>27</v>
      </c>
      <c r="H5167" s="3"/>
    </row>
    <row r="5168" spans="1:8">
      <c r="A5168" s="270">
        <v>45369</v>
      </c>
      <c r="B5168" s="267"/>
      <c r="C5168" s="267" t="s">
        <v>1148</v>
      </c>
      <c r="D5168" s="3" t="s">
        <v>47</v>
      </c>
      <c r="E5168" s="1497">
        <v>259698</v>
      </c>
      <c r="F5168" s="1497"/>
      <c r="G5168" s="267" t="s">
        <v>27</v>
      </c>
      <c r="H5168" s="3"/>
    </row>
    <row r="5169" spans="1:8">
      <c r="A5169" s="270">
        <v>45369</v>
      </c>
      <c r="B5169" s="267"/>
      <c r="C5169" s="267" t="s">
        <v>79</v>
      </c>
      <c r="D5169" s="3" t="s">
        <v>79</v>
      </c>
      <c r="E5169" s="1497">
        <v>7950</v>
      </c>
      <c r="F5169" s="1497"/>
      <c r="G5169" s="267" t="s">
        <v>27</v>
      </c>
      <c r="H5169" s="3"/>
    </row>
    <row r="5170" spans="1:8">
      <c r="A5170" s="270">
        <v>45370</v>
      </c>
      <c r="B5170" s="267"/>
      <c r="C5170" s="267" t="s">
        <v>55</v>
      </c>
      <c r="D5170" s="3" t="s">
        <v>63</v>
      </c>
      <c r="E5170" s="1497">
        <v>2433.6</v>
      </c>
      <c r="F5170" s="1497"/>
      <c r="G5170" s="267" t="s">
        <v>56</v>
      </c>
      <c r="H5170" s="3"/>
    </row>
    <row r="5171" spans="1:8">
      <c r="A5171" s="270">
        <v>45370</v>
      </c>
      <c r="B5171" s="267"/>
      <c r="C5171" s="267" t="s">
        <v>90</v>
      </c>
      <c r="D5171" s="3" t="s">
        <v>2781</v>
      </c>
      <c r="E5171" s="1497">
        <v>72829.42</v>
      </c>
      <c r="F5171" s="1497"/>
      <c r="G5171" s="267" t="s">
        <v>27</v>
      </c>
      <c r="H5171" s="3"/>
    </row>
    <row r="5172" spans="1:8">
      <c r="A5172" s="270">
        <v>45370</v>
      </c>
      <c r="B5172" s="267"/>
      <c r="C5172" s="267" t="s">
        <v>79</v>
      </c>
      <c r="D5172" s="3" t="s">
        <v>1572</v>
      </c>
      <c r="E5172" s="1497">
        <v>16328.16</v>
      </c>
      <c r="F5172" s="1497"/>
      <c r="G5172" s="267" t="s">
        <v>27</v>
      </c>
      <c r="H5172" s="3"/>
    </row>
    <row r="5173" spans="1:8">
      <c r="A5173" s="270">
        <v>45370</v>
      </c>
      <c r="B5173" s="267"/>
      <c r="C5173" s="267" t="s">
        <v>29</v>
      </c>
      <c r="D5173" s="3" t="s">
        <v>2329</v>
      </c>
      <c r="E5173" s="1497">
        <v>270000</v>
      </c>
      <c r="F5173" s="1497"/>
      <c r="G5173" s="267" t="s">
        <v>27</v>
      </c>
      <c r="H5173" s="3"/>
    </row>
    <row r="5174" spans="1:8">
      <c r="A5174" s="270">
        <v>45371</v>
      </c>
      <c r="B5174" s="267"/>
      <c r="C5174" s="267" t="s">
        <v>92</v>
      </c>
      <c r="D5174" s="3" t="s">
        <v>1318</v>
      </c>
      <c r="E5174" s="1497"/>
      <c r="F5174" s="1497">
        <v>486600</v>
      </c>
      <c r="G5174" s="267" t="s">
        <v>27</v>
      </c>
      <c r="H5174" s="3"/>
    </row>
    <row r="5175" spans="1:8">
      <c r="A5175" s="270">
        <v>45371</v>
      </c>
      <c r="B5175" s="267"/>
      <c r="C5175" s="267" t="s">
        <v>92</v>
      </c>
      <c r="D5175" s="3" t="s">
        <v>1318</v>
      </c>
      <c r="E5175" s="1497"/>
      <c r="F5175" s="1497">
        <v>15730</v>
      </c>
      <c r="G5175" s="267" t="s">
        <v>27</v>
      </c>
      <c r="H5175" s="3"/>
    </row>
    <row r="5176" spans="1:8">
      <c r="A5176" s="270">
        <v>45371</v>
      </c>
      <c r="B5176" s="267"/>
      <c r="C5176" s="267" t="s">
        <v>77</v>
      </c>
      <c r="D5176" s="3" t="s">
        <v>2782</v>
      </c>
      <c r="E5176" s="1497"/>
      <c r="F5176" s="1497">
        <v>364600</v>
      </c>
      <c r="G5176" s="267" t="s">
        <v>27</v>
      </c>
      <c r="H5176" s="3"/>
    </row>
    <row r="5177" spans="1:8">
      <c r="A5177" s="270">
        <v>45371</v>
      </c>
      <c r="B5177" s="267"/>
      <c r="C5177" s="267" t="s">
        <v>1495</v>
      </c>
      <c r="D5177" s="3" t="s">
        <v>2783</v>
      </c>
      <c r="E5177" s="1497">
        <v>60000</v>
      </c>
      <c r="F5177" s="1497"/>
      <c r="G5177" s="267" t="s">
        <v>56</v>
      </c>
      <c r="H5177" s="3"/>
    </row>
    <row r="5178" spans="1:8">
      <c r="A5178" s="270">
        <v>45371</v>
      </c>
      <c r="B5178" s="267"/>
      <c r="C5178" s="267" t="s">
        <v>79</v>
      </c>
      <c r="D5178" s="3" t="s">
        <v>166</v>
      </c>
      <c r="E5178" s="1497">
        <v>236000</v>
      </c>
      <c r="F5178" s="1497"/>
      <c r="G5178" s="267" t="s">
        <v>27</v>
      </c>
      <c r="H5178" s="3"/>
    </row>
    <row r="5179" spans="1:8">
      <c r="A5179" s="270">
        <v>45371</v>
      </c>
      <c r="B5179" s="267"/>
      <c r="C5179" s="267" t="s">
        <v>537</v>
      </c>
      <c r="D5179" s="3" t="s">
        <v>208</v>
      </c>
      <c r="E5179" s="1497">
        <v>20000</v>
      </c>
      <c r="F5179" s="1497"/>
      <c r="G5179" s="267" t="s">
        <v>56</v>
      </c>
      <c r="H5179" s="3"/>
    </row>
    <row r="5180" spans="1:8">
      <c r="A5180" s="270">
        <v>45372</v>
      </c>
      <c r="B5180" s="267"/>
      <c r="C5180" s="267" t="s">
        <v>90</v>
      </c>
      <c r="D5180" s="3" t="s">
        <v>1951</v>
      </c>
      <c r="E5180" s="1497">
        <v>6000</v>
      </c>
      <c r="F5180" s="1497"/>
      <c r="G5180" s="267" t="s">
        <v>56</v>
      </c>
      <c r="H5180" s="3"/>
    </row>
    <row r="5181" spans="1:8">
      <c r="A5181" s="270">
        <v>45372</v>
      </c>
      <c r="B5181" s="267"/>
      <c r="C5181" s="267" t="s">
        <v>205</v>
      </c>
      <c r="D5181" s="3" t="s">
        <v>38</v>
      </c>
      <c r="E5181" s="1497">
        <v>3550</v>
      </c>
      <c r="F5181" s="1497"/>
      <c r="G5181" s="267" t="s">
        <v>56</v>
      </c>
      <c r="H5181" s="3"/>
    </row>
    <row r="5182" spans="1:8">
      <c r="A5182" s="270">
        <v>45373</v>
      </c>
      <c r="B5182" s="267"/>
      <c r="C5182" s="267" t="s">
        <v>205</v>
      </c>
      <c r="D5182" s="3" t="s">
        <v>613</v>
      </c>
      <c r="E5182" s="1497">
        <v>1365</v>
      </c>
      <c r="F5182" s="1497"/>
      <c r="G5182" s="267" t="s">
        <v>56</v>
      </c>
      <c r="H5182" s="3"/>
    </row>
    <row r="5183" spans="1:8">
      <c r="A5183" s="270">
        <v>45373</v>
      </c>
      <c r="B5183" s="267"/>
      <c r="C5183" s="267" t="s">
        <v>92</v>
      </c>
      <c r="D5183" s="3" t="s">
        <v>1445</v>
      </c>
      <c r="E5183" s="1497"/>
      <c r="F5183" s="1497">
        <v>45700</v>
      </c>
      <c r="G5183" s="267" t="s">
        <v>72</v>
      </c>
      <c r="H5183" s="3"/>
    </row>
    <row r="5184" spans="1:8">
      <c r="A5184" s="270">
        <v>45373</v>
      </c>
      <c r="B5184" s="267"/>
      <c r="C5184" s="267" t="s">
        <v>79</v>
      </c>
      <c r="D5184" s="3" t="s">
        <v>2784</v>
      </c>
      <c r="E5184" s="1497">
        <v>18316.5</v>
      </c>
      <c r="F5184" s="1497"/>
      <c r="G5184" s="267" t="s">
        <v>27</v>
      </c>
      <c r="H5184" s="3"/>
    </row>
    <row r="5185" spans="1:8">
      <c r="A5185" s="270">
        <v>45373</v>
      </c>
      <c r="B5185" s="267"/>
      <c r="C5185" s="267" t="s">
        <v>79</v>
      </c>
      <c r="D5185" s="3" t="s">
        <v>2784</v>
      </c>
      <c r="E5185" s="1497">
        <v>17605.5</v>
      </c>
      <c r="F5185" s="1497"/>
      <c r="G5185" s="267" t="s">
        <v>27</v>
      </c>
      <c r="H5185" s="3"/>
    </row>
    <row r="5186" spans="1:8">
      <c r="A5186" s="270">
        <v>45373</v>
      </c>
      <c r="B5186" s="267"/>
      <c r="C5186" s="267" t="s">
        <v>537</v>
      </c>
      <c r="D5186" s="3" t="s">
        <v>144</v>
      </c>
      <c r="E5186" s="1497">
        <v>4800</v>
      </c>
      <c r="F5186" s="1497"/>
      <c r="G5186" s="267" t="s">
        <v>27</v>
      </c>
      <c r="H5186" s="3"/>
    </row>
    <row r="5187" spans="1:8">
      <c r="A5187" s="270">
        <v>45373</v>
      </c>
      <c r="B5187" s="267"/>
      <c r="C5187" s="267" t="s">
        <v>537</v>
      </c>
      <c r="D5187" s="3" t="s">
        <v>219</v>
      </c>
      <c r="E5187" s="1497">
        <v>100000</v>
      </c>
      <c r="F5187" s="1497"/>
      <c r="G5187" s="267" t="s">
        <v>56</v>
      </c>
      <c r="H5187" s="3"/>
    </row>
    <row r="5188" spans="1:8" ht="15.75" thickBot="1">
      <c r="A5188" s="270">
        <v>45373</v>
      </c>
      <c r="B5188" s="267"/>
      <c r="C5188" s="267" t="s">
        <v>537</v>
      </c>
      <c r="D5188" s="3" t="s">
        <v>144</v>
      </c>
      <c r="E5188" s="1497">
        <v>145200</v>
      </c>
      <c r="F5188" s="1497"/>
      <c r="G5188" s="267" t="s">
        <v>56</v>
      </c>
      <c r="H5188" s="3"/>
    </row>
    <row r="5189" spans="1:8" ht="15.75" thickBot="1">
      <c r="H5189" s="201">
        <v>45373</v>
      </c>
    </row>
    <row r="5190" spans="1:8">
      <c r="H5190" s="199" t="s">
        <v>2785</v>
      </c>
    </row>
    <row r="5191" spans="1:8">
      <c r="H5191" s="137" t="s">
        <v>2786</v>
      </c>
    </row>
    <row r="5192" spans="1:8">
      <c r="H5192" s="218" t="s">
        <v>2787</v>
      </c>
    </row>
    <row r="5193" spans="1:8">
      <c r="H5193" s="138" t="s">
        <v>2613</v>
      </c>
    </row>
    <row r="5194" spans="1:8">
      <c r="H5194" s="138" t="s">
        <v>2473</v>
      </c>
    </row>
    <row r="5195" spans="1:8">
      <c r="H5195" s="138" t="s">
        <v>2788</v>
      </c>
    </row>
    <row r="5196" spans="1:8">
      <c r="H5196" s="138" t="s">
        <v>2789</v>
      </c>
    </row>
    <row r="5197" spans="1:8">
      <c r="H5197" s="138" t="s">
        <v>1215</v>
      </c>
    </row>
    <row r="5198" spans="1:8" ht="15.75" thickBot="1">
      <c r="H5198" s="147" t="s">
        <v>2151</v>
      </c>
    </row>
    <row r="5199" spans="1:8" ht="15.75" thickBot="1">
      <c r="H5199" s="140" t="s">
        <v>2790</v>
      </c>
    </row>
    <row r="5200" spans="1:8" ht="15.75" thickBot="1">
      <c r="H5200" s="210">
        <v>8615552.3300000001</v>
      </c>
    </row>
    <row r="5201" spans="1:8">
      <c r="A5201" s="270">
        <v>45376</v>
      </c>
      <c r="B5201" s="267"/>
      <c r="C5201" s="267" t="s">
        <v>86</v>
      </c>
      <c r="D5201" s="3" t="s">
        <v>195</v>
      </c>
      <c r="E5201" s="1497">
        <v>10000</v>
      </c>
      <c r="F5201" s="1497"/>
      <c r="G5201" s="267" t="s">
        <v>27</v>
      </c>
      <c r="H5201" s="5"/>
    </row>
    <row r="5202" spans="1:8">
      <c r="A5202" s="270">
        <v>45376</v>
      </c>
      <c r="B5202" s="267"/>
      <c r="C5202" s="267" t="s">
        <v>537</v>
      </c>
      <c r="D5202" s="3" t="s">
        <v>193</v>
      </c>
      <c r="E5202" s="1497">
        <v>70000</v>
      </c>
      <c r="F5202" s="1497"/>
      <c r="G5202" s="267" t="s">
        <v>27</v>
      </c>
      <c r="H5202" s="3"/>
    </row>
    <row r="5203" spans="1:8">
      <c r="A5203" s="270">
        <v>45376</v>
      </c>
      <c r="B5203" s="267"/>
      <c r="C5203" s="267" t="s">
        <v>205</v>
      </c>
      <c r="D5203" s="3" t="s">
        <v>190</v>
      </c>
      <c r="E5203" s="1497">
        <v>45700</v>
      </c>
      <c r="F5203" s="1497"/>
      <c r="G5203" s="267" t="s">
        <v>72</v>
      </c>
      <c r="H5203" s="3"/>
    </row>
    <row r="5204" spans="1:8">
      <c r="A5204" s="270">
        <v>45376</v>
      </c>
      <c r="B5204" s="267"/>
      <c r="C5204" s="267" t="s">
        <v>79</v>
      </c>
      <c r="D5204" s="3" t="s">
        <v>2791</v>
      </c>
      <c r="E5204" s="1497">
        <v>30808.53</v>
      </c>
      <c r="F5204" s="1497"/>
      <c r="G5204" s="267" t="s">
        <v>27</v>
      </c>
      <c r="H5204" s="3"/>
    </row>
    <row r="5205" spans="1:8">
      <c r="A5205" s="270">
        <v>45376</v>
      </c>
      <c r="B5205" s="267"/>
      <c r="C5205" s="267" t="s">
        <v>79</v>
      </c>
      <c r="D5205" s="3" t="s">
        <v>1403</v>
      </c>
      <c r="E5205" s="1497">
        <v>6778.77</v>
      </c>
      <c r="F5205" s="1497"/>
      <c r="G5205" s="267" t="s">
        <v>27</v>
      </c>
      <c r="H5205" s="3"/>
    </row>
    <row r="5206" spans="1:8">
      <c r="A5206" s="270">
        <v>45376</v>
      </c>
      <c r="B5206" s="267"/>
      <c r="C5206" s="267" t="s">
        <v>79</v>
      </c>
      <c r="D5206" s="3" t="s">
        <v>1403</v>
      </c>
      <c r="E5206" s="1497">
        <v>4456.66</v>
      </c>
      <c r="F5206" s="1497"/>
      <c r="G5206" s="267" t="s">
        <v>27</v>
      </c>
      <c r="H5206" s="3"/>
    </row>
    <row r="5207" spans="1:8">
      <c r="A5207" s="270">
        <v>45376</v>
      </c>
      <c r="B5207" s="267"/>
      <c r="C5207" s="267" t="s">
        <v>86</v>
      </c>
      <c r="D5207" s="3" t="s">
        <v>104</v>
      </c>
      <c r="E5207" s="1497">
        <v>10000</v>
      </c>
      <c r="F5207" s="1497"/>
      <c r="G5207" s="267" t="s">
        <v>56</v>
      </c>
      <c r="H5207" s="3"/>
    </row>
    <row r="5208" spans="1:8">
      <c r="A5208" s="270">
        <v>45376</v>
      </c>
      <c r="B5208" s="267"/>
      <c r="C5208" s="267" t="s">
        <v>77</v>
      </c>
      <c r="D5208" s="15" t="s">
        <v>2792</v>
      </c>
      <c r="E5208" s="1497"/>
      <c r="F5208" s="1497">
        <v>2838300</v>
      </c>
      <c r="G5208" s="267" t="s">
        <v>287</v>
      </c>
      <c r="H5208" s="81" t="s">
        <v>2793</v>
      </c>
    </row>
    <row r="5209" spans="1:8">
      <c r="A5209" s="270">
        <v>45376</v>
      </c>
      <c r="B5209" s="267"/>
      <c r="C5209" s="267" t="s">
        <v>94</v>
      </c>
      <c r="D5209" s="3" t="s">
        <v>13</v>
      </c>
      <c r="E5209" s="1497" t="s">
        <v>2794</v>
      </c>
      <c r="F5209" s="1497"/>
      <c r="G5209" s="267" t="s">
        <v>27</v>
      </c>
      <c r="H5209" s="3"/>
    </row>
    <row r="5210" spans="1:8">
      <c r="A5210" s="270">
        <v>45377</v>
      </c>
      <c r="B5210" s="267"/>
      <c r="C5210" s="267" t="s">
        <v>433</v>
      </c>
      <c r="D5210" s="3" t="s">
        <v>650</v>
      </c>
      <c r="E5210" s="1497">
        <v>22004.68</v>
      </c>
      <c r="F5210" s="1497"/>
      <c r="G5210" s="267" t="s">
        <v>27</v>
      </c>
      <c r="H5210" s="3"/>
    </row>
    <row r="5211" spans="1:8">
      <c r="A5211" s="270">
        <v>45377</v>
      </c>
      <c r="B5211" s="267"/>
      <c r="C5211" s="267" t="s">
        <v>433</v>
      </c>
      <c r="D5211" s="3" t="s">
        <v>2536</v>
      </c>
      <c r="E5211" s="1497">
        <v>2286.9</v>
      </c>
      <c r="F5211" s="1497"/>
      <c r="G5211" s="267" t="s">
        <v>27</v>
      </c>
      <c r="H5211" s="3"/>
    </row>
    <row r="5212" spans="1:8">
      <c r="A5212" s="270">
        <v>45377</v>
      </c>
      <c r="B5212" s="267"/>
      <c r="C5212" s="267" t="s">
        <v>79</v>
      </c>
      <c r="D5212" s="3" t="s">
        <v>2795</v>
      </c>
      <c r="E5212" s="1497">
        <v>6808.5</v>
      </c>
      <c r="F5212" s="1497"/>
      <c r="G5212" s="267" t="s">
        <v>27</v>
      </c>
      <c r="H5212" s="3"/>
    </row>
    <row r="5213" spans="1:8">
      <c r="A5213" s="270">
        <v>45377</v>
      </c>
      <c r="B5213" s="267"/>
      <c r="C5213" s="267" t="s">
        <v>77</v>
      </c>
      <c r="D5213" s="3" t="s">
        <v>1551</v>
      </c>
      <c r="E5213" s="1497"/>
      <c r="F5213" s="1497">
        <v>160000</v>
      </c>
      <c r="G5213" s="267" t="s">
        <v>56</v>
      </c>
      <c r="H5213" s="3"/>
    </row>
    <row r="5214" spans="1:8">
      <c r="A5214" s="270">
        <v>45377</v>
      </c>
      <c r="B5214" s="267"/>
      <c r="C5214" s="267" t="s">
        <v>55</v>
      </c>
      <c r="D5214" s="3" t="s">
        <v>2796</v>
      </c>
      <c r="E5214" s="1497">
        <v>3500</v>
      </c>
      <c r="F5214" s="1497"/>
      <c r="G5214" s="267" t="s">
        <v>56</v>
      </c>
      <c r="H5214" s="113"/>
    </row>
    <row r="5215" spans="1:8">
      <c r="A5215" s="270">
        <v>45377</v>
      </c>
      <c r="B5215" s="267"/>
      <c r="C5215" s="267" t="s">
        <v>2799</v>
      </c>
      <c r="D5215" s="3" t="s">
        <v>2797</v>
      </c>
      <c r="E5215" s="1497">
        <v>15800</v>
      </c>
      <c r="F5215" s="1497"/>
      <c r="G5215" s="267" t="s">
        <v>56</v>
      </c>
      <c r="H5215" s="3"/>
    </row>
    <row r="5216" spans="1:8">
      <c r="A5216" s="270">
        <v>45348</v>
      </c>
      <c r="B5216" s="267"/>
      <c r="C5216" s="267" t="s">
        <v>86</v>
      </c>
      <c r="D5216" s="3" t="s">
        <v>2798</v>
      </c>
      <c r="E5216" s="1497">
        <v>15000</v>
      </c>
      <c r="F5216" s="1497"/>
      <c r="G5216" s="267" t="s">
        <v>56</v>
      </c>
      <c r="H5216" s="3"/>
    </row>
    <row r="5217" spans="1:8">
      <c r="A5217" s="270">
        <v>45348</v>
      </c>
      <c r="B5217" s="267"/>
      <c r="C5217" s="267" t="s">
        <v>92</v>
      </c>
      <c r="D5217" s="3" t="s">
        <v>2800</v>
      </c>
      <c r="E5217" s="1497"/>
      <c r="F5217" s="1497">
        <v>288700</v>
      </c>
      <c r="G5217" s="267" t="s">
        <v>27</v>
      </c>
      <c r="H5217" s="3"/>
    </row>
    <row r="5218" spans="1:8">
      <c r="A5218" s="270">
        <v>45349</v>
      </c>
      <c r="B5218" s="267"/>
      <c r="C5218" s="267" t="s">
        <v>55</v>
      </c>
      <c r="D5218" s="3" t="s">
        <v>61</v>
      </c>
      <c r="E5218" s="1497">
        <v>5250</v>
      </c>
      <c r="F5218" s="1497"/>
      <c r="G5218" s="267" t="s">
        <v>27</v>
      </c>
      <c r="H5218" s="3"/>
    </row>
    <row r="5219" spans="1:8">
      <c r="A5219" s="270">
        <v>45379</v>
      </c>
      <c r="B5219" s="267"/>
      <c r="C5219" s="267" t="s">
        <v>831</v>
      </c>
      <c r="D5219" s="3" t="s">
        <v>2801</v>
      </c>
      <c r="E5219" s="1497">
        <v>5800</v>
      </c>
      <c r="F5219" s="1497"/>
      <c r="G5219" s="267" t="s">
        <v>56</v>
      </c>
      <c r="H5219" s="3"/>
    </row>
    <row r="5220" spans="1:8">
      <c r="A5220" s="270">
        <v>45379</v>
      </c>
      <c r="B5220" s="267"/>
      <c r="C5220" s="267" t="s">
        <v>94</v>
      </c>
      <c r="D5220" s="3" t="s">
        <v>2802</v>
      </c>
      <c r="E5220" s="1497">
        <v>20000</v>
      </c>
      <c r="F5220" s="1497"/>
      <c r="G5220" s="267" t="s">
        <v>27</v>
      </c>
      <c r="H5220" s="3"/>
    </row>
    <row r="5221" spans="1:8">
      <c r="A5221" s="270">
        <v>45379</v>
      </c>
      <c r="B5221" s="267"/>
      <c r="C5221" s="267" t="s">
        <v>68</v>
      </c>
      <c r="D5221" s="3" t="s">
        <v>1951</v>
      </c>
      <c r="E5221" s="1497">
        <v>6000</v>
      </c>
      <c r="F5221" s="1497"/>
      <c r="G5221" s="267" t="s">
        <v>56</v>
      </c>
      <c r="H5221" s="195" t="s">
        <v>2804</v>
      </c>
    </row>
    <row r="5222" spans="1:8">
      <c r="A5222" s="270">
        <v>45379</v>
      </c>
      <c r="B5222" s="267"/>
      <c r="C5222" s="267" t="s">
        <v>79</v>
      </c>
      <c r="D5222" s="3" t="s">
        <v>2805</v>
      </c>
      <c r="E5222" s="1497">
        <v>307893.13</v>
      </c>
      <c r="F5222" s="1497"/>
      <c r="G5222" s="267" t="s">
        <v>27</v>
      </c>
      <c r="H5222" s="3"/>
    </row>
    <row r="5223" spans="1:8">
      <c r="A5223" s="270">
        <v>45379</v>
      </c>
      <c r="B5223" s="267"/>
      <c r="C5223" s="267" t="s">
        <v>537</v>
      </c>
      <c r="D5223" s="3" t="s">
        <v>219</v>
      </c>
      <c r="E5223" s="1497">
        <v>100000</v>
      </c>
      <c r="F5223" s="1497"/>
      <c r="G5223" s="267" t="s">
        <v>56</v>
      </c>
      <c r="H5223" s="3"/>
    </row>
    <row r="5224" spans="1:8">
      <c r="A5224" s="270">
        <v>45379</v>
      </c>
      <c r="B5224" s="267"/>
      <c r="C5224" s="267" t="s">
        <v>537</v>
      </c>
      <c r="D5224" s="3" t="s">
        <v>208</v>
      </c>
      <c r="E5224" s="1497">
        <v>100000</v>
      </c>
      <c r="F5224" s="1497"/>
      <c r="G5224" s="267" t="s">
        <v>56</v>
      </c>
      <c r="H5224" s="3"/>
    </row>
    <row r="5225" spans="1:8">
      <c r="A5225" s="270">
        <v>45379</v>
      </c>
      <c r="B5225" s="267"/>
      <c r="C5225" s="267" t="s">
        <v>537</v>
      </c>
      <c r="D5225" s="3" t="s">
        <v>2811</v>
      </c>
      <c r="E5225" s="1497">
        <v>40000</v>
      </c>
      <c r="F5225" s="1497"/>
      <c r="G5225" s="267" t="s">
        <v>56</v>
      </c>
      <c r="H5225" s="3"/>
    </row>
    <row r="5226" spans="1:8">
      <c r="A5226" s="270">
        <v>45379</v>
      </c>
      <c r="B5226" s="267"/>
      <c r="C5226" s="267" t="s">
        <v>537</v>
      </c>
      <c r="D5226" s="3" t="s">
        <v>144</v>
      </c>
      <c r="E5226" s="1497">
        <v>150000</v>
      </c>
      <c r="F5226" s="1497"/>
      <c r="G5226" s="267" t="s">
        <v>56</v>
      </c>
      <c r="H5226" s="3"/>
    </row>
    <row r="5227" spans="1:8">
      <c r="A5227" s="270">
        <v>45379</v>
      </c>
      <c r="B5227" s="267"/>
      <c r="C5227" s="267" t="s">
        <v>77</v>
      </c>
      <c r="D5227" s="15" t="s">
        <v>2792</v>
      </c>
      <c r="E5227" s="1497">
        <v>1000000</v>
      </c>
      <c r="F5227" s="1497"/>
      <c r="G5227" s="267" t="s">
        <v>287</v>
      </c>
      <c r="H5227" s="3"/>
    </row>
    <row r="5228" spans="1:8" ht="15.75" thickBot="1">
      <c r="H5228" s="209">
        <v>45379</v>
      </c>
    </row>
    <row r="5229" spans="1:8">
      <c r="H5229" s="199" t="s">
        <v>2785</v>
      </c>
    </row>
    <row r="5230" spans="1:8">
      <c r="H5230" s="137" t="s">
        <v>2809</v>
      </c>
    </row>
    <row r="5231" spans="1:8">
      <c r="H5231" s="138" t="s">
        <v>2807</v>
      </c>
    </row>
    <row r="5232" spans="1:8">
      <c r="H5232" s="138" t="s">
        <v>2806</v>
      </c>
    </row>
    <row r="5233" spans="1:8">
      <c r="H5233" s="138" t="s">
        <v>2473</v>
      </c>
    </row>
    <row r="5234" spans="1:8">
      <c r="H5234" s="138" t="s">
        <v>2810</v>
      </c>
    </row>
    <row r="5235" spans="1:8">
      <c r="H5235" s="138" t="s">
        <v>2808</v>
      </c>
    </row>
    <row r="5236" spans="1:8">
      <c r="H5236" s="138" t="s">
        <v>1215</v>
      </c>
    </row>
    <row r="5237" spans="1:8" ht="15.75" thickBot="1">
      <c r="H5237" s="147" t="s">
        <v>2151</v>
      </c>
    </row>
    <row r="5238" spans="1:8" ht="15.75" thickBot="1">
      <c r="H5238" s="140" t="s">
        <v>2803</v>
      </c>
    </row>
    <row r="5239" spans="1:8" ht="15.75" thickBot="1">
      <c r="H5239" s="210">
        <v>11628674.689999999</v>
      </c>
    </row>
    <row r="5240" spans="1:8">
      <c r="A5240" s="270">
        <v>45385</v>
      </c>
      <c r="B5240" s="267"/>
      <c r="C5240" s="267" t="s">
        <v>79</v>
      </c>
      <c r="D5240" s="3" t="s">
        <v>2812</v>
      </c>
      <c r="E5240" s="1497">
        <v>36817</v>
      </c>
      <c r="F5240" s="1497"/>
      <c r="G5240" s="267" t="s">
        <v>56</v>
      </c>
      <c r="H5240" s="5"/>
    </row>
    <row r="5241" spans="1:8">
      <c r="A5241" s="270">
        <v>45385</v>
      </c>
      <c r="B5241" s="267"/>
      <c r="C5241" s="267" t="s">
        <v>537</v>
      </c>
      <c r="D5241" s="3" t="s">
        <v>193</v>
      </c>
      <c r="E5241" s="1497">
        <v>70000</v>
      </c>
      <c r="F5241" s="1497"/>
      <c r="G5241" s="267" t="s">
        <v>27</v>
      </c>
      <c r="H5241" s="3"/>
    </row>
    <row r="5242" spans="1:8">
      <c r="A5242" s="270">
        <v>45385</v>
      </c>
      <c r="B5242" s="267"/>
      <c r="C5242" s="267" t="s">
        <v>86</v>
      </c>
      <c r="D5242" s="3" t="s">
        <v>104</v>
      </c>
      <c r="E5242" s="1497">
        <v>10000</v>
      </c>
      <c r="F5242" s="1497"/>
      <c r="G5242" s="267" t="s">
        <v>27</v>
      </c>
      <c r="H5242" s="3"/>
    </row>
    <row r="5243" spans="1:8">
      <c r="A5243" s="270">
        <v>45385</v>
      </c>
      <c r="B5243" s="267"/>
      <c r="C5243" s="267" t="s">
        <v>79</v>
      </c>
      <c r="D5243" s="3" t="s">
        <v>2813</v>
      </c>
      <c r="E5243" s="1497">
        <v>29916.11</v>
      </c>
      <c r="F5243" s="1497"/>
      <c r="G5243" s="267" t="s">
        <v>27</v>
      </c>
      <c r="H5243" s="3"/>
    </row>
    <row r="5244" spans="1:8">
      <c r="A5244" s="270">
        <v>45385</v>
      </c>
      <c r="B5244" s="267"/>
      <c r="C5244" s="267" t="s">
        <v>849</v>
      </c>
      <c r="D5244" s="3" t="s">
        <v>2814</v>
      </c>
      <c r="E5244" s="1497">
        <v>7752.74</v>
      </c>
      <c r="F5244" s="1497"/>
      <c r="G5244" s="267" t="s">
        <v>27</v>
      </c>
      <c r="H5244" s="3"/>
    </row>
    <row r="5245" spans="1:8">
      <c r="A5245" s="270">
        <v>45385</v>
      </c>
      <c r="B5245" s="267"/>
      <c r="C5245" s="267" t="s">
        <v>849</v>
      </c>
      <c r="D5245" s="3" t="s">
        <v>2815</v>
      </c>
      <c r="E5245" s="1497">
        <v>7752.74</v>
      </c>
      <c r="F5245" s="1497"/>
      <c r="G5245" s="267" t="s">
        <v>27</v>
      </c>
      <c r="H5245" s="3"/>
    </row>
    <row r="5246" spans="1:8">
      <c r="A5246" s="270">
        <v>45385</v>
      </c>
      <c r="B5246" s="267"/>
      <c r="C5246" s="267" t="s">
        <v>205</v>
      </c>
      <c r="D5246" s="3" t="s">
        <v>913</v>
      </c>
      <c r="E5246" s="1497">
        <v>2838300</v>
      </c>
      <c r="F5246" s="1497"/>
      <c r="G5246" s="267" t="s">
        <v>287</v>
      </c>
      <c r="H5246" s="81" t="s">
        <v>2793</v>
      </c>
    </row>
    <row r="5247" spans="1:8">
      <c r="A5247" s="112">
        <v>45385</v>
      </c>
      <c r="B5247" s="70"/>
      <c r="C5247" s="70" t="s">
        <v>79</v>
      </c>
      <c r="D5247" s="113" t="s">
        <v>79</v>
      </c>
      <c r="E5247" s="70">
        <v>1400</v>
      </c>
      <c r="F5247" s="70"/>
      <c r="G5247" s="70" t="s">
        <v>1385</v>
      </c>
      <c r="H5247" s="3"/>
    </row>
    <row r="5248" spans="1:8">
      <c r="A5248" s="270">
        <v>45385</v>
      </c>
      <c r="B5248" s="267"/>
      <c r="C5248" s="267" t="s">
        <v>55</v>
      </c>
      <c r="D5248" s="3" t="s">
        <v>554</v>
      </c>
      <c r="E5248" s="1497">
        <v>8108.25</v>
      </c>
      <c r="F5248" s="1497"/>
      <c r="G5248" s="267" t="s">
        <v>27</v>
      </c>
      <c r="H5248" s="3"/>
    </row>
    <row r="5249" spans="1:8">
      <c r="A5249" s="270">
        <v>45386</v>
      </c>
      <c r="B5249" s="267"/>
      <c r="C5249" s="267" t="s">
        <v>55</v>
      </c>
      <c r="D5249" s="3" t="s">
        <v>562</v>
      </c>
      <c r="E5249" s="1497">
        <v>7000</v>
      </c>
      <c r="F5249" s="1497"/>
      <c r="G5249" s="267" t="s">
        <v>56</v>
      </c>
      <c r="H5249" s="3"/>
    </row>
    <row r="5250" spans="1:8">
      <c r="A5250" s="270">
        <v>45386</v>
      </c>
      <c r="B5250" s="267"/>
      <c r="C5250" s="267" t="s">
        <v>79</v>
      </c>
      <c r="D5250" s="3" t="s">
        <v>1002</v>
      </c>
      <c r="E5250" s="1497">
        <v>34590</v>
      </c>
      <c r="F5250" s="1497"/>
      <c r="G5250" s="267" t="s">
        <v>27</v>
      </c>
      <c r="H5250" s="3"/>
    </row>
    <row r="5251" spans="1:8">
      <c r="A5251" s="270">
        <v>45386</v>
      </c>
      <c r="B5251" s="267"/>
      <c r="C5251" s="267" t="s">
        <v>160</v>
      </c>
      <c r="D5251" s="3" t="s">
        <v>2816</v>
      </c>
      <c r="E5251" s="1497"/>
      <c r="F5251" s="1497">
        <v>3000</v>
      </c>
      <c r="G5251" s="267" t="s">
        <v>56</v>
      </c>
      <c r="H5251" s="3"/>
    </row>
    <row r="5252" spans="1:8">
      <c r="A5252" s="270">
        <v>45386</v>
      </c>
      <c r="B5252" s="267"/>
      <c r="C5252" s="267" t="s">
        <v>86</v>
      </c>
      <c r="D5252" s="3" t="s">
        <v>104</v>
      </c>
      <c r="E5252" s="1497">
        <v>10000</v>
      </c>
      <c r="F5252" s="1497"/>
      <c r="G5252" s="267" t="s">
        <v>27</v>
      </c>
      <c r="H5252" s="3"/>
    </row>
    <row r="5253" spans="1:8">
      <c r="A5253" s="270">
        <v>45386</v>
      </c>
      <c r="B5253" s="267"/>
      <c r="C5253" s="267" t="s">
        <v>92</v>
      </c>
      <c r="D5253" s="3" t="s">
        <v>2817</v>
      </c>
      <c r="E5253" s="1497"/>
      <c r="F5253" s="1497">
        <v>30370</v>
      </c>
      <c r="G5253" s="267" t="s">
        <v>27</v>
      </c>
      <c r="H5253" s="3"/>
    </row>
    <row r="5254" spans="1:8">
      <c r="A5254" s="270">
        <v>45386</v>
      </c>
      <c r="B5254" s="267"/>
      <c r="C5254" s="267" t="s">
        <v>90</v>
      </c>
      <c r="D5254" s="3" t="s">
        <v>2463</v>
      </c>
      <c r="E5254" s="1497">
        <v>5200</v>
      </c>
      <c r="F5254" s="1497"/>
      <c r="G5254" s="267" t="s">
        <v>56</v>
      </c>
      <c r="H5254" s="3"/>
    </row>
    <row r="5255" spans="1:8">
      <c r="A5255" s="270">
        <v>45386</v>
      </c>
      <c r="B5255" s="267"/>
      <c r="C5255" s="267" t="s">
        <v>94</v>
      </c>
      <c r="D5255" s="3" t="s">
        <v>395</v>
      </c>
      <c r="E5255" s="1497">
        <v>17473.07</v>
      </c>
      <c r="F5255" s="1497"/>
      <c r="G5255" s="267" t="s">
        <v>27</v>
      </c>
      <c r="H5255" s="3"/>
    </row>
    <row r="5256" spans="1:8">
      <c r="A5256" s="270">
        <v>45386</v>
      </c>
      <c r="B5256" s="267"/>
      <c r="C5256" s="267" t="s">
        <v>55</v>
      </c>
      <c r="D5256" s="3" t="s">
        <v>63</v>
      </c>
      <c r="E5256" s="1497">
        <v>2396</v>
      </c>
      <c r="F5256" s="1497"/>
      <c r="G5256" s="267" t="s">
        <v>56</v>
      </c>
      <c r="H5256" s="3"/>
    </row>
    <row r="5257" spans="1:8">
      <c r="A5257" s="270">
        <v>45386</v>
      </c>
      <c r="B5257" s="267"/>
      <c r="C5257" s="267" t="s">
        <v>537</v>
      </c>
      <c r="D5257" s="3" t="s">
        <v>219</v>
      </c>
      <c r="E5257" s="1497">
        <v>133000</v>
      </c>
      <c r="F5257" s="1497"/>
      <c r="G5257" s="267" t="s">
        <v>56</v>
      </c>
      <c r="H5257" s="3"/>
    </row>
    <row r="5258" spans="1:8">
      <c r="A5258" s="270">
        <v>45386</v>
      </c>
      <c r="B5258" s="267"/>
      <c r="C5258" s="267" t="s">
        <v>537</v>
      </c>
      <c r="D5258" s="3" t="s">
        <v>208</v>
      </c>
      <c r="E5258" s="1497">
        <v>100000</v>
      </c>
      <c r="F5258" s="1497"/>
      <c r="G5258" s="267" t="s">
        <v>56</v>
      </c>
      <c r="H5258" s="3"/>
    </row>
    <row r="5259" spans="1:8">
      <c r="A5259" s="270">
        <v>45386</v>
      </c>
      <c r="B5259" s="267"/>
      <c r="C5259" s="267" t="s">
        <v>55</v>
      </c>
      <c r="D5259" s="3" t="s">
        <v>2818</v>
      </c>
      <c r="E5259" s="1497">
        <v>450</v>
      </c>
      <c r="F5259" s="1497"/>
      <c r="G5259" s="267" t="s">
        <v>56</v>
      </c>
      <c r="H5259" s="3"/>
    </row>
    <row r="5260" spans="1:8">
      <c r="A5260" s="270">
        <v>45386</v>
      </c>
      <c r="B5260" s="267"/>
      <c r="C5260" s="267" t="s">
        <v>55</v>
      </c>
      <c r="D5260" s="3" t="s">
        <v>2823</v>
      </c>
      <c r="E5260" s="1497">
        <v>7800</v>
      </c>
      <c r="F5260" s="1497"/>
      <c r="G5260" s="267" t="s">
        <v>27</v>
      </c>
      <c r="H5260" s="3"/>
    </row>
    <row r="5261" spans="1:8">
      <c r="A5261" s="270">
        <v>45386</v>
      </c>
      <c r="B5261" s="267"/>
      <c r="C5261" s="267" t="s">
        <v>537</v>
      </c>
      <c r="D5261" s="3" t="s">
        <v>144</v>
      </c>
      <c r="E5261" s="1497">
        <v>80000</v>
      </c>
      <c r="F5261" s="1497"/>
      <c r="G5261" s="267"/>
      <c r="H5261" s="3"/>
    </row>
    <row r="5262" spans="1:8">
      <c r="A5262" s="270">
        <v>45386</v>
      </c>
      <c r="B5262" s="267"/>
      <c r="C5262" s="267" t="s">
        <v>537</v>
      </c>
      <c r="D5262" s="3" t="s">
        <v>144</v>
      </c>
      <c r="E5262" s="1497">
        <v>16000</v>
      </c>
      <c r="F5262" s="1497"/>
      <c r="G5262" s="267"/>
      <c r="H5262" s="3"/>
    </row>
    <row r="5263" spans="1:8">
      <c r="A5263" s="270">
        <v>45386</v>
      </c>
      <c r="B5263" s="267"/>
      <c r="C5263" s="267" t="s">
        <v>537</v>
      </c>
      <c r="D5263" s="3" t="s">
        <v>144</v>
      </c>
      <c r="E5263" s="1497">
        <v>100000</v>
      </c>
      <c r="F5263" s="1497"/>
      <c r="G5263" s="267" t="s">
        <v>56</v>
      </c>
      <c r="H5263" s="3"/>
    </row>
    <row r="5264" spans="1:8" ht="15.75" thickBot="1">
      <c r="H5264" s="209">
        <v>45387</v>
      </c>
    </row>
    <row r="5265" spans="1:8">
      <c r="H5265" s="199" t="s">
        <v>2785</v>
      </c>
    </row>
    <row r="5266" spans="1:8">
      <c r="H5266" s="137" t="s">
        <v>905</v>
      </c>
    </row>
    <row r="5267" spans="1:8">
      <c r="H5267" s="138" t="s">
        <v>2822</v>
      </c>
    </row>
    <row r="5268" spans="1:8">
      <c r="H5268" s="138" t="s">
        <v>2598</v>
      </c>
    </row>
    <row r="5269" spans="1:8">
      <c r="H5269" s="138" t="s">
        <v>2819</v>
      </c>
    </row>
    <row r="5270" spans="1:8">
      <c r="H5270" s="138" t="s">
        <v>2820</v>
      </c>
    </row>
    <row r="5271" spans="1:8">
      <c r="H5271" s="138" t="s">
        <v>2821</v>
      </c>
    </row>
    <row r="5272" spans="1:8">
      <c r="H5272" s="138" t="s">
        <v>1215</v>
      </c>
    </row>
    <row r="5273" spans="1:8" ht="15.75" thickBot="1">
      <c r="H5273" s="147" t="s">
        <v>2151</v>
      </c>
    </row>
    <row r="5274" spans="1:8" ht="15.75" thickBot="1">
      <c r="H5274" s="140" t="s">
        <v>2803</v>
      </c>
    </row>
    <row r="5275" spans="1:8" ht="15.75" thickBot="1">
      <c r="H5275" s="210">
        <v>11628674.689999999</v>
      </c>
    </row>
    <row r="5276" spans="1:8">
      <c r="A5276" s="270">
        <v>45390</v>
      </c>
      <c r="B5276" s="267"/>
      <c r="C5276" s="267" t="s">
        <v>537</v>
      </c>
      <c r="D5276" s="3" t="s">
        <v>193</v>
      </c>
      <c r="E5276" s="1497">
        <v>70000</v>
      </c>
      <c r="F5276" s="1497"/>
      <c r="G5276" s="267" t="s">
        <v>27</v>
      </c>
      <c r="H5276" s="215"/>
    </row>
    <row r="5277" spans="1:8">
      <c r="A5277" s="270">
        <v>45390</v>
      </c>
      <c r="B5277" s="267"/>
      <c r="C5277" s="267" t="s">
        <v>205</v>
      </c>
      <c r="D5277" s="3" t="s">
        <v>40</v>
      </c>
      <c r="E5277" s="1497">
        <v>250000</v>
      </c>
      <c r="F5277" s="1497"/>
      <c r="G5277" s="267" t="s">
        <v>56</v>
      </c>
      <c r="H5277" s="45" t="s">
        <v>2825</v>
      </c>
    </row>
    <row r="5278" spans="1:8">
      <c r="A5278" s="270">
        <v>45390</v>
      </c>
      <c r="B5278" s="267"/>
      <c r="C5278" s="267" t="s">
        <v>86</v>
      </c>
      <c r="D5278" s="3" t="s">
        <v>104</v>
      </c>
      <c r="E5278" s="1497">
        <v>15000</v>
      </c>
      <c r="F5278" s="1497"/>
      <c r="G5278" s="267" t="s">
        <v>56</v>
      </c>
      <c r="H5278" s="3"/>
    </row>
    <row r="5279" spans="1:8">
      <c r="A5279" s="270">
        <v>45390</v>
      </c>
      <c r="B5279" s="267"/>
      <c r="C5279" s="267" t="s">
        <v>86</v>
      </c>
      <c r="D5279" s="3" t="s">
        <v>107</v>
      </c>
      <c r="E5279" s="1497">
        <v>15000</v>
      </c>
      <c r="F5279" s="1497"/>
      <c r="G5279" s="267" t="s">
        <v>27</v>
      </c>
      <c r="H5279" s="3"/>
    </row>
    <row r="5280" spans="1:8">
      <c r="A5280" s="270">
        <v>45390</v>
      </c>
      <c r="B5280" s="267"/>
      <c r="C5280" s="267" t="s">
        <v>92</v>
      </c>
      <c r="D5280" s="3" t="s">
        <v>2824</v>
      </c>
      <c r="E5280" s="1497"/>
      <c r="F5280" s="1497">
        <v>278350</v>
      </c>
      <c r="G5280" s="267" t="s">
        <v>27</v>
      </c>
      <c r="H5280" s="3"/>
    </row>
    <row r="5281" spans="1:8">
      <c r="A5281" s="270">
        <v>45024</v>
      </c>
      <c r="B5281" s="267"/>
      <c r="C5281" s="267" t="s">
        <v>55</v>
      </c>
      <c r="D5281" s="3" t="s">
        <v>2826</v>
      </c>
      <c r="E5281" s="1497">
        <v>3100</v>
      </c>
      <c r="F5281" s="1497"/>
      <c r="G5281" s="267" t="s">
        <v>56</v>
      </c>
      <c r="H5281" s="3"/>
    </row>
    <row r="5282" spans="1:8">
      <c r="A5282" s="270">
        <v>45024</v>
      </c>
      <c r="B5282" s="267"/>
      <c r="C5282" s="267" t="s">
        <v>205</v>
      </c>
      <c r="D5282" s="3" t="s">
        <v>859</v>
      </c>
      <c r="E5282" s="1497">
        <v>250000</v>
      </c>
      <c r="F5282" s="1497"/>
      <c r="G5282" s="267" t="s">
        <v>27</v>
      </c>
      <c r="H5282" s="3"/>
    </row>
    <row r="5283" spans="1:8">
      <c r="A5283" s="270">
        <v>45024</v>
      </c>
      <c r="B5283" s="267"/>
      <c r="C5283" s="267" t="s">
        <v>55</v>
      </c>
      <c r="D5283" s="3" t="s">
        <v>2827</v>
      </c>
      <c r="E5283" s="1497">
        <v>50000</v>
      </c>
      <c r="F5283" s="1497"/>
      <c r="G5283" s="267" t="s">
        <v>27</v>
      </c>
      <c r="H5283" s="3"/>
    </row>
    <row r="5284" spans="1:8">
      <c r="A5284" s="270">
        <v>45024</v>
      </c>
      <c r="B5284" s="267"/>
      <c r="C5284" s="267" t="s">
        <v>55</v>
      </c>
      <c r="D5284" s="3" t="s">
        <v>2828</v>
      </c>
      <c r="E5284" s="1497">
        <v>1500</v>
      </c>
      <c r="F5284" s="1497"/>
      <c r="G5284" s="267" t="s">
        <v>56</v>
      </c>
      <c r="H5284" s="3"/>
    </row>
    <row r="5285" spans="1:8">
      <c r="A5285" s="270">
        <v>45390</v>
      </c>
      <c r="B5285" s="267"/>
      <c r="C5285" s="267" t="s">
        <v>176</v>
      </c>
      <c r="D5285" s="3" t="s">
        <v>2829</v>
      </c>
      <c r="E5285" s="1497">
        <v>50000</v>
      </c>
      <c r="F5285" s="1497"/>
      <c r="G5285" s="267" t="s">
        <v>27</v>
      </c>
      <c r="H5285" s="3"/>
    </row>
    <row r="5286" spans="1:8">
      <c r="A5286" s="270">
        <v>45390</v>
      </c>
      <c r="B5286" s="267"/>
      <c r="C5286" s="267" t="s">
        <v>92</v>
      </c>
      <c r="D5286" s="3" t="s">
        <v>2077</v>
      </c>
      <c r="E5286" s="1497"/>
      <c r="F5286" s="1497">
        <v>18100</v>
      </c>
      <c r="G5286" s="267" t="s">
        <v>27</v>
      </c>
      <c r="H5286" s="3"/>
    </row>
    <row r="5287" spans="1:8">
      <c r="A5287" s="270">
        <v>45391</v>
      </c>
      <c r="B5287" s="267"/>
      <c r="C5287" s="267" t="s">
        <v>160</v>
      </c>
      <c r="D5287" s="3" t="s">
        <v>2830</v>
      </c>
      <c r="E5287" s="1497"/>
      <c r="F5287" s="1497">
        <v>83129.56</v>
      </c>
      <c r="G5287" s="267" t="s">
        <v>27</v>
      </c>
      <c r="H5287" s="3"/>
    </row>
    <row r="5288" spans="1:8">
      <c r="A5288" s="270">
        <v>45391</v>
      </c>
      <c r="B5288" s="267"/>
      <c r="C5288" s="267" t="s">
        <v>92</v>
      </c>
      <c r="D5288" s="3" t="s">
        <v>2597</v>
      </c>
      <c r="E5288" s="1497"/>
      <c r="F5288" s="1497">
        <v>18000</v>
      </c>
      <c r="G5288" s="267" t="s">
        <v>27</v>
      </c>
      <c r="H5288" s="3"/>
    </row>
    <row r="5289" spans="1:8">
      <c r="A5289" s="270">
        <v>45391</v>
      </c>
      <c r="B5289" s="267"/>
      <c r="C5289" s="267" t="s">
        <v>77</v>
      </c>
      <c r="D5289" s="3" t="s">
        <v>2833</v>
      </c>
      <c r="E5289" s="1497"/>
      <c r="F5289" s="1497">
        <v>2228300</v>
      </c>
      <c r="G5289" s="267" t="s">
        <v>56</v>
      </c>
      <c r="H5289" s="3"/>
    </row>
    <row r="5290" spans="1:8">
      <c r="A5290" s="270">
        <v>45392</v>
      </c>
      <c r="B5290" s="267"/>
      <c r="C5290" s="267" t="s">
        <v>174</v>
      </c>
      <c r="D5290" s="3" t="s">
        <v>2630</v>
      </c>
      <c r="E5290" s="1497">
        <v>9438</v>
      </c>
      <c r="F5290" s="1497"/>
      <c r="G5290" s="267" t="s">
        <v>27</v>
      </c>
      <c r="H5290" s="3"/>
    </row>
    <row r="5291" spans="1:8">
      <c r="A5291" s="270">
        <v>45392</v>
      </c>
      <c r="B5291" s="267"/>
      <c r="C5291" s="267" t="s">
        <v>205</v>
      </c>
      <c r="D5291" s="3" t="s">
        <v>2831</v>
      </c>
      <c r="E5291" s="1497">
        <v>38881</v>
      </c>
      <c r="F5291" s="1497"/>
      <c r="G5291" s="267" t="s">
        <v>27</v>
      </c>
      <c r="H5291" s="3"/>
    </row>
    <row r="5292" spans="1:8">
      <c r="A5292" s="270">
        <v>45392</v>
      </c>
      <c r="B5292" s="267"/>
      <c r="C5292" s="267" t="s">
        <v>205</v>
      </c>
      <c r="D5292" s="15" t="s">
        <v>2832</v>
      </c>
      <c r="E5292" s="1497">
        <v>57600</v>
      </c>
      <c r="F5292" s="1497"/>
      <c r="G5292" s="267" t="s">
        <v>27</v>
      </c>
      <c r="H5292" s="3"/>
    </row>
    <row r="5293" spans="1:8">
      <c r="A5293" s="270">
        <v>45392</v>
      </c>
      <c r="B5293" s="267"/>
      <c r="C5293" s="267" t="s">
        <v>79</v>
      </c>
      <c r="D5293" s="3" t="s">
        <v>70</v>
      </c>
      <c r="E5293" s="1497">
        <v>2428</v>
      </c>
      <c r="F5293" s="1497"/>
      <c r="G5293" s="267" t="s">
        <v>56</v>
      </c>
      <c r="H5293" s="3"/>
    </row>
    <row r="5294" spans="1:8">
      <c r="A5294" s="270">
        <v>45392</v>
      </c>
      <c r="B5294" s="267"/>
      <c r="C5294" s="267" t="s">
        <v>205</v>
      </c>
      <c r="D5294" s="3" t="s">
        <v>478</v>
      </c>
      <c r="E5294" s="1497">
        <v>13680</v>
      </c>
      <c r="F5294" s="1497"/>
      <c r="G5294" s="267" t="s">
        <v>27</v>
      </c>
      <c r="H5294" s="3"/>
    </row>
    <row r="5295" spans="1:8">
      <c r="A5295" s="270">
        <v>45392</v>
      </c>
      <c r="B5295" s="267"/>
      <c r="C5295" s="267" t="s">
        <v>205</v>
      </c>
      <c r="D5295" s="3" t="s">
        <v>238</v>
      </c>
      <c r="E5295" s="1497">
        <v>14662</v>
      </c>
      <c r="F5295" s="1497"/>
      <c r="G5295" s="267" t="s">
        <v>27</v>
      </c>
      <c r="H5295" s="3"/>
    </row>
    <row r="5296" spans="1:8">
      <c r="A5296" s="270">
        <v>45392</v>
      </c>
      <c r="B5296" s="267"/>
      <c r="C5296" s="267" t="s">
        <v>205</v>
      </c>
      <c r="D5296" s="3" t="s">
        <v>432</v>
      </c>
      <c r="E5296" s="1497">
        <v>134400</v>
      </c>
      <c r="F5296" s="1497"/>
      <c r="G5296" s="267" t="s">
        <v>27</v>
      </c>
      <c r="H5296" s="3"/>
    </row>
    <row r="5297" spans="1:8">
      <c r="A5297" s="270">
        <v>45392</v>
      </c>
      <c r="B5297" s="267"/>
      <c r="C5297" s="267" t="s">
        <v>77</v>
      </c>
      <c r="D5297" s="3" t="s">
        <v>2834</v>
      </c>
      <c r="E5297" s="1497"/>
      <c r="F5297" s="1497">
        <v>565100</v>
      </c>
      <c r="G5297" s="267" t="s">
        <v>72</v>
      </c>
      <c r="H5297" s="45" t="s">
        <v>2835</v>
      </c>
    </row>
    <row r="5298" spans="1:8">
      <c r="A5298" s="270">
        <v>45392</v>
      </c>
      <c r="B5298" s="267"/>
      <c r="C5298" s="267" t="s">
        <v>92</v>
      </c>
      <c r="D5298" s="3" t="s">
        <v>904</v>
      </c>
      <c r="E5298" s="1497"/>
      <c r="F5298" s="1497">
        <v>18500</v>
      </c>
      <c r="G5298" s="267" t="s">
        <v>56</v>
      </c>
      <c r="H5298" s="3"/>
    </row>
    <row r="5299" spans="1:8">
      <c r="A5299" s="270">
        <v>45393</v>
      </c>
      <c r="B5299" s="267"/>
      <c r="C5299" s="267" t="s">
        <v>205</v>
      </c>
      <c r="D5299" s="3" t="s">
        <v>2836</v>
      </c>
      <c r="E5299" s="1497">
        <v>200000</v>
      </c>
      <c r="F5299" s="1497"/>
      <c r="G5299" s="267" t="s">
        <v>27</v>
      </c>
      <c r="H5299" s="3"/>
    </row>
    <row r="5300" spans="1:8">
      <c r="A5300" s="270">
        <v>45393</v>
      </c>
      <c r="B5300" s="267"/>
      <c r="C5300" s="267" t="s">
        <v>92</v>
      </c>
      <c r="D5300" s="3" t="s">
        <v>582</v>
      </c>
      <c r="E5300" s="1497"/>
      <c r="F5300" s="1497">
        <v>692000</v>
      </c>
      <c r="G5300" s="267" t="s">
        <v>27</v>
      </c>
      <c r="H5300" s="3"/>
    </row>
    <row r="5301" spans="1:8">
      <c r="A5301" s="270">
        <v>45393</v>
      </c>
      <c r="B5301" s="267"/>
      <c r="C5301" s="267" t="s">
        <v>92</v>
      </c>
      <c r="D5301" s="3" t="s">
        <v>582</v>
      </c>
      <c r="E5301" s="1497">
        <v>110253.35</v>
      </c>
      <c r="F5301" s="1497"/>
      <c r="G5301" s="267" t="s">
        <v>27</v>
      </c>
      <c r="H5301" s="3"/>
    </row>
    <row r="5302" spans="1:8">
      <c r="A5302" s="270">
        <v>45393</v>
      </c>
      <c r="B5302" s="267"/>
      <c r="C5302" s="267" t="s">
        <v>90</v>
      </c>
      <c r="D5302" s="3" t="s">
        <v>1951</v>
      </c>
      <c r="E5302" s="1497">
        <v>5750</v>
      </c>
      <c r="F5302" s="1497"/>
      <c r="G5302" s="267" t="s">
        <v>56</v>
      </c>
      <c r="H5302" s="3"/>
    </row>
    <row r="5303" spans="1:8">
      <c r="A5303" s="270">
        <v>45394</v>
      </c>
      <c r="B5303" s="267"/>
      <c r="C5303" s="267" t="s">
        <v>79</v>
      </c>
      <c r="D5303" s="3" t="s">
        <v>79</v>
      </c>
      <c r="E5303" s="1497">
        <v>8000</v>
      </c>
      <c r="F5303" s="1497"/>
      <c r="G5303" s="267" t="s">
        <v>56</v>
      </c>
      <c r="H5303" s="3"/>
    </row>
    <row r="5304" spans="1:8">
      <c r="A5304" s="270">
        <v>45394</v>
      </c>
      <c r="B5304" s="267"/>
      <c r="C5304" s="267" t="s">
        <v>77</v>
      </c>
      <c r="D5304" s="3" t="s">
        <v>2837</v>
      </c>
      <c r="E5304" s="1497"/>
      <c r="F5304" s="1497">
        <v>356900</v>
      </c>
      <c r="G5304" s="267" t="s">
        <v>27</v>
      </c>
      <c r="H5304" s="3"/>
    </row>
    <row r="5305" spans="1:8">
      <c r="A5305" s="270">
        <v>45394</v>
      </c>
      <c r="B5305" s="267"/>
      <c r="C5305" s="267" t="s">
        <v>86</v>
      </c>
      <c r="D5305" s="3" t="s">
        <v>86</v>
      </c>
      <c r="E5305" s="1497">
        <v>15000</v>
      </c>
      <c r="F5305" s="1497"/>
      <c r="G5305" s="267" t="s">
        <v>27</v>
      </c>
      <c r="H5305" s="3"/>
    </row>
    <row r="5306" spans="1:8">
      <c r="A5306" s="270">
        <v>45394</v>
      </c>
      <c r="B5306" s="267"/>
      <c r="C5306" s="267" t="s">
        <v>92</v>
      </c>
      <c r="D5306" s="3" t="s">
        <v>2838</v>
      </c>
      <c r="E5306" s="1497"/>
      <c r="F5306" s="1497">
        <v>215000</v>
      </c>
      <c r="G5306" s="267" t="s">
        <v>72</v>
      </c>
      <c r="H5306" s="3"/>
    </row>
    <row r="5307" spans="1:8">
      <c r="A5307" s="270">
        <v>45394</v>
      </c>
      <c r="B5307" s="267"/>
      <c r="C5307" s="267" t="s">
        <v>94</v>
      </c>
      <c r="D5307" s="3" t="s">
        <v>17</v>
      </c>
      <c r="E5307" s="1497">
        <v>23609.84</v>
      </c>
      <c r="F5307" s="1497"/>
      <c r="G5307" s="267" t="s">
        <v>27</v>
      </c>
      <c r="H5307" s="3"/>
    </row>
    <row r="5308" spans="1:8">
      <c r="A5308" s="270">
        <v>45394</v>
      </c>
      <c r="B5308" s="267"/>
      <c r="C5308" s="267" t="s">
        <v>55</v>
      </c>
      <c r="D5308" s="3" t="s">
        <v>2839</v>
      </c>
      <c r="E5308" s="1497">
        <v>6000</v>
      </c>
      <c r="F5308" s="1497"/>
      <c r="G5308" s="267" t="s">
        <v>56</v>
      </c>
      <c r="H5308" s="3"/>
    </row>
    <row r="5309" spans="1:8">
      <c r="A5309" s="270">
        <v>45394</v>
      </c>
      <c r="B5309" s="267"/>
      <c r="C5309" s="267" t="s">
        <v>29</v>
      </c>
      <c r="D5309" s="3" t="s">
        <v>49</v>
      </c>
      <c r="E5309" s="1497">
        <v>215000</v>
      </c>
      <c r="F5309" s="1497"/>
      <c r="G5309" s="267" t="s">
        <v>72</v>
      </c>
      <c r="H5309" s="3"/>
    </row>
    <row r="5310" spans="1:8">
      <c r="A5310" s="270">
        <v>45394</v>
      </c>
      <c r="B5310" s="267"/>
      <c r="C5310" s="267" t="s">
        <v>29</v>
      </c>
      <c r="D5310" s="3" t="s">
        <v>49</v>
      </c>
      <c r="E5310" s="1497">
        <v>100000</v>
      </c>
      <c r="F5310" s="1497"/>
      <c r="G5310" s="267" t="s">
        <v>27</v>
      </c>
      <c r="H5310" s="3"/>
    </row>
    <row r="5311" spans="1:8">
      <c r="A5311" s="270">
        <v>45394</v>
      </c>
      <c r="B5311" s="267"/>
      <c r="C5311" s="267" t="s">
        <v>77</v>
      </c>
      <c r="D5311" s="3" t="s">
        <v>2840</v>
      </c>
      <c r="E5311" s="1497"/>
      <c r="F5311" s="1497">
        <v>245400</v>
      </c>
      <c r="G5311" s="267" t="s">
        <v>27</v>
      </c>
      <c r="H5311" s="3"/>
    </row>
    <row r="5312" spans="1:8">
      <c r="A5312" s="270">
        <v>45394</v>
      </c>
      <c r="B5312" s="267"/>
      <c r="C5312" s="267" t="s">
        <v>29</v>
      </c>
      <c r="D5312" s="3" t="s">
        <v>683</v>
      </c>
      <c r="E5312" s="1497">
        <v>208001.57</v>
      </c>
      <c r="F5312" s="1497"/>
      <c r="G5312" s="267" t="s">
        <v>27</v>
      </c>
      <c r="H5312" s="45" t="s">
        <v>2841</v>
      </c>
    </row>
    <row r="5313" spans="1:8">
      <c r="A5313" s="270">
        <v>45394</v>
      </c>
      <c r="B5313" s="267"/>
      <c r="C5313" s="267" t="s">
        <v>29</v>
      </c>
      <c r="D5313" s="3" t="s">
        <v>246</v>
      </c>
      <c r="E5313" s="1497">
        <v>7399.13</v>
      </c>
      <c r="F5313" s="1497"/>
      <c r="G5313" s="267" t="s">
        <v>27</v>
      </c>
      <c r="H5313" s="3"/>
    </row>
    <row r="5314" spans="1:8">
      <c r="A5314" s="270">
        <v>45394</v>
      </c>
      <c r="B5314" s="267"/>
      <c r="C5314" s="267" t="s">
        <v>537</v>
      </c>
      <c r="D5314" s="3" t="s">
        <v>208</v>
      </c>
      <c r="E5314" s="1497">
        <v>100000</v>
      </c>
      <c r="F5314" s="1497"/>
      <c r="G5314" s="267" t="s">
        <v>56</v>
      </c>
      <c r="H5314" s="3"/>
    </row>
    <row r="5315" spans="1:8">
      <c r="A5315" s="270">
        <v>45394</v>
      </c>
      <c r="B5315" s="267"/>
      <c r="C5315" s="267" t="s">
        <v>537</v>
      </c>
      <c r="D5315" s="3" t="s">
        <v>144</v>
      </c>
      <c r="E5315" s="1497">
        <v>110000</v>
      </c>
      <c r="F5315" s="1497"/>
      <c r="G5315" s="267" t="s">
        <v>27</v>
      </c>
      <c r="H5315" s="3"/>
    </row>
    <row r="5316" spans="1:8">
      <c r="A5316" s="270">
        <v>45394</v>
      </c>
      <c r="B5316" s="267"/>
      <c r="C5316" s="267" t="s">
        <v>537</v>
      </c>
      <c r="D5316" s="3" t="s">
        <v>144</v>
      </c>
      <c r="E5316" s="1497">
        <v>90000</v>
      </c>
      <c r="F5316" s="1497"/>
      <c r="G5316" s="267" t="s">
        <v>56</v>
      </c>
      <c r="H5316" s="3"/>
    </row>
    <row r="5317" spans="1:8">
      <c r="A5317" s="270">
        <v>45394</v>
      </c>
      <c r="B5317" s="267"/>
      <c r="C5317" s="267" t="s">
        <v>537</v>
      </c>
      <c r="D5317" s="3" t="s">
        <v>193</v>
      </c>
      <c r="E5317" s="1497">
        <v>75000</v>
      </c>
      <c r="F5317" s="1497"/>
      <c r="G5317" s="267" t="s">
        <v>56</v>
      </c>
      <c r="H5317" s="3"/>
    </row>
    <row r="5318" spans="1:8">
      <c r="A5318" s="270">
        <v>45394</v>
      </c>
      <c r="B5318" s="267"/>
      <c r="C5318" s="267" t="s">
        <v>1148</v>
      </c>
      <c r="D5318" s="15" t="s">
        <v>71</v>
      </c>
      <c r="E5318" s="1497">
        <v>199220</v>
      </c>
      <c r="F5318" s="1497"/>
      <c r="G5318" s="267" t="s">
        <v>27</v>
      </c>
      <c r="H5318" s="3"/>
    </row>
    <row r="5319" spans="1:8" ht="15.75" thickBot="1">
      <c r="H5319" s="209">
        <v>45394</v>
      </c>
    </row>
    <row r="5320" spans="1:8">
      <c r="H5320" s="199" t="s">
        <v>2785</v>
      </c>
    </row>
    <row r="5321" spans="1:8">
      <c r="H5321" s="137" t="s">
        <v>2843</v>
      </c>
    </row>
    <row r="5322" spans="1:8">
      <c r="H5322" s="138" t="s">
        <v>2842</v>
      </c>
    </row>
    <row r="5323" spans="1:8">
      <c r="H5323" s="138" t="s">
        <v>2598</v>
      </c>
    </row>
    <row r="5324" spans="1:8">
      <c r="H5324" s="138" t="s">
        <v>2819</v>
      </c>
    </row>
    <row r="5325" spans="1:8">
      <c r="H5325" s="138" t="s">
        <v>2844</v>
      </c>
    </row>
    <row r="5326" spans="1:8">
      <c r="H5326" s="138" t="s">
        <v>2845</v>
      </c>
    </row>
    <row r="5327" spans="1:8">
      <c r="H5327" s="138" t="s">
        <v>1215</v>
      </c>
    </row>
    <row r="5328" spans="1:8" ht="15.75" thickBot="1">
      <c r="H5328" s="147" t="s">
        <v>2151</v>
      </c>
    </row>
    <row r="5329" spans="1:8" ht="15.75" thickBot="1">
      <c r="H5329" s="140" t="s">
        <v>2803</v>
      </c>
    </row>
    <row r="5330" spans="1:8" ht="15.75" thickBot="1">
      <c r="H5330" s="210"/>
    </row>
    <row r="5331" spans="1:8">
      <c r="A5331" s="270">
        <v>45397</v>
      </c>
      <c r="B5331" s="267"/>
      <c r="C5331" s="267" t="s">
        <v>94</v>
      </c>
      <c r="D5331" s="3" t="s">
        <v>245</v>
      </c>
      <c r="E5331" s="1497">
        <v>29550</v>
      </c>
      <c r="F5331" s="1497"/>
      <c r="G5331" s="267" t="s">
        <v>27</v>
      </c>
      <c r="H5331" s="5"/>
    </row>
    <row r="5332" spans="1:8">
      <c r="A5332" s="270">
        <v>45397</v>
      </c>
      <c r="B5332" s="267"/>
      <c r="C5332" s="267" t="s">
        <v>79</v>
      </c>
      <c r="D5332" s="3" t="s">
        <v>79</v>
      </c>
      <c r="E5332" s="1497">
        <v>28450</v>
      </c>
      <c r="F5332" s="1497"/>
      <c r="G5332" s="267" t="s">
        <v>27</v>
      </c>
      <c r="H5332" s="3"/>
    </row>
    <row r="5333" spans="1:8">
      <c r="A5333" s="270">
        <v>45397</v>
      </c>
      <c r="B5333" s="267"/>
      <c r="C5333" s="267" t="s">
        <v>409</v>
      </c>
      <c r="D5333" s="3" t="s">
        <v>2846</v>
      </c>
      <c r="E5333" s="1497"/>
      <c r="F5333" s="1497">
        <v>212906.06</v>
      </c>
      <c r="G5333" s="267" t="s">
        <v>27</v>
      </c>
      <c r="H5333" s="3"/>
    </row>
    <row r="5334" spans="1:8">
      <c r="A5334" s="270">
        <v>45397</v>
      </c>
      <c r="B5334" s="267"/>
      <c r="C5334" s="267" t="s">
        <v>92</v>
      </c>
      <c r="D5334" s="3" t="s">
        <v>2007</v>
      </c>
      <c r="E5334" s="1497"/>
      <c r="F5334" s="1497">
        <v>539000</v>
      </c>
      <c r="G5334" s="267" t="s">
        <v>72</v>
      </c>
      <c r="H5334" s="3" t="s">
        <v>2847</v>
      </c>
    </row>
    <row r="5335" spans="1:8">
      <c r="A5335" s="270">
        <v>45397</v>
      </c>
      <c r="B5335" s="267"/>
      <c r="C5335" s="267" t="s">
        <v>94</v>
      </c>
      <c r="D5335" s="3" t="s">
        <v>13</v>
      </c>
      <c r="E5335" s="1497">
        <v>6525.17</v>
      </c>
      <c r="F5335" s="1497"/>
      <c r="G5335" s="267" t="s">
        <v>27</v>
      </c>
      <c r="H5335" s="3"/>
    </row>
    <row r="5336" spans="1:8">
      <c r="A5336" s="270">
        <v>45397</v>
      </c>
      <c r="B5336" s="267"/>
      <c r="C5336" s="267" t="s">
        <v>55</v>
      </c>
      <c r="D5336" s="3" t="s">
        <v>38</v>
      </c>
      <c r="E5336" s="1497">
        <v>5300</v>
      </c>
      <c r="F5336" s="1497"/>
      <c r="G5336" s="267" t="s">
        <v>56</v>
      </c>
      <c r="H5336" s="3" t="s">
        <v>2849</v>
      </c>
    </row>
    <row r="5337" spans="1:8">
      <c r="A5337" s="270">
        <v>45397</v>
      </c>
      <c r="B5337" s="267"/>
      <c r="C5337" s="267" t="s">
        <v>55</v>
      </c>
      <c r="D5337" s="3" t="s">
        <v>38</v>
      </c>
      <c r="E5337" s="1497">
        <v>4200</v>
      </c>
      <c r="F5337" s="1497"/>
      <c r="G5337" s="267" t="s">
        <v>56</v>
      </c>
      <c r="H5337" s="3"/>
    </row>
    <row r="5338" spans="1:8">
      <c r="A5338" s="270">
        <v>45397</v>
      </c>
      <c r="B5338" s="267"/>
      <c r="C5338" s="267" t="s">
        <v>176</v>
      </c>
      <c r="D5338" s="3" t="s">
        <v>2848</v>
      </c>
      <c r="E5338" s="1497">
        <v>45000</v>
      </c>
      <c r="F5338" s="1497"/>
      <c r="G5338" s="267" t="s">
        <v>27</v>
      </c>
      <c r="H5338" s="3"/>
    </row>
    <row r="5339" spans="1:8">
      <c r="A5339" s="270">
        <v>45397</v>
      </c>
      <c r="B5339" s="267"/>
      <c r="C5339" s="267" t="s">
        <v>409</v>
      </c>
      <c r="D5339" s="3" t="s">
        <v>2850</v>
      </c>
      <c r="E5339" s="1497"/>
      <c r="F5339" s="1497">
        <v>287000</v>
      </c>
      <c r="G5339" s="267" t="s">
        <v>56</v>
      </c>
      <c r="H5339" s="3"/>
    </row>
    <row r="5340" spans="1:8">
      <c r="A5340" s="270">
        <v>45398</v>
      </c>
      <c r="B5340" s="267"/>
      <c r="C5340" s="267" t="s">
        <v>156</v>
      </c>
      <c r="D5340" s="3" t="s">
        <v>156</v>
      </c>
      <c r="E5340" s="1497">
        <v>38877.660000000003</v>
      </c>
      <c r="F5340" s="1497"/>
      <c r="G5340" s="267" t="s">
        <v>27</v>
      </c>
      <c r="H5340" s="3"/>
    </row>
    <row r="5341" spans="1:8">
      <c r="A5341" s="270">
        <v>45398</v>
      </c>
      <c r="B5341" s="267"/>
      <c r="C5341" s="267" t="s">
        <v>77</v>
      </c>
      <c r="D5341" s="3" t="s">
        <v>2851</v>
      </c>
      <c r="E5341" s="1497"/>
      <c r="F5341" s="1497">
        <v>52100</v>
      </c>
      <c r="G5341" s="267" t="s">
        <v>27</v>
      </c>
      <c r="H5341" s="3"/>
    </row>
    <row r="5342" spans="1:8">
      <c r="A5342" s="270">
        <v>45398</v>
      </c>
      <c r="B5342" s="267"/>
      <c r="C5342" s="267" t="s">
        <v>55</v>
      </c>
      <c r="D5342" s="3" t="s">
        <v>2852</v>
      </c>
      <c r="E5342" s="1497">
        <v>8500</v>
      </c>
      <c r="F5342" s="1497"/>
      <c r="G5342" s="267" t="s">
        <v>27</v>
      </c>
      <c r="H5342" s="3"/>
    </row>
    <row r="5343" spans="1:8">
      <c r="A5343" s="270">
        <v>45398</v>
      </c>
      <c r="B5343" s="267"/>
      <c r="C5343" s="267" t="s">
        <v>79</v>
      </c>
      <c r="D5343" s="3" t="s">
        <v>79</v>
      </c>
      <c r="E5343" s="1497">
        <v>7400</v>
      </c>
      <c r="F5343" s="1497"/>
      <c r="G5343" s="267" t="s">
        <v>27</v>
      </c>
      <c r="H5343" s="3"/>
    </row>
    <row r="5344" spans="1:8">
      <c r="A5344" s="270">
        <v>45398</v>
      </c>
      <c r="B5344" s="267"/>
      <c r="C5344" s="267" t="s">
        <v>55</v>
      </c>
      <c r="D5344" s="3" t="s">
        <v>61</v>
      </c>
      <c r="E5344" s="1497">
        <v>5200</v>
      </c>
      <c r="F5344" s="1497"/>
      <c r="G5344" s="267" t="s">
        <v>56</v>
      </c>
      <c r="H5344" s="3"/>
    </row>
    <row r="5345" spans="1:8">
      <c r="A5345" s="270">
        <v>45398</v>
      </c>
      <c r="B5345" s="267"/>
      <c r="C5345" s="267" t="s">
        <v>77</v>
      </c>
      <c r="D5345" s="3" t="s">
        <v>2853</v>
      </c>
      <c r="E5345" s="1497"/>
      <c r="F5345" s="1497">
        <v>1200000</v>
      </c>
      <c r="G5345" s="267" t="s">
        <v>56</v>
      </c>
      <c r="H5345" s="3"/>
    </row>
    <row r="5346" spans="1:8">
      <c r="A5346" s="112">
        <v>45398</v>
      </c>
      <c r="B5346" s="70"/>
      <c r="C5346" s="70" t="s">
        <v>537</v>
      </c>
      <c r="D5346" s="113" t="s">
        <v>130</v>
      </c>
      <c r="E5346" s="70">
        <v>5000</v>
      </c>
      <c r="F5346" s="70"/>
      <c r="G5346" s="70" t="s">
        <v>27</v>
      </c>
      <c r="H5346" s="3"/>
    </row>
    <row r="5347" spans="1:8">
      <c r="A5347" s="270">
        <v>45399</v>
      </c>
      <c r="B5347" s="267"/>
      <c r="C5347" s="267" t="s">
        <v>55</v>
      </c>
      <c r="D5347" s="3" t="s">
        <v>514</v>
      </c>
      <c r="E5347" s="1497">
        <v>2000</v>
      </c>
      <c r="F5347" s="1497"/>
      <c r="G5347" s="267" t="s">
        <v>27</v>
      </c>
      <c r="H5347" s="3"/>
    </row>
    <row r="5348" spans="1:8">
      <c r="A5348" s="270">
        <v>45399</v>
      </c>
      <c r="B5348" s="267"/>
      <c r="C5348" s="267" t="s">
        <v>92</v>
      </c>
      <c r="D5348" s="3" t="s">
        <v>2854</v>
      </c>
      <c r="E5348" s="1497"/>
      <c r="F5348" s="1497">
        <v>31100</v>
      </c>
      <c r="G5348" s="267" t="s">
        <v>56</v>
      </c>
      <c r="H5348" s="3"/>
    </row>
    <row r="5349" spans="1:8">
      <c r="A5349" s="270">
        <v>45399</v>
      </c>
      <c r="B5349" s="267"/>
      <c r="C5349" s="267" t="s">
        <v>62</v>
      </c>
      <c r="D5349" s="3" t="s">
        <v>38</v>
      </c>
      <c r="E5349" s="1497">
        <v>6000</v>
      </c>
      <c r="F5349" s="1497"/>
      <c r="G5349" s="267" t="s">
        <v>56</v>
      </c>
      <c r="H5349" s="3"/>
    </row>
    <row r="5350" spans="1:8">
      <c r="A5350" s="270">
        <v>45399</v>
      </c>
      <c r="B5350" s="267"/>
      <c r="C5350" s="267" t="s">
        <v>86</v>
      </c>
      <c r="D5350" s="3" t="s">
        <v>534</v>
      </c>
      <c r="E5350" s="1497">
        <v>10000</v>
      </c>
      <c r="F5350" s="1497"/>
      <c r="G5350" s="267" t="s">
        <v>56</v>
      </c>
      <c r="H5350" s="3"/>
    </row>
    <row r="5351" spans="1:8">
      <c r="A5351" s="270">
        <v>45399</v>
      </c>
      <c r="B5351" s="267"/>
      <c r="C5351" s="267" t="s">
        <v>537</v>
      </c>
      <c r="D5351" s="3" t="s">
        <v>219</v>
      </c>
      <c r="E5351" s="1497">
        <v>133000</v>
      </c>
      <c r="F5351" s="1497"/>
      <c r="G5351" s="267" t="s">
        <v>56</v>
      </c>
      <c r="H5351" s="3"/>
    </row>
    <row r="5352" spans="1:8">
      <c r="A5352" s="270">
        <v>45399</v>
      </c>
      <c r="B5352" s="267"/>
      <c r="C5352" s="267" t="s">
        <v>55</v>
      </c>
      <c r="D5352" s="3" t="s">
        <v>63</v>
      </c>
      <c r="E5352" s="1497" t="s">
        <v>2855</v>
      </c>
      <c r="F5352" s="1497"/>
      <c r="G5352" s="267" t="s">
        <v>56</v>
      </c>
      <c r="H5352" s="45" t="s">
        <v>2856</v>
      </c>
    </row>
    <row r="5353" spans="1:8">
      <c r="A5353" s="270">
        <v>45399</v>
      </c>
      <c r="B5353" s="267"/>
      <c r="C5353" s="267" t="s">
        <v>92</v>
      </c>
      <c r="D5353" s="3" t="s">
        <v>317</v>
      </c>
      <c r="E5353" s="1497"/>
      <c r="F5353" s="1497">
        <v>334800</v>
      </c>
      <c r="G5353" s="267" t="s">
        <v>56</v>
      </c>
      <c r="H5353" s="3"/>
    </row>
    <row r="5354" spans="1:8">
      <c r="A5354" s="270">
        <v>45400</v>
      </c>
      <c r="B5354" s="267"/>
      <c r="C5354" s="267" t="s">
        <v>92</v>
      </c>
      <c r="D5354" s="3" t="s">
        <v>2058</v>
      </c>
      <c r="E5354" s="1497">
        <v>301653</v>
      </c>
      <c r="F5354" s="1497"/>
      <c r="G5354" s="267" t="s">
        <v>27</v>
      </c>
      <c r="H5354" s="45" t="s">
        <v>2857</v>
      </c>
    </row>
    <row r="5355" spans="1:8">
      <c r="A5355" s="270">
        <v>45400</v>
      </c>
      <c r="B5355" s="267"/>
      <c r="C5355" s="267" t="s">
        <v>92</v>
      </c>
      <c r="D5355" s="3" t="s">
        <v>542</v>
      </c>
      <c r="E5355" s="1497"/>
      <c r="F5355" s="1497">
        <v>75800</v>
      </c>
      <c r="G5355" s="267" t="s">
        <v>27</v>
      </c>
      <c r="H5355" s="3"/>
    </row>
    <row r="5356" spans="1:8">
      <c r="A5356" s="270">
        <v>45400</v>
      </c>
      <c r="B5356" s="267"/>
      <c r="C5356" s="267" t="s">
        <v>68</v>
      </c>
      <c r="D5356" s="3" t="s">
        <v>2858</v>
      </c>
      <c r="E5356" s="1497">
        <v>7000</v>
      </c>
      <c r="F5356" s="1497"/>
      <c r="G5356" s="267" t="s">
        <v>56</v>
      </c>
      <c r="H5356" s="3"/>
    </row>
    <row r="5357" spans="1:8">
      <c r="A5357" s="270">
        <v>45400</v>
      </c>
      <c r="B5357" s="267"/>
      <c r="C5357" s="267" t="s">
        <v>92</v>
      </c>
      <c r="D5357" s="3" t="s">
        <v>2064</v>
      </c>
      <c r="E5357" s="1497"/>
      <c r="F5357" s="1497">
        <v>31000</v>
      </c>
      <c r="G5357" s="267" t="s">
        <v>56</v>
      </c>
      <c r="H5357" s="3"/>
    </row>
    <row r="5358" spans="1:8">
      <c r="A5358" s="270">
        <v>45400</v>
      </c>
      <c r="B5358" s="267"/>
      <c r="C5358" s="267" t="s">
        <v>55</v>
      </c>
      <c r="D5358" s="3" t="s">
        <v>2859</v>
      </c>
      <c r="E5358" s="1497">
        <v>2350</v>
      </c>
      <c r="F5358" s="1497"/>
      <c r="G5358" s="267" t="s">
        <v>56</v>
      </c>
      <c r="H5358" s="3"/>
    </row>
    <row r="5359" spans="1:8">
      <c r="A5359" s="270">
        <v>45400</v>
      </c>
      <c r="B5359" s="267"/>
      <c r="C5359" s="267" t="s">
        <v>29</v>
      </c>
      <c r="D5359" s="3" t="s">
        <v>40</v>
      </c>
      <c r="E5359" s="1497">
        <v>14000</v>
      </c>
      <c r="F5359" s="1497"/>
      <c r="G5359" s="267" t="s">
        <v>27</v>
      </c>
      <c r="H5359" s="3"/>
    </row>
    <row r="5360" spans="1:8">
      <c r="A5360" s="270">
        <v>45400</v>
      </c>
      <c r="B5360" s="267"/>
      <c r="C5360" s="267" t="s">
        <v>92</v>
      </c>
      <c r="D5360" s="3" t="s">
        <v>1308</v>
      </c>
      <c r="E5360" s="1497"/>
      <c r="F5360" s="1497">
        <v>23200</v>
      </c>
      <c r="G5360" s="267" t="s">
        <v>27</v>
      </c>
      <c r="H5360" s="3"/>
    </row>
    <row r="5361" spans="1:8">
      <c r="A5361" s="270">
        <v>45401</v>
      </c>
      <c r="B5361" s="267"/>
      <c r="C5361" s="267" t="s">
        <v>29</v>
      </c>
      <c r="D5361" s="3" t="s">
        <v>37</v>
      </c>
      <c r="E5361" s="1497">
        <v>254537</v>
      </c>
      <c r="F5361" s="1497"/>
      <c r="G5361" s="267" t="s">
        <v>27</v>
      </c>
      <c r="H5361" s="3"/>
    </row>
    <row r="5362" spans="1:8">
      <c r="A5362" s="270">
        <v>45401</v>
      </c>
      <c r="B5362" s="267"/>
      <c r="C5362" s="267" t="s">
        <v>29</v>
      </c>
      <c r="D5362" s="3" t="s">
        <v>606</v>
      </c>
      <c r="E5362" s="1497">
        <v>231255</v>
      </c>
      <c r="F5362" s="1497"/>
      <c r="G5362" s="267" t="s">
        <v>27</v>
      </c>
      <c r="H5362" s="3"/>
    </row>
    <row r="5363" spans="1:8">
      <c r="A5363" s="270">
        <v>45401</v>
      </c>
      <c r="B5363" s="267"/>
      <c r="C5363" s="267" t="s">
        <v>849</v>
      </c>
      <c r="D5363" s="15" t="s">
        <v>2860</v>
      </c>
      <c r="E5363" s="1497">
        <v>48200</v>
      </c>
      <c r="F5363" s="1497"/>
      <c r="G5363" s="267" t="s">
        <v>27</v>
      </c>
      <c r="H5363" s="3"/>
    </row>
    <row r="5364" spans="1:8">
      <c r="A5364" s="270">
        <v>45401</v>
      </c>
      <c r="B5364" s="267"/>
      <c r="C5364" s="267" t="s">
        <v>79</v>
      </c>
      <c r="D5364" s="3" t="s">
        <v>166</v>
      </c>
      <c r="E5364" s="1497">
        <v>236000</v>
      </c>
      <c r="F5364" s="1497"/>
      <c r="G5364" s="267" t="s">
        <v>27</v>
      </c>
      <c r="H5364" s="3"/>
    </row>
    <row r="5365" spans="1:8">
      <c r="A5365" s="270">
        <v>45401</v>
      </c>
      <c r="B5365" s="267"/>
      <c r="C5365" s="267" t="s">
        <v>90</v>
      </c>
      <c r="D5365" s="3" t="s">
        <v>2861</v>
      </c>
      <c r="E5365" s="1497">
        <v>17500</v>
      </c>
      <c r="F5365" s="1497"/>
      <c r="G5365" s="267" t="s">
        <v>27</v>
      </c>
      <c r="H5365" s="3"/>
    </row>
    <row r="5366" spans="1:8">
      <c r="A5366" s="270">
        <v>45401</v>
      </c>
      <c r="B5366" s="267"/>
      <c r="C5366" s="267" t="s">
        <v>537</v>
      </c>
      <c r="D5366" s="3" t="s">
        <v>2861</v>
      </c>
      <c r="E5366" s="1497">
        <v>7500</v>
      </c>
      <c r="F5366" s="1497"/>
      <c r="G5366" s="267" t="s">
        <v>27</v>
      </c>
      <c r="H5366" s="3"/>
    </row>
    <row r="5367" spans="1:8">
      <c r="A5367" s="270">
        <v>45401</v>
      </c>
      <c r="B5367" s="267"/>
      <c r="C5367" s="267" t="s">
        <v>537</v>
      </c>
      <c r="D5367" s="3" t="s">
        <v>144</v>
      </c>
      <c r="E5367" s="1497">
        <v>187500</v>
      </c>
      <c r="F5367" s="1497"/>
      <c r="G5367" s="267" t="s">
        <v>27</v>
      </c>
      <c r="H5367" s="3"/>
    </row>
    <row r="5368" spans="1:8">
      <c r="A5368" s="270">
        <v>45401</v>
      </c>
      <c r="B5368" s="267"/>
      <c r="C5368" s="267" t="s">
        <v>537</v>
      </c>
      <c r="D5368" s="3" t="s">
        <v>219</v>
      </c>
      <c r="E5368" s="1497">
        <v>133000</v>
      </c>
      <c r="F5368" s="1497"/>
      <c r="G5368" s="267" t="s">
        <v>27</v>
      </c>
      <c r="H5368" s="3"/>
    </row>
    <row r="5369" spans="1:8">
      <c r="A5369" s="270">
        <v>45401</v>
      </c>
      <c r="B5369" s="267"/>
      <c r="C5369" s="267" t="s">
        <v>537</v>
      </c>
      <c r="D5369" s="3" t="s">
        <v>193</v>
      </c>
      <c r="E5369" s="1497">
        <v>75000</v>
      </c>
      <c r="F5369" s="1497"/>
      <c r="G5369" s="267" t="s">
        <v>27</v>
      </c>
      <c r="H5369" s="3"/>
    </row>
    <row r="5370" spans="1:8">
      <c r="A5370" s="270">
        <v>45401</v>
      </c>
      <c r="B5370" s="267"/>
      <c r="C5370" s="267" t="s">
        <v>537</v>
      </c>
      <c r="D5370" s="3" t="s">
        <v>208</v>
      </c>
      <c r="E5370" s="1497">
        <v>100000</v>
      </c>
      <c r="F5370" s="1497"/>
      <c r="G5370" s="267" t="s">
        <v>27</v>
      </c>
      <c r="H5370" s="3"/>
    </row>
    <row r="5371" spans="1:8" ht="15.75" thickBot="1">
      <c r="A5371" s="267"/>
      <c r="B5371" s="267"/>
      <c r="C5371" s="267"/>
      <c r="D5371" s="3"/>
      <c r="E5371" s="1497"/>
      <c r="F5371" s="1497"/>
      <c r="G5371" s="267"/>
      <c r="H5371" s="209">
        <v>45401</v>
      </c>
    </row>
    <row r="5372" spans="1:8">
      <c r="H5372" s="199" t="s">
        <v>2785</v>
      </c>
    </row>
    <row r="5373" spans="1:8">
      <c r="H5373" s="137" t="s">
        <v>2864</v>
      </c>
    </row>
    <row r="5374" spans="1:8">
      <c r="H5374" s="138" t="s">
        <v>2862</v>
      </c>
    </row>
    <row r="5375" spans="1:8">
      <c r="H5375" s="138" t="s">
        <v>2598</v>
      </c>
    </row>
    <row r="5376" spans="1:8">
      <c r="H5376" s="138" t="s">
        <v>2819</v>
      </c>
    </row>
    <row r="5377" spans="1:8">
      <c r="H5377" s="138" t="s">
        <v>2863</v>
      </c>
    </row>
    <row r="5378" spans="1:8">
      <c r="H5378" s="138" t="s">
        <v>2865</v>
      </c>
    </row>
    <row r="5379" spans="1:8">
      <c r="H5379" s="138" t="s">
        <v>1215</v>
      </c>
    </row>
    <row r="5380" spans="1:8" ht="15.75" thickBot="1">
      <c r="H5380" s="147" t="s">
        <v>2151</v>
      </c>
    </row>
    <row r="5381" spans="1:8" ht="15.75" thickBot="1">
      <c r="H5381" s="140" t="s">
        <v>2866</v>
      </c>
    </row>
    <row r="5382" spans="1:8" ht="15.75" thickBot="1">
      <c r="H5382" s="210">
        <v>8649996.5600000005</v>
      </c>
    </row>
    <row r="5383" spans="1:8">
      <c r="A5383" s="270">
        <v>45404</v>
      </c>
      <c r="B5383" s="267"/>
      <c r="C5383" s="267" t="s">
        <v>79</v>
      </c>
      <c r="D5383" s="3" t="s">
        <v>2867</v>
      </c>
      <c r="E5383" s="1497">
        <v>445458.43</v>
      </c>
      <c r="F5383" s="1497"/>
      <c r="G5383" s="267" t="s">
        <v>27</v>
      </c>
      <c r="H5383" s="5"/>
    </row>
    <row r="5384" spans="1:8">
      <c r="A5384" s="270">
        <v>45404</v>
      </c>
      <c r="B5384" s="267"/>
      <c r="C5384" s="267" t="s">
        <v>79</v>
      </c>
      <c r="D5384" s="3" t="s">
        <v>2784</v>
      </c>
      <c r="E5384" s="1497">
        <v>27684</v>
      </c>
      <c r="F5384" s="1497"/>
      <c r="G5384" s="267" t="s">
        <v>27</v>
      </c>
      <c r="H5384" s="3"/>
    </row>
    <row r="5385" spans="1:8">
      <c r="A5385" s="270">
        <v>45404</v>
      </c>
      <c r="B5385" s="267"/>
      <c r="C5385" s="267" t="s">
        <v>92</v>
      </c>
      <c r="D5385" s="3" t="s">
        <v>2076</v>
      </c>
      <c r="E5385" s="1497">
        <v>30685.53</v>
      </c>
      <c r="F5385" s="1497"/>
      <c r="G5385" s="267" t="s">
        <v>27</v>
      </c>
      <c r="H5385" s="3"/>
    </row>
    <row r="5386" spans="1:8">
      <c r="A5386" s="270">
        <v>45404</v>
      </c>
      <c r="B5386" s="267"/>
      <c r="C5386" s="267" t="s">
        <v>55</v>
      </c>
      <c r="D5386" s="3" t="s">
        <v>2868</v>
      </c>
      <c r="E5386" s="1497">
        <v>60000</v>
      </c>
      <c r="F5386" s="1497"/>
      <c r="G5386" s="267" t="s">
        <v>27</v>
      </c>
      <c r="H5386" s="3"/>
    </row>
    <row r="5387" spans="1:8">
      <c r="A5387" s="270">
        <v>45404</v>
      </c>
      <c r="B5387" s="267"/>
      <c r="C5387" s="267" t="s">
        <v>92</v>
      </c>
      <c r="D5387" s="3" t="s">
        <v>1763</v>
      </c>
      <c r="E5387" s="1497"/>
      <c r="F5387" s="1497">
        <v>22100</v>
      </c>
      <c r="G5387" s="267" t="s">
        <v>56</v>
      </c>
      <c r="H5387" s="3"/>
    </row>
    <row r="5388" spans="1:8">
      <c r="A5388" s="270">
        <v>45404</v>
      </c>
      <c r="B5388" s="267"/>
      <c r="C5388" s="267" t="s">
        <v>86</v>
      </c>
      <c r="D5388" s="3" t="s">
        <v>104</v>
      </c>
      <c r="E5388" s="1497">
        <v>15000</v>
      </c>
      <c r="F5388" s="1497"/>
      <c r="G5388" s="267" t="s">
        <v>56</v>
      </c>
      <c r="H5388" s="3"/>
    </row>
    <row r="5389" spans="1:8">
      <c r="A5389" s="270">
        <v>45404</v>
      </c>
      <c r="B5389" s="267"/>
      <c r="C5389" s="267" t="s">
        <v>29</v>
      </c>
      <c r="D5389" s="3" t="s">
        <v>49</v>
      </c>
      <c r="E5389" s="1497">
        <v>150000</v>
      </c>
      <c r="F5389" s="1497"/>
      <c r="G5389" s="267" t="s">
        <v>56</v>
      </c>
      <c r="H5389" s="3"/>
    </row>
    <row r="5390" spans="1:8">
      <c r="A5390" s="270">
        <v>45404</v>
      </c>
      <c r="B5390" s="267"/>
      <c r="C5390" s="267" t="s">
        <v>29</v>
      </c>
      <c r="D5390" s="3" t="s">
        <v>2869</v>
      </c>
      <c r="E5390" s="1497">
        <v>90500</v>
      </c>
      <c r="F5390" s="1497"/>
      <c r="G5390" s="267" t="s">
        <v>56</v>
      </c>
      <c r="H5390" s="3"/>
    </row>
    <row r="5391" spans="1:8">
      <c r="A5391" s="270">
        <v>45405</v>
      </c>
      <c r="B5391" s="267"/>
      <c r="C5391" s="267" t="s">
        <v>92</v>
      </c>
      <c r="D5391" s="3" t="s">
        <v>2870</v>
      </c>
      <c r="E5391" s="1497"/>
      <c r="F5391" s="1497">
        <v>48400</v>
      </c>
      <c r="G5391" s="267" t="s">
        <v>56</v>
      </c>
      <c r="H5391" s="3"/>
    </row>
    <row r="5392" spans="1:8">
      <c r="A5392" s="270">
        <v>45405</v>
      </c>
      <c r="B5392" s="267"/>
      <c r="C5392" s="267" t="s">
        <v>160</v>
      </c>
      <c r="D5392" s="3" t="s">
        <v>2871</v>
      </c>
      <c r="E5392" s="1497"/>
      <c r="F5392" s="1497">
        <v>71600</v>
      </c>
      <c r="G5392" s="267" t="s">
        <v>287</v>
      </c>
      <c r="H5392" s="3"/>
    </row>
    <row r="5393" spans="1:8">
      <c r="A5393" s="270">
        <v>45405</v>
      </c>
      <c r="B5393" s="267"/>
      <c r="C5393" s="267" t="s">
        <v>77</v>
      </c>
      <c r="D5393" s="3" t="s">
        <v>2872</v>
      </c>
      <c r="E5393" s="1497"/>
      <c r="F5393" s="1497">
        <v>1225000</v>
      </c>
      <c r="G5393" s="267" t="s">
        <v>56</v>
      </c>
      <c r="H5393" s="3"/>
    </row>
    <row r="5394" spans="1:8">
      <c r="A5394" s="270">
        <v>45405</v>
      </c>
      <c r="B5394" s="267"/>
      <c r="C5394" s="267" t="s">
        <v>77</v>
      </c>
      <c r="D5394" s="3" t="s">
        <v>2872</v>
      </c>
      <c r="E5394" s="1497"/>
      <c r="F5394" s="1497">
        <v>3874332.43</v>
      </c>
      <c r="G5394" s="267" t="s">
        <v>72</v>
      </c>
      <c r="H5394" s="45" t="s">
        <v>2873</v>
      </c>
    </row>
    <row r="5395" spans="1:8">
      <c r="A5395" s="270">
        <v>45406</v>
      </c>
      <c r="B5395" s="267"/>
      <c r="C5395" s="267" t="s">
        <v>29</v>
      </c>
      <c r="D5395" s="3" t="s">
        <v>859</v>
      </c>
      <c r="E5395" s="1497">
        <v>2895400</v>
      </c>
      <c r="F5395" s="1497"/>
      <c r="G5395" s="267" t="s">
        <v>72</v>
      </c>
      <c r="H5395" s="3"/>
    </row>
    <row r="5396" spans="1:8">
      <c r="A5396" s="270">
        <v>45406</v>
      </c>
      <c r="B5396" s="267"/>
      <c r="C5396" s="267" t="s">
        <v>29</v>
      </c>
      <c r="D5396" s="3" t="s">
        <v>859</v>
      </c>
      <c r="E5396" s="1497">
        <v>1054300</v>
      </c>
      <c r="F5396" s="1497"/>
      <c r="G5396" s="267" t="s">
        <v>72</v>
      </c>
      <c r="H5396" s="3"/>
    </row>
    <row r="5397" spans="1:8">
      <c r="A5397" s="270">
        <v>45406</v>
      </c>
      <c r="B5397" s="267"/>
      <c r="C5397" s="267" t="s">
        <v>29</v>
      </c>
      <c r="D5397" s="3" t="s">
        <v>71</v>
      </c>
      <c r="E5397" s="1497">
        <v>15000</v>
      </c>
      <c r="F5397" s="1497"/>
      <c r="G5397" s="267" t="s">
        <v>56</v>
      </c>
      <c r="H5397" s="3"/>
    </row>
    <row r="5398" spans="1:8">
      <c r="A5398" s="270">
        <v>45406</v>
      </c>
      <c r="B5398" s="267"/>
      <c r="C5398" s="267" t="s">
        <v>29</v>
      </c>
      <c r="D5398" s="3" t="s">
        <v>71</v>
      </c>
      <c r="E5398" s="1497">
        <v>71600.009999999995</v>
      </c>
      <c r="F5398" s="1497"/>
      <c r="G5398" s="267" t="s">
        <v>287</v>
      </c>
      <c r="H5398" s="3"/>
    </row>
    <row r="5399" spans="1:8">
      <c r="A5399" s="270">
        <v>45406</v>
      </c>
      <c r="B5399" s="267"/>
      <c r="C5399" s="267" t="s">
        <v>29</v>
      </c>
      <c r="D5399" s="3" t="s">
        <v>71</v>
      </c>
      <c r="E5399" s="1497">
        <v>2550000</v>
      </c>
      <c r="F5399" s="1497"/>
      <c r="G5399" s="267" t="s">
        <v>72</v>
      </c>
      <c r="H5399" s="3"/>
    </row>
    <row r="5400" spans="1:8">
      <c r="A5400" s="270">
        <v>45406</v>
      </c>
      <c r="B5400" s="267"/>
      <c r="C5400" s="267" t="s">
        <v>55</v>
      </c>
      <c r="D5400" s="3" t="s">
        <v>70</v>
      </c>
      <c r="E5400" s="1497">
        <v>1790</v>
      </c>
      <c r="F5400" s="1497"/>
      <c r="G5400" s="267" t="s">
        <v>56</v>
      </c>
      <c r="H5400" s="3"/>
    </row>
    <row r="5401" spans="1:8">
      <c r="A5401" s="270">
        <v>45406</v>
      </c>
      <c r="B5401" s="267"/>
      <c r="C5401" s="267" t="s">
        <v>55</v>
      </c>
      <c r="D5401" s="3" t="s">
        <v>61</v>
      </c>
      <c r="E5401" s="1497">
        <v>950</v>
      </c>
      <c r="F5401" s="1497"/>
      <c r="G5401" s="267" t="s">
        <v>56</v>
      </c>
      <c r="H5401" s="3"/>
    </row>
    <row r="5402" spans="1:8">
      <c r="A5402" s="270">
        <v>45406</v>
      </c>
      <c r="B5402" s="267"/>
      <c r="C5402" s="267" t="s">
        <v>29</v>
      </c>
      <c r="D5402" s="3" t="s">
        <v>38</v>
      </c>
      <c r="E5402" s="1497">
        <v>1200</v>
      </c>
      <c r="F5402" s="1497"/>
      <c r="G5402" s="267" t="s">
        <v>56</v>
      </c>
      <c r="H5402" s="3"/>
    </row>
    <row r="5403" spans="1:8">
      <c r="A5403" s="270">
        <v>45406</v>
      </c>
      <c r="B5403" s="267"/>
      <c r="C5403" s="267" t="s">
        <v>77</v>
      </c>
      <c r="D5403" s="3" t="s">
        <v>2874</v>
      </c>
      <c r="E5403" s="1497"/>
      <c r="F5403" s="1497">
        <v>162900</v>
      </c>
      <c r="G5403" s="267" t="s">
        <v>27</v>
      </c>
      <c r="H5403" s="3"/>
    </row>
    <row r="5404" spans="1:8">
      <c r="A5404" s="270">
        <v>45406</v>
      </c>
      <c r="B5404" s="267"/>
      <c r="C5404" s="267" t="s">
        <v>1597</v>
      </c>
      <c r="D5404" s="3" t="s">
        <v>2559</v>
      </c>
      <c r="E5404" s="1497"/>
      <c r="F5404" s="1497">
        <v>216590</v>
      </c>
      <c r="G5404" s="267" t="s">
        <v>27</v>
      </c>
      <c r="H5404" s="3"/>
    </row>
    <row r="5405" spans="1:8">
      <c r="A5405" s="270">
        <v>45406</v>
      </c>
      <c r="B5405" s="267"/>
      <c r="C5405" s="267" t="s">
        <v>92</v>
      </c>
      <c r="D5405" s="3" t="s">
        <v>2875</v>
      </c>
      <c r="E5405" s="1497"/>
      <c r="F5405" s="1497">
        <v>254150</v>
      </c>
      <c r="G5405" s="267" t="s">
        <v>27</v>
      </c>
      <c r="H5405" s="3"/>
    </row>
    <row r="5406" spans="1:8">
      <c r="A5406" s="270">
        <v>45407</v>
      </c>
      <c r="B5406" s="267"/>
      <c r="C5406" s="267" t="s">
        <v>2877</v>
      </c>
      <c r="D5406" s="3" t="s">
        <v>2876</v>
      </c>
      <c r="E5406" s="1497">
        <v>100000</v>
      </c>
      <c r="F5406" s="1497"/>
      <c r="G5406" s="267" t="s">
        <v>56</v>
      </c>
      <c r="H5406" s="45" t="s">
        <v>2878</v>
      </c>
    </row>
    <row r="5407" spans="1:8">
      <c r="A5407" s="270">
        <v>45407</v>
      </c>
      <c r="B5407" s="267"/>
      <c r="C5407" s="267" t="s">
        <v>174</v>
      </c>
      <c r="D5407" s="3" t="s">
        <v>2879</v>
      </c>
      <c r="E5407" s="1497">
        <v>33894.32</v>
      </c>
      <c r="F5407" s="1497"/>
      <c r="G5407" s="267" t="s">
        <v>27</v>
      </c>
      <c r="H5407" s="3"/>
    </row>
    <row r="5408" spans="1:8">
      <c r="A5408" s="270">
        <v>45407</v>
      </c>
      <c r="B5408" s="267"/>
      <c r="C5408" s="267" t="s">
        <v>174</v>
      </c>
      <c r="D5408" s="3" t="s">
        <v>271</v>
      </c>
      <c r="E5408" s="1497">
        <v>7795.64</v>
      </c>
      <c r="F5408" s="1497"/>
      <c r="G5408" s="267" t="s">
        <v>27</v>
      </c>
      <c r="H5408" s="3"/>
    </row>
    <row r="5409" spans="1:8">
      <c r="A5409" s="270">
        <v>45407</v>
      </c>
      <c r="B5409" s="267"/>
      <c r="C5409" s="267" t="s">
        <v>174</v>
      </c>
      <c r="D5409" s="3" t="s">
        <v>271</v>
      </c>
      <c r="E5409" s="1497">
        <v>8575.2199999999993</v>
      </c>
      <c r="F5409" s="1497"/>
      <c r="G5409" s="267" t="s">
        <v>27</v>
      </c>
      <c r="H5409" s="3"/>
    </row>
    <row r="5410" spans="1:8">
      <c r="A5410" s="270">
        <v>45407</v>
      </c>
      <c r="B5410" s="267"/>
      <c r="C5410" s="267" t="s">
        <v>209</v>
      </c>
      <c r="D5410" s="3" t="s">
        <v>2217</v>
      </c>
      <c r="E5410" s="1497">
        <v>279400</v>
      </c>
      <c r="F5410" s="1497"/>
      <c r="G5410" s="267" t="s">
        <v>27</v>
      </c>
      <c r="H5410" s="3"/>
    </row>
    <row r="5411" spans="1:8">
      <c r="A5411" s="270">
        <v>45407</v>
      </c>
      <c r="B5411" s="267"/>
      <c r="C5411" s="267" t="s">
        <v>2877</v>
      </c>
      <c r="D5411" s="3" t="s">
        <v>2880</v>
      </c>
      <c r="E5411" s="1497">
        <v>107000</v>
      </c>
      <c r="F5411" s="1497"/>
      <c r="G5411" s="267" t="s">
        <v>56</v>
      </c>
      <c r="H5411" s="3" t="s">
        <v>2881</v>
      </c>
    </row>
    <row r="5412" spans="1:8">
      <c r="A5412" s="270">
        <v>45407</v>
      </c>
      <c r="B5412" s="267"/>
      <c r="C5412" s="267" t="s">
        <v>90</v>
      </c>
      <c r="D5412" s="3" t="s">
        <v>2858</v>
      </c>
      <c r="E5412" s="1497">
        <v>7000</v>
      </c>
      <c r="F5412" s="1497"/>
      <c r="G5412" s="267" t="s">
        <v>56</v>
      </c>
      <c r="H5412" s="3"/>
    </row>
    <row r="5413" spans="1:8">
      <c r="A5413" s="270">
        <v>45407</v>
      </c>
      <c r="B5413" s="267"/>
      <c r="C5413" s="267" t="s">
        <v>92</v>
      </c>
      <c r="D5413" s="15" t="s">
        <v>2882</v>
      </c>
      <c r="E5413" s="1497"/>
      <c r="F5413" s="1497">
        <v>727330</v>
      </c>
      <c r="G5413" s="267" t="s">
        <v>287</v>
      </c>
      <c r="H5413" s="3" t="s">
        <v>2883</v>
      </c>
    </row>
    <row r="5414" spans="1:8">
      <c r="A5414" s="270">
        <v>45407</v>
      </c>
      <c r="B5414" s="267"/>
      <c r="C5414" s="267" t="s">
        <v>77</v>
      </c>
      <c r="D5414" s="3" t="s">
        <v>2884</v>
      </c>
      <c r="E5414" s="1497"/>
      <c r="F5414" s="1497">
        <v>1260000</v>
      </c>
      <c r="G5414" s="267" t="s">
        <v>27</v>
      </c>
      <c r="H5414" s="3" t="s">
        <v>2885</v>
      </c>
    </row>
    <row r="5415" spans="1:8">
      <c r="A5415" s="270">
        <v>45407</v>
      </c>
      <c r="B5415" s="267"/>
      <c r="C5415" s="267" t="s">
        <v>537</v>
      </c>
      <c r="D5415" s="3" t="s">
        <v>144</v>
      </c>
      <c r="E5415" s="1497">
        <v>200000</v>
      </c>
      <c r="F5415" s="1497"/>
      <c r="G5415" s="267" t="s">
        <v>27</v>
      </c>
      <c r="H5415" s="3"/>
    </row>
    <row r="5416" spans="1:8">
      <c r="A5416" s="270">
        <v>45407</v>
      </c>
      <c r="B5416" s="267"/>
      <c r="C5416" s="267" t="s">
        <v>29</v>
      </c>
      <c r="D5416" s="3" t="s">
        <v>238</v>
      </c>
      <c r="E5416" s="1497">
        <v>2160</v>
      </c>
      <c r="F5416" s="1497"/>
      <c r="G5416" s="267" t="s">
        <v>27</v>
      </c>
      <c r="H5416" s="3"/>
    </row>
    <row r="5417" spans="1:8">
      <c r="A5417" s="270">
        <v>45407</v>
      </c>
      <c r="B5417" s="267"/>
      <c r="C5417" s="267" t="s">
        <v>77</v>
      </c>
      <c r="D5417" s="3" t="s">
        <v>2886</v>
      </c>
      <c r="E5417" s="1497"/>
      <c r="F5417" s="1497">
        <v>980000</v>
      </c>
      <c r="G5417" s="267" t="s">
        <v>72</v>
      </c>
      <c r="H5417" s="3" t="s">
        <v>2887</v>
      </c>
    </row>
    <row r="5418" spans="1:8">
      <c r="A5418" s="270">
        <v>45407</v>
      </c>
      <c r="B5418" s="267"/>
      <c r="C5418" s="267" t="s">
        <v>92</v>
      </c>
      <c r="D5418" s="3" t="s">
        <v>582</v>
      </c>
      <c r="E5418" s="1497"/>
      <c r="F5418" s="1497">
        <v>408108.59</v>
      </c>
      <c r="G5418" s="267" t="s">
        <v>27</v>
      </c>
      <c r="H5418" s="3"/>
    </row>
    <row r="5419" spans="1:8">
      <c r="A5419" s="270">
        <v>45407</v>
      </c>
      <c r="B5419" s="267"/>
      <c r="C5419" s="267" t="s">
        <v>86</v>
      </c>
      <c r="D5419" s="3" t="s">
        <v>86</v>
      </c>
      <c r="E5419" s="1497">
        <v>15000</v>
      </c>
      <c r="F5419" s="1497"/>
      <c r="G5419" s="267" t="s">
        <v>27</v>
      </c>
      <c r="H5419" s="3"/>
    </row>
    <row r="5420" spans="1:8">
      <c r="A5420" s="270">
        <v>45407</v>
      </c>
      <c r="B5420" s="267"/>
      <c r="C5420" s="267" t="s">
        <v>29</v>
      </c>
      <c r="D5420" s="71" t="s">
        <v>2888</v>
      </c>
      <c r="E5420" s="1497">
        <v>200000</v>
      </c>
      <c r="F5420" s="1497"/>
      <c r="G5420" s="267" t="s">
        <v>27</v>
      </c>
      <c r="H5420" s="3"/>
    </row>
    <row r="5421" spans="1:8">
      <c r="A5421" s="270">
        <v>45407</v>
      </c>
      <c r="B5421" s="267"/>
      <c r="C5421" s="267" t="s">
        <v>2877</v>
      </c>
      <c r="D5421" s="71" t="s">
        <v>2893</v>
      </c>
      <c r="E5421" s="1497">
        <v>13000</v>
      </c>
      <c r="F5421" s="1497"/>
      <c r="G5421" s="267" t="s">
        <v>56</v>
      </c>
      <c r="H5421" s="3"/>
    </row>
    <row r="5422" spans="1:8">
      <c r="A5422" s="270">
        <v>45408</v>
      </c>
      <c r="B5422" s="267"/>
      <c r="C5422" s="267" t="s">
        <v>77</v>
      </c>
      <c r="D5422" s="3" t="s">
        <v>2886</v>
      </c>
      <c r="E5422" s="1497"/>
      <c r="F5422" s="1497">
        <v>206000</v>
      </c>
      <c r="G5422" s="267" t="s">
        <v>56</v>
      </c>
      <c r="H5422" s="3"/>
    </row>
    <row r="5423" spans="1:8">
      <c r="A5423" s="270">
        <v>45408</v>
      </c>
      <c r="B5423" s="267"/>
      <c r="C5423" s="267" t="s">
        <v>92</v>
      </c>
      <c r="D5423" s="3" t="s">
        <v>2891</v>
      </c>
      <c r="E5423" s="1497"/>
      <c r="F5423" s="1497">
        <v>43200</v>
      </c>
      <c r="G5423" s="267" t="s">
        <v>56</v>
      </c>
      <c r="H5423" s="3"/>
    </row>
    <row r="5424" spans="1:8">
      <c r="A5424" s="270">
        <v>45408</v>
      </c>
      <c r="B5424" s="267"/>
      <c r="C5424" s="267" t="s">
        <v>2890</v>
      </c>
      <c r="D5424" s="3" t="s">
        <v>2889</v>
      </c>
      <c r="E5424" s="1497">
        <v>600000</v>
      </c>
      <c r="F5424" s="1497"/>
      <c r="G5424" s="267" t="s">
        <v>56</v>
      </c>
      <c r="H5424" s="3"/>
    </row>
    <row r="5425" spans="1:8">
      <c r="A5425" s="270">
        <v>45408</v>
      </c>
      <c r="B5425" s="267"/>
      <c r="C5425" s="267" t="s">
        <v>308</v>
      </c>
      <c r="D5425" s="3" t="s">
        <v>232</v>
      </c>
      <c r="E5425" s="1497">
        <v>1500000</v>
      </c>
      <c r="F5425" s="1497"/>
      <c r="G5425" s="267" t="s">
        <v>27</v>
      </c>
      <c r="H5425" s="3"/>
    </row>
    <row r="5426" spans="1:8">
      <c r="A5426" s="270">
        <v>45408</v>
      </c>
      <c r="B5426" s="267"/>
      <c r="C5426" s="267" t="s">
        <v>29</v>
      </c>
      <c r="D5426" s="3" t="s">
        <v>246</v>
      </c>
      <c r="E5426" s="1497">
        <v>79448.289999999994</v>
      </c>
      <c r="F5426" s="1497"/>
      <c r="G5426" s="267" t="s">
        <v>27</v>
      </c>
      <c r="H5426" s="3" t="s">
        <v>2892</v>
      </c>
    </row>
    <row r="5427" spans="1:8">
      <c r="A5427" s="270">
        <v>45408</v>
      </c>
      <c r="B5427" s="267"/>
      <c r="C5427" s="267" t="s">
        <v>537</v>
      </c>
      <c r="D5427" s="3" t="s">
        <v>219</v>
      </c>
      <c r="E5427" s="1497">
        <v>132000</v>
      </c>
      <c r="F5427" s="1497"/>
      <c r="G5427" s="267" t="s">
        <v>56</v>
      </c>
      <c r="H5427" s="3"/>
    </row>
    <row r="5428" spans="1:8">
      <c r="A5428" s="270">
        <v>45408</v>
      </c>
      <c r="B5428" s="267"/>
      <c r="C5428" s="267" t="s">
        <v>537</v>
      </c>
      <c r="D5428" s="3" t="s">
        <v>208</v>
      </c>
      <c r="E5428" s="1497">
        <v>100000</v>
      </c>
      <c r="F5428" s="1497"/>
      <c r="G5428" s="267" t="s">
        <v>56</v>
      </c>
      <c r="H5428" s="3"/>
    </row>
    <row r="5429" spans="1:8">
      <c r="A5429" s="270">
        <v>45408</v>
      </c>
      <c r="B5429" s="267"/>
      <c r="C5429" s="267" t="s">
        <v>29</v>
      </c>
      <c r="D5429" s="3" t="s">
        <v>1920</v>
      </c>
      <c r="E5429" s="1497">
        <v>3811.05</v>
      </c>
      <c r="F5429" s="1497"/>
      <c r="G5429" s="267" t="s">
        <v>27</v>
      </c>
      <c r="H5429" s="3"/>
    </row>
    <row r="5430" spans="1:8" ht="15.75" thickBot="1">
      <c r="H5430" s="209">
        <v>45408</v>
      </c>
    </row>
    <row r="5431" spans="1:8">
      <c r="H5431" s="199" t="s">
        <v>2897</v>
      </c>
    </row>
    <row r="5432" spans="1:8">
      <c r="H5432" s="137" t="s">
        <v>2898</v>
      </c>
    </row>
    <row r="5433" spans="1:8">
      <c r="H5433" s="138" t="s">
        <v>2896</v>
      </c>
    </row>
    <row r="5434" spans="1:8">
      <c r="H5434" s="138" t="s">
        <v>2894</v>
      </c>
    </row>
    <row r="5435" spans="1:8">
      <c r="H5435" s="138" t="s">
        <v>2819</v>
      </c>
    </row>
    <row r="5436" spans="1:8">
      <c r="H5436" s="138" t="s">
        <v>2895</v>
      </c>
    </row>
    <row r="5437" spans="1:8">
      <c r="H5437" s="138" t="s">
        <v>2900</v>
      </c>
    </row>
    <row r="5438" spans="1:8" ht="15.75" thickBot="1">
      <c r="H5438" s="147" t="s">
        <v>2151</v>
      </c>
    </row>
    <row r="5439" spans="1:8" ht="15.75" thickBot="1">
      <c r="H5439" s="140" t="s">
        <v>2899</v>
      </c>
    </row>
    <row r="5440" spans="1:8">
      <c r="H5440" s="208">
        <v>11325087.609999999</v>
      </c>
    </row>
    <row r="5441" spans="1:8">
      <c r="A5441" s="270">
        <v>45411</v>
      </c>
      <c r="B5441" s="267"/>
      <c r="C5441" s="267" t="s">
        <v>79</v>
      </c>
      <c r="D5441" s="3" t="s">
        <v>79</v>
      </c>
      <c r="E5441" s="1497">
        <v>10000</v>
      </c>
      <c r="F5441" s="1497"/>
      <c r="G5441" s="267" t="s">
        <v>27</v>
      </c>
      <c r="H5441" s="214"/>
    </row>
    <row r="5442" spans="1:8">
      <c r="A5442" s="270">
        <v>45411</v>
      </c>
      <c r="B5442" s="267"/>
      <c r="C5442" s="267" t="s">
        <v>79</v>
      </c>
      <c r="D5442" s="3" t="s">
        <v>79</v>
      </c>
      <c r="E5442" s="1497">
        <v>43725.85</v>
      </c>
      <c r="F5442" s="1497"/>
      <c r="G5442" s="267" t="s">
        <v>27</v>
      </c>
      <c r="H5442" s="3"/>
    </row>
    <row r="5443" spans="1:8">
      <c r="A5443" s="270">
        <v>45411</v>
      </c>
      <c r="B5443" s="267"/>
      <c r="C5443" s="267" t="s">
        <v>79</v>
      </c>
      <c r="D5443" s="3" t="s">
        <v>79</v>
      </c>
      <c r="E5443" s="1497">
        <v>40093</v>
      </c>
      <c r="F5443" s="1497"/>
      <c r="G5443" s="267" t="s">
        <v>27</v>
      </c>
      <c r="H5443" s="3"/>
    </row>
    <row r="5444" spans="1:8">
      <c r="A5444" s="270">
        <v>45411</v>
      </c>
      <c r="B5444" s="267"/>
      <c r="C5444" s="267" t="s">
        <v>2901</v>
      </c>
      <c r="D5444" s="3" t="s">
        <v>650</v>
      </c>
      <c r="E5444" s="1497">
        <v>17395</v>
      </c>
      <c r="F5444" s="1497"/>
      <c r="G5444" s="267" t="s">
        <v>27</v>
      </c>
      <c r="H5444" s="3"/>
    </row>
    <row r="5445" spans="1:8">
      <c r="A5445" s="270">
        <v>45411</v>
      </c>
      <c r="B5445" s="267"/>
      <c r="C5445" s="267" t="s">
        <v>2901</v>
      </c>
      <c r="D5445" s="3" t="s">
        <v>650</v>
      </c>
      <c r="E5445" s="1497">
        <v>3652.95</v>
      </c>
      <c r="F5445" s="1497"/>
      <c r="G5445" s="267" t="s">
        <v>27</v>
      </c>
      <c r="H5445" s="3"/>
    </row>
    <row r="5446" spans="1:8">
      <c r="A5446" s="270">
        <v>45411</v>
      </c>
      <c r="B5446" s="267"/>
      <c r="C5446" s="267" t="s">
        <v>2901</v>
      </c>
      <c r="D5446" s="3" t="s">
        <v>650</v>
      </c>
      <c r="E5446" s="1497">
        <v>521.85</v>
      </c>
      <c r="F5446" s="1497"/>
      <c r="G5446" s="267" t="s">
        <v>27</v>
      </c>
      <c r="H5446" s="3"/>
    </row>
    <row r="5447" spans="1:8">
      <c r="A5447" s="270">
        <v>45411</v>
      </c>
      <c r="B5447" s="267"/>
      <c r="C5447" s="267" t="s">
        <v>86</v>
      </c>
      <c r="D5447" s="3" t="s">
        <v>86</v>
      </c>
      <c r="E5447" s="1497">
        <v>15000</v>
      </c>
      <c r="F5447" s="1497"/>
      <c r="G5447" s="267" t="s">
        <v>27</v>
      </c>
      <c r="H5447" s="3"/>
    </row>
    <row r="5448" spans="1:8">
      <c r="A5448" s="270">
        <v>45411</v>
      </c>
      <c r="B5448" s="267"/>
      <c r="C5448" s="267" t="s">
        <v>29</v>
      </c>
      <c r="D5448" s="3" t="s">
        <v>11</v>
      </c>
      <c r="E5448" s="1497">
        <v>870000</v>
      </c>
      <c r="F5448" s="1497"/>
      <c r="G5448" s="267" t="s">
        <v>72</v>
      </c>
      <c r="H5448" s="3" t="s">
        <v>2902</v>
      </c>
    </row>
    <row r="5449" spans="1:8">
      <c r="A5449" s="270">
        <v>45411</v>
      </c>
      <c r="B5449" s="267"/>
      <c r="C5449" s="267" t="s">
        <v>29</v>
      </c>
      <c r="D5449" s="3" t="s">
        <v>11</v>
      </c>
      <c r="E5449" s="1497">
        <v>727330</v>
      </c>
      <c r="F5449" s="1497"/>
      <c r="G5449" s="267" t="s">
        <v>287</v>
      </c>
      <c r="H5449" s="3"/>
    </row>
    <row r="5450" spans="1:8">
      <c r="A5450" s="270">
        <v>45411</v>
      </c>
      <c r="B5450" s="267"/>
      <c r="C5450" s="267" t="s">
        <v>29</v>
      </c>
      <c r="D5450" s="3" t="s">
        <v>2903</v>
      </c>
      <c r="E5450" s="1497">
        <v>9975.65</v>
      </c>
      <c r="F5450" s="1497"/>
      <c r="G5450" s="267" t="s">
        <v>27</v>
      </c>
      <c r="H5450" s="3"/>
    </row>
    <row r="5451" spans="1:8">
      <c r="A5451" s="270">
        <v>45411</v>
      </c>
      <c r="B5451" s="267"/>
      <c r="C5451" s="267" t="s">
        <v>55</v>
      </c>
      <c r="D5451" s="3" t="s">
        <v>562</v>
      </c>
      <c r="E5451" s="1497">
        <v>6000</v>
      </c>
      <c r="F5451" s="1497"/>
      <c r="G5451" s="267" t="s">
        <v>56</v>
      </c>
      <c r="H5451" s="3"/>
    </row>
    <row r="5452" spans="1:8">
      <c r="A5452" s="270">
        <v>45411</v>
      </c>
      <c r="B5452" s="267"/>
      <c r="C5452" s="267" t="s">
        <v>29</v>
      </c>
      <c r="D5452" s="3" t="s">
        <v>2904</v>
      </c>
      <c r="E5452" s="1497">
        <v>5529.98</v>
      </c>
      <c r="F5452" s="1497"/>
      <c r="G5452" s="267" t="s">
        <v>56</v>
      </c>
      <c r="H5452" s="3"/>
    </row>
    <row r="5453" spans="1:8">
      <c r="A5453" s="270">
        <v>45411</v>
      </c>
      <c r="B5453" s="267"/>
      <c r="C5453" s="267" t="s">
        <v>29</v>
      </c>
      <c r="D5453" s="3" t="s">
        <v>63</v>
      </c>
      <c r="E5453" s="1497">
        <v>6686.74</v>
      </c>
      <c r="F5453" s="1497"/>
      <c r="G5453" s="267" t="s">
        <v>27</v>
      </c>
      <c r="H5453" s="3"/>
    </row>
    <row r="5454" spans="1:8">
      <c r="A5454" s="270">
        <v>45411</v>
      </c>
      <c r="B5454" s="267"/>
      <c r="C5454" s="267" t="s">
        <v>79</v>
      </c>
      <c r="D5454" s="3" t="s">
        <v>2905</v>
      </c>
      <c r="E5454" s="1497">
        <v>397182.71999999997</v>
      </c>
      <c r="F5454" s="1497"/>
      <c r="G5454" s="267" t="s">
        <v>27</v>
      </c>
      <c r="H5454" s="3"/>
    </row>
    <row r="5455" spans="1:8">
      <c r="A5455" s="270">
        <v>45411</v>
      </c>
      <c r="B5455" s="267"/>
      <c r="C5455" s="267" t="s">
        <v>77</v>
      </c>
      <c r="D5455" s="3" t="s">
        <v>2907</v>
      </c>
      <c r="E5455" s="1497"/>
      <c r="F5455" s="1497">
        <v>70000</v>
      </c>
      <c r="G5455" s="267" t="s">
        <v>56</v>
      </c>
      <c r="H5455" s="3"/>
    </row>
    <row r="5456" spans="1:8">
      <c r="A5456" s="270">
        <v>45411</v>
      </c>
      <c r="B5456" s="267"/>
      <c r="C5456" s="267" t="s">
        <v>86</v>
      </c>
      <c r="D5456" s="3" t="s">
        <v>86</v>
      </c>
      <c r="E5456" s="1497">
        <v>10000</v>
      </c>
      <c r="F5456" s="1497"/>
      <c r="G5456" s="267" t="s">
        <v>56</v>
      </c>
      <c r="H5456" s="3"/>
    </row>
    <row r="5457" spans="1:8">
      <c r="A5457" s="270">
        <v>45412</v>
      </c>
      <c r="B5457" s="267"/>
      <c r="C5457" s="267" t="s">
        <v>730</v>
      </c>
      <c r="D5457" s="3" t="s">
        <v>2906</v>
      </c>
      <c r="E5457" s="1497">
        <v>70000</v>
      </c>
      <c r="F5457" s="1497"/>
      <c r="G5457" s="267" t="s">
        <v>27</v>
      </c>
      <c r="H5457" s="3"/>
    </row>
    <row r="5458" spans="1:8">
      <c r="A5458" s="270">
        <v>45412</v>
      </c>
      <c r="B5458" s="267"/>
      <c r="C5458" s="267" t="s">
        <v>55</v>
      </c>
      <c r="D5458" s="3" t="s">
        <v>38</v>
      </c>
      <c r="E5458" s="1497">
        <v>2100</v>
      </c>
      <c r="F5458" s="1497"/>
      <c r="G5458" s="267" t="s">
        <v>56</v>
      </c>
      <c r="H5458" s="3"/>
    </row>
    <row r="5459" spans="1:8">
      <c r="A5459" s="270">
        <v>45412</v>
      </c>
      <c r="B5459" s="267"/>
      <c r="C5459" s="267" t="s">
        <v>55</v>
      </c>
      <c r="D5459" s="3" t="s">
        <v>38</v>
      </c>
      <c r="E5459" s="1497">
        <v>700</v>
      </c>
      <c r="F5459" s="1497"/>
      <c r="G5459" s="267" t="s">
        <v>56</v>
      </c>
      <c r="H5459" s="3"/>
    </row>
    <row r="5460" spans="1:8">
      <c r="A5460" s="270">
        <v>45412</v>
      </c>
      <c r="B5460" s="267"/>
      <c r="C5460" s="267" t="s">
        <v>160</v>
      </c>
      <c r="D5460" s="3" t="s">
        <v>2667</v>
      </c>
      <c r="E5460" s="1497"/>
      <c r="F5460" s="1497">
        <v>157086</v>
      </c>
      <c r="G5460" s="267" t="s">
        <v>27</v>
      </c>
      <c r="H5460" s="3"/>
    </row>
    <row r="5461" spans="1:8">
      <c r="A5461" s="270">
        <v>45412</v>
      </c>
      <c r="B5461" s="267"/>
      <c r="C5461" s="267" t="s">
        <v>90</v>
      </c>
      <c r="D5461" s="3" t="s">
        <v>334</v>
      </c>
      <c r="E5461" s="1497">
        <v>18690.509999999998</v>
      </c>
      <c r="F5461" s="1497"/>
      <c r="G5461" s="267" t="s">
        <v>27</v>
      </c>
      <c r="H5461" s="3"/>
    </row>
    <row r="5462" spans="1:8" ht="15.75" thickBot="1">
      <c r="A5462" s="270">
        <v>45412</v>
      </c>
      <c r="B5462" s="267"/>
      <c r="C5462" s="267" t="s">
        <v>537</v>
      </c>
      <c r="D5462" s="15" t="s">
        <v>598</v>
      </c>
      <c r="E5462" s="1497">
        <v>30000</v>
      </c>
      <c r="F5462" s="1497"/>
      <c r="G5462" s="267" t="s">
        <v>56</v>
      </c>
      <c r="H5462" s="85"/>
    </row>
    <row r="5463" spans="1:8" ht="15.75" thickBot="1">
      <c r="A5463" s="244"/>
      <c r="B5463" s="244"/>
      <c r="C5463" s="244"/>
      <c r="D5463" s="244"/>
      <c r="E5463" s="1492"/>
      <c r="F5463" s="1492"/>
      <c r="G5463" s="244"/>
      <c r="H5463" s="201">
        <v>45412</v>
      </c>
    </row>
    <row r="5464" spans="1:8">
      <c r="H5464" s="199" t="s">
        <v>2897</v>
      </c>
    </row>
    <row r="5465" spans="1:8">
      <c r="H5465" s="137" t="s">
        <v>2898</v>
      </c>
    </row>
    <row r="5466" spans="1:8">
      <c r="H5466" s="138" t="s">
        <v>2896</v>
      </c>
    </row>
    <row r="5467" spans="1:8">
      <c r="H5467" s="138" t="s">
        <v>2894</v>
      </c>
    </row>
    <row r="5468" spans="1:8">
      <c r="H5468" s="138" t="s">
        <v>2819</v>
      </c>
    </row>
    <row r="5469" spans="1:8">
      <c r="H5469" s="138" t="s">
        <v>2895</v>
      </c>
    </row>
    <row r="5470" spans="1:8">
      <c r="H5470" s="138" t="s">
        <v>2900</v>
      </c>
    </row>
    <row r="5471" spans="1:8" ht="15.75" thickBot="1">
      <c r="H5471" s="147" t="s">
        <v>2151</v>
      </c>
    </row>
    <row r="5472" spans="1:8" ht="15.75" thickBot="1">
      <c r="H5472" s="140" t="s">
        <v>2899</v>
      </c>
    </row>
    <row r="5473" spans="1:8">
      <c r="H5473" s="208">
        <v>11325087.609999999</v>
      </c>
    </row>
    <row r="5474" spans="1:8">
      <c r="A5474" s="270">
        <v>45414</v>
      </c>
      <c r="B5474" s="267"/>
      <c r="C5474" s="267" t="s">
        <v>79</v>
      </c>
      <c r="D5474" s="3" t="s">
        <v>79</v>
      </c>
      <c r="E5474" s="1497">
        <v>4024</v>
      </c>
      <c r="F5474" s="1497"/>
      <c r="G5474" s="267" t="s">
        <v>27</v>
      </c>
      <c r="H5474" s="214"/>
    </row>
    <row r="5475" spans="1:8">
      <c r="A5475" s="270">
        <v>45414</v>
      </c>
      <c r="B5475" s="267"/>
      <c r="C5475" s="267" t="s">
        <v>92</v>
      </c>
      <c r="D5475" s="3" t="s">
        <v>2908</v>
      </c>
      <c r="E5475" s="1497"/>
      <c r="F5475" s="1497">
        <v>23600</v>
      </c>
      <c r="G5475" s="267" t="s">
        <v>27</v>
      </c>
      <c r="H5475" s="3"/>
    </row>
    <row r="5476" spans="1:8">
      <c r="A5476" s="270">
        <v>45414</v>
      </c>
      <c r="B5476" s="267"/>
      <c r="C5476" s="267" t="s">
        <v>1597</v>
      </c>
      <c r="D5476" s="3" t="s">
        <v>2867</v>
      </c>
      <c r="E5476" s="1497"/>
      <c r="F5476" s="1497">
        <v>355257.77</v>
      </c>
      <c r="G5476" s="267" t="s">
        <v>27</v>
      </c>
      <c r="H5476" s="3"/>
    </row>
    <row r="5477" spans="1:8">
      <c r="A5477" s="70" t="s">
        <v>2909</v>
      </c>
      <c r="B5477" s="70"/>
      <c r="C5477" s="70" t="s">
        <v>86</v>
      </c>
      <c r="D5477" s="113" t="s">
        <v>86</v>
      </c>
      <c r="E5477" s="70">
        <v>15000</v>
      </c>
      <c r="F5477" s="1497"/>
      <c r="G5477" s="267" t="s">
        <v>27</v>
      </c>
      <c r="H5477" s="3"/>
    </row>
    <row r="5478" spans="1:8">
      <c r="A5478" s="270">
        <v>45414</v>
      </c>
      <c r="B5478" s="267"/>
      <c r="C5478" s="267" t="s">
        <v>68</v>
      </c>
      <c r="D5478" s="3" t="s">
        <v>2858</v>
      </c>
      <c r="E5478" s="1497">
        <v>8100</v>
      </c>
      <c r="F5478" s="1497"/>
      <c r="G5478" s="267" t="s">
        <v>56</v>
      </c>
      <c r="H5478" s="3"/>
    </row>
    <row r="5479" spans="1:8">
      <c r="A5479" s="270">
        <v>45414</v>
      </c>
      <c r="B5479" s="267"/>
      <c r="C5479" s="267" t="s">
        <v>29</v>
      </c>
      <c r="D5479" s="3" t="s">
        <v>63</v>
      </c>
      <c r="E5479" s="1497">
        <v>4074</v>
      </c>
      <c r="F5479" s="1497"/>
      <c r="G5479" s="267" t="s">
        <v>27</v>
      </c>
      <c r="H5479" s="3"/>
    </row>
    <row r="5480" spans="1:8">
      <c r="A5480" s="270">
        <v>45414</v>
      </c>
      <c r="B5480" s="267"/>
      <c r="C5480" s="267" t="s">
        <v>79</v>
      </c>
      <c r="D5480" s="3" t="s">
        <v>79</v>
      </c>
      <c r="E5480" s="1497">
        <v>2480</v>
      </c>
      <c r="F5480" s="1497"/>
      <c r="G5480" s="267" t="s">
        <v>27</v>
      </c>
      <c r="H5480" s="3"/>
    </row>
    <row r="5481" spans="1:8">
      <c r="A5481" s="270">
        <v>45414</v>
      </c>
      <c r="B5481" s="267"/>
      <c r="C5481" s="267" t="s">
        <v>77</v>
      </c>
      <c r="D5481" s="3" t="s">
        <v>2910</v>
      </c>
      <c r="E5481" s="1497"/>
      <c r="F5481" s="1497">
        <v>800000</v>
      </c>
      <c r="G5481" s="267" t="s">
        <v>56</v>
      </c>
      <c r="H5481" s="3"/>
    </row>
    <row r="5482" spans="1:8">
      <c r="A5482" s="270">
        <v>45418</v>
      </c>
      <c r="B5482" s="267"/>
      <c r="C5482" s="267" t="s">
        <v>160</v>
      </c>
      <c r="D5482" s="3" t="s">
        <v>2914</v>
      </c>
      <c r="E5482" s="1497"/>
      <c r="F5482" s="1497">
        <v>71600</v>
      </c>
      <c r="G5482" s="267" t="s">
        <v>27</v>
      </c>
      <c r="H5482" s="3"/>
    </row>
    <row r="5483" spans="1:8">
      <c r="A5483" s="270">
        <v>45415</v>
      </c>
      <c r="B5483" s="267"/>
      <c r="C5483" s="267" t="s">
        <v>849</v>
      </c>
      <c r="D5483" s="15" t="s">
        <v>1553</v>
      </c>
      <c r="E5483" s="1497">
        <v>7760</v>
      </c>
      <c r="F5483" s="1497"/>
      <c r="G5483" s="267" t="s">
        <v>27</v>
      </c>
      <c r="H5483" s="3"/>
    </row>
    <row r="5484" spans="1:8">
      <c r="A5484" s="270">
        <v>45415</v>
      </c>
      <c r="B5484" s="267"/>
      <c r="C5484" s="267" t="s">
        <v>849</v>
      </c>
      <c r="D5484" s="15" t="s">
        <v>1553</v>
      </c>
      <c r="E5484" s="1497">
        <v>7600</v>
      </c>
      <c r="F5484" s="1497"/>
      <c r="G5484" s="267" t="s">
        <v>27</v>
      </c>
      <c r="H5484" s="3"/>
    </row>
    <row r="5485" spans="1:8">
      <c r="A5485" s="270">
        <v>45415</v>
      </c>
      <c r="B5485" s="267"/>
      <c r="C5485" s="267" t="s">
        <v>79</v>
      </c>
      <c r="D5485" s="3" t="s">
        <v>435</v>
      </c>
      <c r="E5485" s="1497">
        <v>29950</v>
      </c>
      <c r="F5485" s="1497"/>
      <c r="G5485" s="267" t="s">
        <v>27</v>
      </c>
      <c r="H5485" s="3"/>
    </row>
    <row r="5486" spans="1:8">
      <c r="A5486" s="270">
        <v>45415</v>
      </c>
      <c r="B5486" s="267"/>
      <c r="C5486" s="267" t="s">
        <v>409</v>
      </c>
      <c r="D5486" s="3" t="s">
        <v>232</v>
      </c>
      <c r="E5486" s="1497"/>
      <c r="F5486" s="1497">
        <v>76000</v>
      </c>
      <c r="G5486" s="267" t="s">
        <v>27</v>
      </c>
      <c r="H5486" s="3"/>
    </row>
    <row r="5487" spans="1:8">
      <c r="A5487" s="270">
        <v>45415</v>
      </c>
      <c r="B5487" s="267"/>
      <c r="C5487" s="267" t="s">
        <v>308</v>
      </c>
      <c r="D5487" s="3" t="s">
        <v>232</v>
      </c>
      <c r="E5487" s="1497">
        <v>89240</v>
      </c>
      <c r="F5487" s="1497"/>
      <c r="G5487" s="267" t="s">
        <v>27</v>
      </c>
      <c r="H5487" s="3"/>
    </row>
    <row r="5488" spans="1:8">
      <c r="A5488" s="270">
        <v>45415</v>
      </c>
      <c r="B5488" s="267"/>
      <c r="C5488" s="267"/>
      <c r="D5488" s="3" t="s">
        <v>246</v>
      </c>
      <c r="E5488" s="1497">
        <v>2025</v>
      </c>
      <c r="F5488" s="1497"/>
      <c r="G5488" s="267" t="s">
        <v>27</v>
      </c>
      <c r="H5488" s="3"/>
    </row>
    <row r="5489" spans="1:8">
      <c r="A5489" s="270">
        <v>45415</v>
      </c>
      <c r="B5489" s="267"/>
      <c r="C5489" s="267" t="s">
        <v>537</v>
      </c>
      <c r="D5489" s="15" t="s">
        <v>208</v>
      </c>
      <c r="E5489" s="1497">
        <v>66000</v>
      </c>
      <c r="F5489" s="1497"/>
      <c r="G5489" s="267" t="s">
        <v>56</v>
      </c>
      <c r="H5489" s="3"/>
    </row>
    <row r="5490" spans="1:8">
      <c r="A5490" s="270">
        <v>45415</v>
      </c>
      <c r="B5490" s="267"/>
      <c r="C5490" s="267" t="s">
        <v>537</v>
      </c>
      <c r="D5490" s="15" t="s">
        <v>219</v>
      </c>
      <c r="E5490" s="1497">
        <v>114000</v>
      </c>
      <c r="F5490" s="1497"/>
      <c r="G5490" s="267" t="s">
        <v>56</v>
      </c>
      <c r="H5490" s="3"/>
    </row>
    <row r="5491" spans="1:8">
      <c r="A5491" s="270">
        <v>45415</v>
      </c>
      <c r="B5491" s="267"/>
      <c r="C5491" s="267" t="s">
        <v>537</v>
      </c>
      <c r="D5491" s="15" t="s">
        <v>144</v>
      </c>
      <c r="E5491" s="1497">
        <v>70000</v>
      </c>
      <c r="F5491" s="1497"/>
      <c r="G5491" s="267" t="s">
        <v>27</v>
      </c>
      <c r="H5491" s="3"/>
    </row>
    <row r="5492" spans="1:8">
      <c r="A5492" s="270">
        <v>45415</v>
      </c>
      <c r="B5492" s="267"/>
      <c r="C5492" s="267" t="s">
        <v>537</v>
      </c>
      <c r="D5492" s="15" t="s">
        <v>144</v>
      </c>
      <c r="E5492" s="1497">
        <v>100000</v>
      </c>
      <c r="F5492" s="1497"/>
      <c r="G5492" s="267" t="s">
        <v>56</v>
      </c>
      <c r="H5492" s="3"/>
    </row>
    <row r="5493" spans="1:8" ht="15.75" thickBot="1">
      <c r="A5493" s="270">
        <v>45415</v>
      </c>
      <c r="B5493" s="267"/>
      <c r="C5493" s="267" t="s">
        <v>537</v>
      </c>
      <c r="D5493" s="15" t="s">
        <v>193</v>
      </c>
      <c r="E5493" s="1497">
        <v>80000</v>
      </c>
      <c r="F5493" s="1497"/>
      <c r="G5493" s="267" t="s">
        <v>56</v>
      </c>
      <c r="H5493" s="3"/>
    </row>
    <row r="5494" spans="1:8" ht="15.75" thickBot="1">
      <c r="A5494" s="267"/>
      <c r="B5494" s="267"/>
      <c r="C5494" s="267"/>
      <c r="D5494" s="3"/>
      <c r="E5494" s="1497"/>
      <c r="F5494" s="1498">
        <f>SUM(F5474:F5493)</f>
        <v>1326457.77</v>
      </c>
      <c r="G5494" s="267"/>
      <c r="H5494" s="201">
        <v>45415</v>
      </c>
    </row>
    <row r="5495" spans="1:8">
      <c r="H5495" s="199" t="s">
        <v>2897</v>
      </c>
    </row>
    <row r="5496" spans="1:8">
      <c r="H5496" s="137" t="s">
        <v>2898</v>
      </c>
    </row>
    <row r="5497" spans="1:8">
      <c r="H5497" s="138" t="s">
        <v>2911</v>
      </c>
    </row>
    <row r="5498" spans="1:8">
      <c r="H5498" s="138" t="s">
        <v>2894</v>
      </c>
    </row>
    <row r="5499" spans="1:8">
      <c r="H5499" s="138" t="s">
        <v>2819</v>
      </c>
    </row>
    <row r="5500" spans="1:8">
      <c r="H5500" s="138" t="s">
        <v>2895</v>
      </c>
    </row>
    <row r="5501" spans="1:8">
      <c r="H5501" s="138" t="s">
        <v>2900</v>
      </c>
    </row>
    <row r="5502" spans="1:8" ht="15.75" thickBot="1">
      <c r="H5502" s="147" t="s">
        <v>2151</v>
      </c>
    </row>
    <row r="5503" spans="1:8" ht="15.75" thickBot="1">
      <c r="H5503" s="140" t="s">
        <v>2899</v>
      </c>
    </row>
    <row r="5504" spans="1:8">
      <c r="H5504" s="208">
        <v>11325087.609999999</v>
      </c>
    </row>
    <row r="5505" spans="1:8">
      <c r="A5505" s="270">
        <v>45418</v>
      </c>
      <c r="B5505" s="267"/>
      <c r="C5505" s="267" t="s">
        <v>2915</v>
      </c>
      <c r="D5505" s="3" t="s">
        <v>232</v>
      </c>
      <c r="E5505" s="1497">
        <v>44000</v>
      </c>
      <c r="F5505" s="1497"/>
      <c r="G5505" s="267" t="s">
        <v>27</v>
      </c>
      <c r="H5505" s="214"/>
    </row>
    <row r="5506" spans="1:8">
      <c r="A5506" s="270">
        <v>45418</v>
      </c>
      <c r="B5506" s="267"/>
      <c r="C5506" s="267" t="s">
        <v>79</v>
      </c>
      <c r="D5506" s="3" t="s">
        <v>1210</v>
      </c>
      <c r="E5506" s="1497">
        <v>32430</v>
      </c>
      <c r="F5506" s="1497"/>
      <c r="G5506" s="267" t="s">
        <v>27</v>
      </c>
      <c r="H5506" s="214"/>
    </row>
    <row r="5507" spans="1:8">
      <c r="A5507" s="270">
        <v>45418</v>
      </c>
      <c r="B5507" s="267"/>
      <c r="C5507" s="267" t="s">
        <v>92</v>
      </c>
      <c r="D5507" s="3" t="s">
        <v>2916</v>
      </c>
      <c r="E5507" s="1497">
        <v>197800</v>
      </c>
      <c r="F5507" s="1497"/>
      <c r="G5507" s="267" t="s">
        <v>27</v>
      </c>
      <c r="H5507" s="214"/>
    </row>
    <row r="5508" spans="1:8">
      <c r="A5508" s="270">
        <v>45418</v>
      </c>
      <c r="B5508" s="267"/>
      <c r="C5508" s="267" t="s">
        <v>79</v>
      </c>
      <c r="D5508" s="3" t="s">
        <v>79</v>
      </c>
      <c r="E5508" s="1497">
        <v>5000</v>
      </c>
      <c r="F5508" s="1497"/>
      <c r="G5508" s="267" t="s">
        <v>56</v>
      </c>
      <c r="H5508" s="3"/>
    </row>
    <row r="5509" spans="1:8">
      <c r="A5509" s="270">
        <v>45418</v>
      </c>
      <c r="B5509" s="267"/>
      <c r="C5509" s="267" t="s">
        <v>92</v>
      </c>
      <c r="D5509" s="3" t="s">
        <v>404</v>
      </c>
      <c r="E5509" s="1497"/>
      <c r="F5509" s="1497">
        <v>31200</v>
      </c>
      <c r="G5509" s="267" t="s">
        <v>56</v>
      </c>
      <c r="H5509" s="3"/>
    </row>
    <row r="5510" spans="1:8">
      <c r="A5510" s="270">
        <v>45418</v>
      </c>
      <c r="B5510" s="267"/>
      <c r="C5510" s="267" t="s">
        <v>2913</v>
      </c>
      <c r="D5510" s="3" t="s">
        <v>2912</v>
      </c>
      <c r="E5510" s="1497">
        <v>55862.46</v>
      </c>
      <c r="F5510" s="1497"/>
      <c r="G5510" s="267" t="s">
        <v>27</v>
      </c>
      <c r="H5510" s="3"/>
    </row>
    <row r="5511" spans="1:8">
      <c r="A5511" s="270">
        <v>45418</v>
      </c>
      <c r="B5511" s="267"/>
      <c r="C5511" s="267" t="s">
        <v>29</v>
      </c>
      <c r="D5511" s="3" t="s">
        <v>683</v>
      </c>
      <c r="E5511" s="1497">
        <v>122194</v>
      </c>
      <c r="F5511" s="1497"/>
      <c r="G5511" s="267" t="s">
        <v>27</v>
      </c>
      <c r="H5511" s="3"/>
    </row>
    <row r="5512" spans="1:8">
      <c r="A5512" s="270">
        <v>45418</v>
      </c>
      <c r="B5512" s="267"/>
      <c r="C5512" s="267" t="s">
        <v>86</v>
      </c>
      <c r="D5512" s="3" t="s">
        <v>107</v>
      </c>
      <c r="E5512" s="1497">
        <v>15000</v>
      </c>
      <c r="F5512" s="1497"/>
      <c r="G5512" s="267" t="s">
        <v>27</v>
      </c>
      <c r="H5512" s="3"/>
    </row>
    <row r="5513" spans="1:8">
      <c r="A5513" s="270">
        <v>45418</v>
      </c>
      <c r="B5513" s="267"/>
      <c r="C5513" s="267" t="s">
        <v>345</v>
      </c>
      <c r="D5513" s="3" t="s">
        <v>667</v>
      </c>
      <c r="E5513" s="1497">
        <v>37690</v>
      </c>
      <c r="F5513" s="1497"/>
      <c r="G5513" s="267" t="s">
        <v>27</v>
      </c>
      <c r="H5513" s="3"/>
    </row>
    <row r="5514" spans="1:8">
      <c r="A5514" s="270">
        <v>45418</v>
      </c>
      <c r="B5514" s="267"/>
      <c r="C5514" s="267" t="s">
        <v>55</v>
      </c>
      <c r="D5514" s="3" t="s">
        <v>2917</v>
      </c>
      <c r="E5514" s="1497">
        <v>1000</v>
      </c>
      <c r="F5514" s="1497"/>
      <c r="G5514" s="267" t="s">
        <v>56</v>
      </c>
      <c r="H5514" s="3"/>
    </row>
    <row r="5515" spans="1:8">
      <c r="A5515" s="270">
        <v>45418</v>
      </c>
      <c r="B5515" s="267"/>
      <c r="C5515" s="267" t="s">
        <v>29</v>
      </c>
      <c r="D5515" s="3" t="s">
        <v>335</v>
      </c>
      <c r="E5515" s="1497">
        <v>8000</v>
      </c>
      <c r="F5515" s="1497"/>
      <c r="G5515" s="267" t="s">
        <v>56</v>
      </c>
      <c r="H5515" s="167" t="s">
        <v>2919</v>
      </c>
    </row>
    <row r="5516" spans="1:8">
      <c r="A5516" s="270">
        <v>45419</v>
      </c>
      <c r="B5516" s="267"/>
      <c r="C5516" s="267" t="s">
        <v>55</v>
      </c>
      <c r="D5516" s="3" t="s">
        <v>225</v>
      </c>
      <c r="E5516" s="1497">
        <v>3000</v>
      </c>
      <c r="F5516" s="1497"/>
      <c r="G5516" s="267" t="s">
        <v>56</v>
      </c>
      <c r="H5516" s="3"/>
    </row>
    <row r="5517" spans="1:8">
      <c r="A5517" s="270">
        <v>45419</v>
      </c>
      <c r="B5517" s="267"/>
      <c r="C5517" s="267" t="s">
        <v>94</v>
      </c>
      <c r="D5517" s="3" t="s">
        <v>17</v>
      </c>
      <c r="E5517" s="1497">
        <v>28174.080000000002</v>
      </c>
      <c r="F5517" s="1497"/>
      <c r="G5517" s="267" t="s">
        <v>27</v>
      </c>
      <c r="H5517" s="3"/>
    </row>
    <row r="5518" spans="1:8">
      <c r="A5518" s="270">
        <v>45419</v>
      </c>
      <c r="B5518" s="267"/>
      <c r="C5518" s="267" t="s">
        <v>29</v>
      </c>
      <c r="D5518" s="3" t="s">
        <v>2920</v>
      </c>
      <c r="E5518" s="1497">
        <v>60000</v>
      </c>
      <c r="F5518" s="1497"/>
      <c r="G5518" s="267" t="s">
        <v>27</v>
      </c>
      <c r="H5518" s="3"/>
    </row>
    <row r="5519" spans="1:8">
      <c r="A5519" s="112">
        <v>45420</v>
      </c>
      <c r="B5519" s="70"/>
      <c r="C5519" s="70" t="s">
        <v>77</v>
      </c>
      <c r="D5519" s="113" t="s">
        <v>2921</v>
      </c>
      <c r="E5519" s="70"/>
      <c r="F5519" s="70">
        <v>900</v>
      </c>
      <c r="G5519" s="70" t="s">
        <v>1385</v>
      </c>
      <c r="H5519" s="3"/>
    </row>
    <row r="5520" spans="1:8">
      <c r="A5520" s="112">
        <v>45420</v>
      </c>
      <c r="B5520" s="70"/>
      <c r="C5520" s="70" t="s">
        <v>79</v>
      </c>
      <c r="D5520" s="113" t="s">
        <v>79</v>
      </c>
      <c r="E5520" s="70">
        <v>2400</v>
      </c>
      <c r="F5520" s="70"/>
      <c r="G5520" s="70" t="s">
        <v>1385</v>
      </c>
      <c r="H5520" s="3"/>
    </row>
    <row r="5521" spans="1:8">
      <c r="A5521" s="270">
        <v>45420</v>
      </c>
      <c r="B5521" s="267"/>
      <c r="C5521" s="267" t="s">
        <v>55</v>
      </c>
      <c r="D5521" s="3" t="s">
        <v>2828</v>
      </c>
      <c r="E5521" s="1497">
        <v>1500</v>
      </c>
      <c r="F5521" s="1497"/>
      <c r="G5521" s="267" t="s">
        <v>56</v>
      </c>
      <c r="H5521" s="3"/>
    </row>
    <row r="5522" spans="1:8">
      <c r="A5522" s="270">
        <v>43959</v>
      </c>
      <c r="B5522" s="267"/>
      <c r="C5522" s="267" t="s">
        <v>86</v>
      </c>
      <c r="D5522" s="3" t="s">
        <v>104</v>
      </c>
      <c r="E5522" s="1497">
        <v>10000</v>
      </c>
      <c r="F5522" s="1497"/>
      <c r="G5522" s="267" t="s">
        <v>56</v>
      </c>
      <c r="H5522" s="3"/>
    </row>
    <row r="5523" spans="1:8">
      <c r="A5523" s="270">
        <v>45420</v>
      </c>
      <c r="B5523" s="267"/>
      <c r="C5523" s="267" t="s">
        <v>92</v>
      </c>
      <c r="D5523" s="3" t="s">
        <v>1277</v>
      </c>
      <c r="E5523" s="1497"/>
      <c r="F5523" s="1497">
        <v>57880</v>
      </c>
      <c r="G5523" s="267" t="s">
        <v>56</v>
      </c>
      <c r="H5523" s="3"/>
    </row>
    <row r="5524" spans="1:8">
      <c r="A5524" s="270">
        <v>45420</v>
      </c>
      <c r="B5524" s="267"/>
      <c r="C5524" s="267" t="s">
        <v>537</v>
      </c>
      <c r="D5524" s="3" t="s">
        <v>208</v>
      </c>
      <c r="E5524" s="1497">
        <v>6000</v>
      </c>
      <c r="F5524" s="1497"/>
      <c r="G5524" s="267" t="s">
        <v>56</v>
      </c>
      <c r="H5524" s="3"/>
    </row>
    <row r="5525" spans="1:8">
      <c r="A5525" s="270">
        <v>45420</v>
      </c>
      <c r="B5525" s="267"/>
      <c r="C5525" s="267" t="s">
        <v>77</v>
      </c>
      <c r="D5525" s="3" t="s">
        <v>179</v>
      </c>
      <c r="E5525" s="1497"/>
      <c r="F5525" s="1497">
        <v>1540500.47</v>
      </c>
      <c r="G5525" s="267" t="s">
        <v>27</v>
      </c>
      <c r="H5525" s="3" t="s">
        <v>2922</v>
      </c>
    </row>
    <row r="5526" spans="1:8">
      <c r="A5526" s="270">
        <v>45421</v>
      </c>
      <c r="B5526" s="267"/>
      <c r="C5526" s="267" t="s">
        <v>55</v>
      </c>
      <c r="D5526" s="3" t="s">
        <v>261</v>
      </c>
      <c r="E5526" s="1497">
        <v>9000</v>
      </c>
      <c r="F5526" s="1497"/>
      <c r="G5526" s="267" t="s">
        <v>27</v>
      </c>
      <c r="H5526" s="3"/>
    </row>
    <row r="5527" spans="1:8">
      <c r="A5527" s="270">
        <v>45421</v>
      </c>
      <c r="B5527" s="267"/>
      <c r="C5527" s="267" t="s">
        <v>55</v>
      </c>
      <c r="D5527" s="3" t="s">
        <v>2924</v>
      </c>
      <c r="E5527" s="1497">
        <v>3500</v>
      </c>
      <c r="F5527" s="1497"/>
      <c r="G5527" s="267" t="s">
        <v>56</v>
      </c>
      <c r="H5527" s="3"/>
    </row>
    <row r="5528" spans="1:8">
      <c r="A5528" s="270">
        <v>45421</v>
      </c>
      <c r="B5528" s="267"/>
      <c r="C5528" s="267" t="s">
        <v>90</v>
      </c>
      <c r="D5528" s="3" t="s">
        <v>2923</v>
      </c>
      <c r="E5528" s="1497">
        <v>7000</v>
      </c>
      <c r="F5528" s="1497"/>
      <c r="G5528" s="267" t="s">
        <v>56</v>
      </c>
      <c r="H5528" s="3"/>
    </row>
    <row r="5529" spans="1:8">
      <c r="A5529" s="270">
        <v>45421</v>
      </c>
      <c r="B5529" s="267"/>
      <c r="C5529" s="267" t="s">
        <v>92</v>
      </c>
      <c r="D5529" s="3" t="s">
        <v>2130</v>
      </c>
      <c r="E5529" s="1497"/>
      <c r="F5529" s="1497">
        <v>73000</v>
      </c>
      <c r="G5529" s="267" t="s">
        <v>56</v>
      </c>
      <c r="H5529" s="3" t="s">
        <v>2925</v>
      </c>
    </row>
    <row r="5530" spans="1:8">
      <c r="A5530" s="270">
        <v>45421</v>
      </c>
      <c r="B5530" s="267"/>
      <c r="C5530" s="267" t="s">
        <v>29</v>
      </c>
      <c r="D5530" s="3" t="s">
        <v>11</v>
      </c>
      <c r="E5530" s="1497">
        <v>1100000</v>
      </c>
      <c r="F5530" s="1497"/>
      <c r="G5530" s="267" t="s">
        <v>27</v>
      </c>
      <c r="H5530" s="3"/>
    </row>
    <row r="5531" spans="1:8">
      <c r="A5531" s="270">
        <v>45421</v>
      </c>
      <c r="B5531" s="267"/>
      <c r="C5531" s="267" t="s">
        <v>92</v>
      </c>
      <c r="D5531" s="3" t="s">
        <v>2926</v>
      </c>
      <c r="E5531" s="1497"/>
      <c r="F5531" s="1497">
        <v>324300</v>
      </c>
      <c r="G5531" s="267" t="s">
        <v>56</v>
      </c>
      <c r="H5531" s="3"/>
    </row>
    <row r="5532" spans="1:8">
      <c r="A5532" s="270">
        <v>45421</v>
      </c>
      <c r="B5532" s="267"/>
      <c r="C5532" s="267" t="s">
        <v>537</v>
      </c>
      <c r="D5532" s="3" t="s">
        <v>208</v>
      </c>
      <c r="E5532" s="1497">
        <v>90000</v>
      </c>
      <c r="F5532" s="1497"/>
      <c r="G5532" s="267" t="s">
        <v>56</v>
      </c>
      <c r="H5532" s="3"/>
    </row>
    <row r="5533" spans="1:8">
      <c r="A5533" s="270">
        <v>45421</v>
      </c>
      <c r="B5533" s="267"/>
      <c r="C5533" s="267" t="s">
        <v>537</v>
      </c>
      <c r="D5533" s="3" t="s">
        <v>219</v>
      </c>
      <c r="E5533" s="1497">
        <v>114000</v>
      </c>
      <c r="F5533" s="1497"/>
      <c r="G5533" s="267" t="s">
        <v>56</v>
      </c>
      <c r="H5533" s="3"/>
    </row>
    <row r="5534" spans="1:8">
      <c r="A5534" s="270">
        <v>45421</v>
      </c>
      <c r="B5534" s="267"/>
      <c r="C5534" s="267" t="s">
        <v>537</v>
      </c>
      <c r="D5534" s="3" t="s">
        <v>193</v>
      </c>
      <c r="E5534" s="1497">
        <v>80000</v>
      </c>
      <c r="F5534" s="1497"/>
      <c r="G5534" s="267" t="s">
        <v>56</v>
      </c>
      <c r="H5534" s="3"/>
    </row>
    <row r="5535" spans="1:8">
      <c r="A5535" s="270">
        <v>45421</v>
      </c>
      <c r="B5535" s="267"/>
      <c r="C5535" s="267" t="s">
        <v>176</v>
      </c>
      <c r="D5535" s="15" t="s">
        <v>175</v>
      </c>
      <c r="E5535" s="1497">
        <v>24000</v>
      </c>
      <c r="F5535" s="1497"/>
      <c r="G5535" s="267" t="s">
        <v>27</v>
      </c>
      <c r="H5535" s="3"/>
    </row>
    <row r="5536" spans="1:8">
      <c r="A5536" s="226" t="s">
        <v>2934</v>
      </c>
      <c r="B5536" s="227"/>
      <c r="C5536" s="227"/>
      <c r="D5536" s="227"/>
      <c r="E5536" s="1503"/>
      <c r="F5536" s="1503"/>
      <c r="G5536" s="227"/>
      <c r="H5536" s="228"/>
    </row>
    <row r="5537" spans="1:8" ht="15.75" thickBot="1">
      <c r="A5537" s="267"/>
      <c r="B5537" s="267"/>
      <c r="C5537" s="267"/>
      <c r="D5537" s="3"/>
      <c r="E5537" s="1497"/>
      <c r="F5537" s="1497"/>
      <c r="G5537" s="267"/>
      <c r="H5537" s="3"/>
    </row>
    <row r="5538" spans="1:8" ht="15.75" thickBot="1">
      <c r="A5538" s="267"/>
      <c r="B5538" s="267"/>
      <c r="C5538" s="267"/>
      <c r="D5538" s="3"/>
      <c r="E5538" s="1497"/>
      <c r="F5538" s="1497"/>
      <c r="G5538" s="267"/>
      <c r="H5538" s="201">
        <v>45421</v>
      </c>
    </row>
    <row r="5539" spans="1:8">
      <c r="H5539" s="199" t="s">
        <v>2928</v>
      </c>
    </row>
    <row r="5540" spans="1:8">
      <c r="H5540" s="137" t="s">
        <v>2927</v>
      </c>
    </row>
    <row r="5541" spans="1:8">
      <c r="H5541" s="138" t="s">
        <v>2933</v>
      </c>
    </row>
    <row r="5542" spans="1:8">
      <c r="H5542" s="138" t="s">
        <v>2894</v>
      </c>
    </row>
    <row r="5543" spans="1:8">
      <c r="H5543" s="138" t="s">
        <v>2931</v>
      </c>
    </row>
    <row r="5544" spans="1:8">
      <c r="H5544" s="138" t="s">
        <v>2930</v>
      </c>
    </row>
    <row r="5545" spans="1:8">
      <c r="H5545" s="138" t="s">
        <v>2929</v>
      </c>
    </row>
    <row r="5546" spans="1:8" ht="15.75" thickBot="1">
      <c r="H5546" s="147" t="s">
        <v>2151</v>
      </c>
    </row>
    <row r="5547" spans="1:8" ht="15.75" thickBot="1">
      <c r="H5547" s="140" t="s">
        <v>2932</v>
      </c>
    </row>
    <row r="5548" spans="1:8">
      <c r="H5548" s="208"/>
    </row>
    <row r="5549" spans="1:8">
      <c r="A5549" s="270">
        <v>45425</v>
      </c>
      <c r="B5549" s="267"/>
      <c r="C5549" s="267" t="s">
        <v>2957</v>
      </c>
      <c r="D5549" s="3" t="s">
        <v>2956</v>
      </c>
      <c r="E5549" s="1497"/>
      <c r="F5549" s="1497">
        <v>338000</v>
      </c>
      <c r="G5549" s="267" t="s">
        <v>27</v>
      </c>
      <c r="H5549" s="214"/>
    </row>
    <row r="5550" spans="1:8">
      <c r="A5550" s="270">
        <v>45425</v>
      </c>
      <c r="B5550" s="267"/>
      <c r="C5550" s="267" t="s">
        <v>79</v>
      </c>
      <c r="D5550" s="3" t="s">
        <v>79</v>
      </c>
      <c r="E5550" s="1497">
        <v>538000</v>
      </c>
      <c r="F5550" s="1497"/>
      <c r="G5550" s="267" t="s">
        <v>56</v>
      </c>
      <c r="H5550" s="214"/>
    </row>
    <row r="5551" spans="1:8">
      <c r="A5551" s="270">
        <v>45425</v>
      </c>
      <c r="B5551" s="267"/>
      <c r="C5551" s="267" t="s">
        <v>537</v>
      </c>
      <c r="D5551" s="3" t="s">
        <v>144</v>
      </c>
      <c r="E5551" s="1497">
        <v>100000</v>
      </c>
      <c r="F5551" s="1497"/>
      <c r="G5551" s="267" t="s">
        <v>56</v>
      </c>
      <c r="H5551" s="3"/>
    </row>
    <row r="5552" spans="1:8">
      <c r="A5552" s="270">
        <v>45425</v>
      </c>
      <c r="B5552" s="267"/>
      <c r="C5552" s="267" t="s">
        <v>205</v>
      </c>
      <c r="D5552" s="3"/>
      <c r="E5552" s="1497">
        <v>38881</v>
      </c>
      <c r="F5552" s="1497"/>
      <c r="G5552" s="267"/>
      <c r="H5552" s="3"/>
    </row>
    <row r="5553" spans="1:8">
      <c r="A5553" s="270">
        <v>45425</v>
      </c>
      <c r="B5553" s="267"/>
      <c r="C5553" s="267" t="s">
        <v>55</v>
      </c>
      <c r="D5553" s="3" t="s">
        <v>514</v>
      </c>
      <c r="E5553" s="1497">
        <v>2000</v>
      </c>
      <c r="F5553" s="1497"/>
      <c r="G5553" s="267" t="s">
        <v>27</v>
      </c>
      <c r="H5553" s="3"/>
    </row>
    <row r="5554" spans="1:8">
      <c r="A5554" s="270">
        <v>45425</v>
      </c>
      <c r="B5554" s="267"/>
      <c r="C5554" s="267" t="s">
        <v>174</v>
      </c>
      <c r="D5554" s="3" t="s">
        <v>2935</v>
      </c>
      <c r="E5554" s="1497">
        <v>17069</v>
      </c>
      <c r="F5554" s="1497"/>
      <c r="G5554" s="267" t="s">
        <v>27</v>
      </c>
      <c r="H5554" s="3"/>
    </row>
    <row r="5555" spans="1:8">
      <c r="A5555" s="270">
        <v>45425</v>
      </c>
      <c r="B5555" s="267"/>
      <c r="C5555" s="267" t="s">
        <v>86</v>
      </c>
      <c r="D5555" s="3" t="s">
        <v>534</v>
      </c>
      <c r="E5555" s="1497">
        <v>15000</v>
      </c>
      <c r="F5555" s="1497"/>
      <c r="G5555" s="267" t="s">
        <v>27</v>
      </c>
      <c r="H5555" s="3"/>
    </row>
    <row r="5556" spans="1:8">
      <c r="A5556" s="270">
        <v>45425</v>
      </c>
      <c r="B5556" s="267"/>
      <c r="C5556" s="267" t="s">
        <v>79</v>
      </c>
      <c r="D5556" s="3" t="s">
        <v>79</v>
      </c>
      <c r="E5556" s="1497">
        <v>38800</v>
      </c>
      <c r="F5556" s="1497"/>
      <c r="G5556" s="267" t="s">
        <v>27</v>
      </c>
      <c r="H5556" s="3"/>
    </row>
    <row r="5557" spans="1:8">
      <c r="A5557" s="270">
        <v>45425</v>
      </c>
      <c r="B5557" s="267"/>
      <c r="C5557" s="267" t="s">
        <v>79</v>
      </c>
      <c r="D5557" s="3" t="s">
        <v>79</v>
      </c>
      <c r="E5557" s="1497">
        <v>44200</v>
      </c>
      <c r="F5557" s="1497"/>
      <c r="G5557" s="267" t="s">
        <v>27</v>
      </c>
      <c r="H5557" s="3"/>
    </row>
    <row r="5558" spans="1:8">
      <c r="A5558" s="270">
        <v>45425</v>
      </c>
      <c r="B5558" s="267"/>
      <c r="C5558" s="267" t="s">
        <v>205</v>
      </c>
      <c r="D5558" s="3" t="s">
        <v>2329</v>
      </c>
      <c r="E5558" s="1497">
        <v>200000</v>
      </c>
      <c r="F5558" s="1497"/>
      <c r="G5558" s="267" t="s">
        <v>27</v>
      </c>
      <c r="H5558" s="3"/>
    </row>
    <row r="5559" spans="1:8">
      <c r="A5559" s="270">
        <v>45425</v>
      </c>
      <c r="B5559" s="267"/>
      <c r="C5559" s="267" t="s">
        <v>55</v>
      </c>
      <c r="D5559" s="3" t="s">
        <v>261</v>
      </c>
      <c r="E5559" s="1497">
        <v>9000</v>
      </c>
      <c r="F5559" s="1497"/>
      <c r="G5559" s="267" t="s">
        <v>27</v>
      </c>
      <c r="H5559" s="3"/>
    </row>
    <row r="5560" spans="1:8">
      <c r="A5560" s="270">
        <v>45425</v>
      </c>
      <c r="B5560" s="267"/>
      <c r="C5560" s="267" t="s">
        <v>55</v>
      </c>
      <c r="D5560" s="3" t="s">
        <v>261</v>
      </c>
      <c r="E5560" s="1497">
        <v>9000</v>
      </c>
      <c r="F5560" s="1497"/>
      <c r="G5560" s="267" t="s">
        <v>27</v>
      </c>
      <c r="H5560" s="3"/>
    </row>
    <row r="5561" spans="1:8">
      <c r="A5561" s="270">
        <v>45425</v>
      </c>
      <c r="B5561" s="267"/>
      <c r="C5561" s="267" t="s">
        <v>92</v>
      </c>
      <c r="D5561" s="3" t="s">
        <v>2223</v>
      </c>
      <c r="E5561" s="1497"/>
      <c r="F5561" s="1497">
        <v>18500</v>
      </c>
      <c r="G5561" s="267" t="s">
        <v>56</v>
      </c>
      <c r="H5561" s="3"/>
    </row>
    <row r="5562" spans="1:8">
      <c r="A5562" s="270">
        <v>45425</v>
      </c>
      <c r="B5562" s="267"/>
      <c r="C5562" s="267" t="s">
        <v>2937</v>
      </c>
      <c r="D5562" s="15" t="s">
        <v>2936</v>
      </c>
      <c r="E5562" s="1497">
        <v>254916.94</v>
      </c>
      <c r="F5562" s="1497"/>
      <c r="G5562" s="267" t="s">
        <v>27</v>
      </c>
      <c r="H5562" s="3"/>
    </row>
    <row r="5563" spans="1:8">
      <c r="A5563" s="270">
        <v>45426</v>
      </c>
      <c r="B5563" s="267"/>
      <c r="C5563" s="267" t="s">
        <v>79</v>
      </c>
      <c r="D5563" s="3" t="s">
        <v>2938</v>
      </c>
      <c r="E5563" s="1497">
        <v>56218.3</v>
      </c>
      <c r="F5563" s="1497"/>
      <c r="G5563" s="267" t="s">
        <v>27</v>
      </c>
      <c r="H5563" s="3"/>
    </row>
    <row r="5564" spans="1:8">
      <c r="A5564" s="270">
        <v>45426</v>
      </c>
      <c r="B5564" s="267"/>
      <c r="C5564" s="267" t="s">
        <v>79</v>
      </c>
      <c r="D5564" s="3" t="s">
        <v>2939</v>
      </c>
      <c r="E5564" s="1497">
        <v>2000</v>
      </c>
      <c r="F5564" s="1497"/>
      <c r="G5564" s="267" t="s">
        <v>56</v>
      </c>
      <c r="H5564" s="3"/>
    </row>
    <row r="5565" spans="1:8">
      <c r="A5565" s="270">
        <v>45426</v>
      </c>
      <c r="B5565" s="267"/>
      <c r="C5565" s="267" t="s">
        <v>79</v>
      </c>
      <c r="D5565" s="3" t="s">
        <v>633</v>
      </c>
      <c r="E5565" s="1497">
        <v>2000</v>
      </c>
      <c r="F5565" s="1497"/>
      <c r="G5565" s="267" t="s">
        <v>56</v>
      </c>
      <c r="H5565" s="3"/>
    </row>
    <row r="5566" spans="1:8">
      <c r="A5566" s="270">
        <v>45426</v>
      </c>
      <c r="B5566" s="267"/>
      <c r="C5566" s="267" t="s">
        <v>94</v>
      </c>
      <c r="D5566" s="3" t="s">
        <v>2940</v>
      </c>
      <c r="E5566" s="1497">
        <v>53679.96</v>
      </c>
      <c r="F5566" s="1497"/>
      <c r="G5566" s="267" t="s">
        <v>27</v>
      </c>
      <c r="H5566" s="3"/>
    </row>
    <row r="5567" spans="1:8">
      <c r="A5567" s="270">
        <v>45426</v>
      </c>
      <c r="B5567" s="267"/>
      <c r="C5567" s="267" t="s">
        <v>86</v>
      </c>
      <c r="D5567" s="3" t="s">
        <v>104</v>
      </c>
      <c r="E5567" s="1497">
        <v>10000</v>
      </c>
      <c r="F5567" s="1497"/>
      <c r="G5567" s="267" t="s">
        <v>56</v>
      </c>
      <c r="H5567" s="3"/>
    </row>
    <row r="5568" spans="1:8">
      <c r="A5568" s="13">
        <v>45426</v>
      </c>
      <c r="B5568" s="12"/>
      <c r="C5568" s="12" t="s">
        <v>205</v>
      </c>
      <c r="D5568" s="89" t="s">
        <v>1852</v>
      </c>
      <c r="E5568" s="12">
        <v>7500</v>
      </c>
      <c r="F5568" s="12"/>
      <c r="G5568" s="12" t="s">
        <v>56</v>
      </c>
      <c r="H5568" s="89" t="s">
        <v>2944</v>
      </c>
    </row>
    <row r="5569" spans="1:8">
      <c r="A5569" s="270">
        <v>45426</v>
      </c>
      <c r="B5569" s="267"/>
      <c r="C5569" s="267" t="s">
        <v>77</v>
      </c>
      <c r="D5569" s="3" t="s">
        <v>2941</v>
      </c>
      <c r="E5569" s="1497"/>
      <c r="F5569" s="1497">
        <v>1600000</v>
      </c>
      <c r="G5569" s="267" t="s">
        <v>72</v>
      </c>
      <c r="H5569" s="45" t="s">
        <v>2942</v>
      </c>
    </row>
    <row r="5570" spans="1:8">
      <c r="A5570" s="270">
        <v>45426</v>
      </c>
      <c r="B5570" s="267"/>
      <c r="C5570" s="267" t="s">
        <v>77</v>
      </c>
      <c r="D5570" s="3" t="s">
        <v>2941</v>
      </c>
      <c r="E5570" s="1497"/>
      <c r="F5570" s="1497">
        <v>1000000</v>
      </c>
      <c r="G5570" s="267" t="s">
        <v>72</v>
      </c>
      <c r="H5570" s="45" t="s">
        <v>2943</v>
      </c>
    </row>
    <row r="5571" spans="1:8">
      <c r="A5571" s="270">
        <v>45426</v>
      </c>
      <c r="B5571" s="267"/>
      <c r="C5571" s="267" t="s">
        <v>55</v>
      </c>
      <c r="D5571" s="3" t="s">
        <v>38</v>
      </c>
      <c r="E5571" s="1497">
        <v>6100</v>
      </c>
      <c r="F5571" s="1497"/>
      <c r="G5571" s="267" t="s">
        <v>56</v>
      </c>
      <c r="H5571" s="3" t="s">
        <v>2944</v>
      </c>
    </row>
    <row r="5572" spans="1:8">
      <c r="A5572" s="270">
        <v>45427</v>
      </c>
      <c r="B5572" s="267"/>
      <c r="C5572" s="267" t="s">
        <v>55</v>
      </c>
      <c r="D5572" s="3" t="s">
        <v>2946</v>
      </c>
      <c r="E5572" s="1497">
        <v>62000</v>
      </c>
      <c r="F5572" s="1497"/>
      <c r="G5572" s="267" t="s">
        <v>56</v>
      </c>
      <c r="H5572" s="3" t="s">
        <v>2945</v>
      </c>
    </row>
    <row r="5573" spans="1:8">
      <c r="A5573" s="270">
        <v>45427</v>
      </c>
      <c r="B5573" s="267"/>
      <c r="C5573" s="267" t="s">
        <v>205</v>
      </c>
      <c r="D5573" s="3" t="s">
        <v>190</v>
      </c>
      <c r="E5573" s="1497">
        <v>1000000</v>
      </c>
      <c r="F5573" s="1497"/>
      <c r="G5573" s="267" t="s">
        <v>72</v>
      </c>
      <c r="H5573" s="45" t="s">
        <v>2943</v>
      </c>
    </row>
    <row r="5574" spans="1:8">
      <c r="A5574" s="270">
        <v>45427</v>
      </c>
      <c r="B5574" s="267"/>
      <c r="C5574" s="267" t="s">
        <v>205</v>
      </c>
      <c r="D5574" s="3" t="s">
        <v>2948</v>
      </c>
      <c r="E5574" s="1497"/>
      <c r="F5574" s="1497">
        <v>284698.59000000003</v>
      </c>
      <c r="G5574" s="267" t="s">
        <v>72</v>
      </c>
      <c r="H5574" s="3" t="s">
        <v>2947</v>
      </c>
    </row>
    <row r="5575" spans="1:8">
      <c r="A5575" s="270">
        <v>45427</v>
      </c>
      <c r="B5575" s="267"/>
      <c r="C5575" s="267" t="s">
        <v>409</v>
      </c>
      <c r="D5575" s="3" t="s">
        <v>586</v>
      </c>
      <c r="E5575" s="1497"/>
      <c r="F5575" s="1497">
        <v>400000</v>
      </c>
      <c r="G5575" s="267" t="s">
        <v>72</v>
      </c>
      <c r="H5575" s="3" t="s">
        <v>2949</v>
      </c>
    </row>
    <row r="5576" spans="1:8">
      <c r="A5576" s="270">
        <v>45427</v>
      </c>
      <c r="B5576" s="267"/>
      <c r="C5576" s="267" t="s">
        <v>409</v>
      </c>
      <c r="D5576" s="3" t="s">
        <v>586</v>
      </c>
      <c r="E5576" s="1497"/>
      <c r="F5576" s="1497">
        <v>35000</v>
      </c>
      <c r="G5576" s="267" t="s">
        <v>56</v>
      </c>
      <c r="H5576" s="3"/>
    </row>
    <row r="5577" spans="1:8">
      <c r="A5577" s="270">
        <v>45427</v>
      </c>
      <c r="B5577" s="267"/>
      <c r="C5577" s="267" t="s">
        <v>537</v>
      </c>
      <c r="D5577" s="3" t="s">
        <v>2950</v>
      </c>
      <c r="E5577" s="1497">
        <v>50000</v>
      </c>
      <c r="F5577" s="1497"/>
      <c r="G5577" s="267" t="s">
        <v>56</v>
      </c>
      <c r="H5577" s="3"/>
    </row>
    <row r="5578" spans="1:8">
      <c r="A5578" s="270">
        <v>45427</v>
      </c>
      <c r="B5578" s="267"/>
      <c r="C5578" s="267" t="s">
        <v>55</v>
      </c>
      <c r="D5578" s="3" t="s">
        <v>38</v>
      </c>
      <c r="E5578" s="1497">
        <v>4000</v>
      </c>
      <c r="F5578" s="1497"/>
      <c r="G5578" s="267" t="s">
        <v>56</v>
      </c>
      <c r="H5578" s="3"/>
    </row>
    <row r="5579" spans="1:8">
      <c r="A5579" s="270">
        <v>45427</v>
      </c>
      <c r="B5579" s="267"/>
      <c r="C5579" s="267" t="s">
        <v>156</v>
      </c>
      <c r="D5579" s="3" t="s">
        <v>156</v>
      </c>
      <c r="E5579" s="1497">
        <v>39271.17</v>
      </c>
      <c r="F5579" s="1497"/>
      <c r="G5579" s="267" t="s">
        <v>27</v>
      </c>
      <c r="H5579" s="3"/>
    </row>
    <row r="5580" spans="1:8">
      <c r="A5580" s="270">
        <v>45428</v>
      </c>
      <c r="B5580" s="267"/>
      <c r="C5580" s="267" t="s">
        <v>77</v>
      </c>
      <c r="D5580" s="3" t="s">
        <v>1877</v>
      </c>
      <c r="E5580" s="1497"/>
      <c r="F5580" s="1497">
        <v>2710000</v>
      </c>
      <c r="G5580" s="267" t="s">
        <v>287</v>
      </c>
      <c r="H5580" s="3" t="s">
        <v>2951</v>
      </c>
    </row>
    <row r="5581" spans="1:8">
      <c r="A5581" s="270">
        <v>45428</v>
      </c>
      <c r="B5581" s="267"/>
      <c r="C5581" s="267" t="s">
        <v>205</v>
      </c>
      <c r="D5581" s="3" t="s">
        <v>48</v>
      </c>
      <c r="E5581" s="1497">
        <v>510000</v>
      </c>
      <c r="F5581" s="1497"/>
      <c r="G5581" s="267" t="s">
        <v>72</v>
      </c>
      <c r="H5581" s="3"/>
    </row>
    <row r="5582" spans="1:8">
      <c r="A5582" s="270">
        <v>45428</v>
      </c>
      <c r="B5582" s="267"/>
      <c r="C5582" s="267" t="s">
        <v>205</v>
      </c>
      <c r="D5582" s="3" t="s">
        <v>48</v>
      </c>
      <c r="E5582" s="1497">
        <v>1984698.59</v>
      </c>
      <c r="F5582" s="1497"/>
      <c r="G5582" s="267" t="s">
        <v>72</v>
      </c>
      <c r="H5582" s="3" t="s">
        <v>2952</v>
      </c>
    </row>
    <row r="5583" spans="1:8">
      <c r="A5583" s="270">
        <v>45428</v>
      </c>
      <c r="B5583" s="267"/>
      <c r="C5583" s="267" t="s">
        <v>55</v>
      </c>
      <c r="D5583" s="3" t="s">
        <v>70</v>
      </c>
      <c r="E5583" s="1497">
        <v>10590</v>
      </c>
      <c r="F5583" s="1497"/>
      <c r="G5583" s="267" t="s">
        <v>56</v>
      </c>
      <c r="H5583" s="3"/>
    </row>
    <row r="5584" spans="1:8">
      <c r="A5584" s="270">
        <v>45428</v>
      </c>
      <c r="B5584" s="267"/>
      <c r="C5584" s="267" t="s">
        <v>90</v>
      </c>
      <c r="D5584" s="3" t="s">
        <v>2954</v>
      </c>
      <c r="E5584" s="1497">
        <v>8000</v>
      </c>
      <c r="F5584" s="1497"/>
      <c r="G5584" s="267" t="s">
        <v>56</v>
      </c>
      <c r="H5584" s="3"/>
    </row>
    <row r="5585" spans="1:8">
      <c r="A5585" s="270">
        <v>45428</v>
      </c>
      <c r="B5585" s="267"/>
      <c r="C5585" s="267" t="s">
        <v>92</v>
      </c>
      <c r="D5585" s="3" t="s">
        <v>2953</v>
      </c>
      <c r="E5585" s="1497"/>
      <c r="F5585" s="1497">
        <v>60000</v>
      </c>
      <c r="G5585" s="267" t="s">
        <v>56</v>
      </c>
      <c r="H5585" s="3"/>
    </row>
    <row r="5586" spans="1:8">
      <c r="A5586" s="270">
        <v>45428</v>
      </c>
      <c r="B5586" s="267"/>
      <c r="C5586" s="267" t="s">
        <v>205</v>
      </c>
      <c r="D5586" s="15" t="s">
        <v>354</v>
      </c>
      <c r="E5586" s="1497">
        <v>1710000</v>
      </c>
      <c r="F5586" s="1497"/>
      <c r="G5586" s="267" t="s">
        <v>287</v>
      </c>
      <c r="H5586" s="3" t="s">
        <v>2955</v>
      </c>
    </row>
    <row r="5587" spans="1:8">
      <c r="A5587" s="270">
        <v>45428</v>
      </c>
      <c r="B5587" s="267"/>
      <c r="C5587" s="267" t="s">
        <v>205</v>
      </c>
      <c r="D5587" s="15" t="s">
        <v>354</v>
      </c>
      <c r="E5587" s="1497">
        <v>61335</v>
      </c>
      <c r="F5587" s="1497"/>
      <c r="G5587" s="267" t="s">
        <v>287</v>
      </c>
      <c r="H5587" s="135">
        <v>45440</v>
      </c>
    </row>
    <row r="5588" spans="1:8">
      <c r="A5588" s="270">
        <v>45428</v>
      </c>
      <c r="B5588" s="267"/>
      <c r="C5588" s="267" t="s">
        <v>77</v>
      </c>
      <c r="D5588" s="3" t="s">
        <v>2959</v>
      </c>
      <c r="E5588" s="1497"/>
      <c r="F5588" s="1497">
        <v>200000</v>
      </c>
      <c r="G5588" s="267" t="s">
        <v>56</v>
      </c>
      <c r="H5588" s="3" t="s">
        <v>2960</v>
      </c>
    </row>
    <row r="5589" spans="1:8">
      <c r="A5589" s="270">
        <v>45428</v>
      </c>
      <c r="B5589" s="267"/>
      <c r="C5589" s="267" t="s">
        <v>79</v>
      </c>
      <c r="D5589" s="3" t="s">
        <v>79</v>
      </c>
      <c r="E5589" s="1497">
        <v>80000</v>
      </c>
      <c r="F5589" s="1497"/>
      <c r="G5589" s="267" t="s">
        <v>56</v>
      </c>
      <c r="H5589" s="3"/>
    </row>
    <row r="5590" spans="1:8">
      <c r="A5590" s="222">
        <v>45429</v>
      </c>
      <c r="B5590" s="184"/>
      <c r="C5590" s="268" t="s">
        <v>55</v>
      </c>
      <c r="D5590" s="223" t="s">
        <v>2961</v>
      </c>
      <c r="E5590" s="184">
        <v>300000</v>
      </c>
      <c r="F5590" s="184"/>
      <c r="G5590" s="184" t="s">
        <v>27</v>
      </c>
      <c r="H5590" s="83"/>
    </row>
    <row r="5591" spans="1:8">
      <c r="A5591" s="270">
        <v>45429</v>
      </c>
      <c r="B5591" s="267"/>
      <c r="C5591" s="267" t="s">
        <v>55</v>
      </c>
      <c r="D5591" s="3" t="s">
        <v>2962</v>
      </c>
      <c r="E5591" s="1497">
        <v>6000</v>
      </c>
      <c r="F5591" s="1497"/>
      <c r="G5591" s="267" t="s">
        <v>27</v>
      </c>
      <c r="H5591" s="3"/>
    </row>
    <row r="5592" spans="1:8">
      <c r="A5592" s="270">
        <v>45429</v>
      </c>
      <c r="B5592" s="267"/>
      <c r="C5592" s="267" t="s">
        <v>86</v>
      </c>
      <c r="D5592" s="3" t="s">
        <v>107</v>
      </c>
      <c r="E5592" s="1497">
        <v>15000</v>
      </c>
      <c r="F5592" s="1497"/>
      <c r="G5592" s="267" t="s">
        <v>27</v>
      </c>
      <c r="H5592" s="3"/>
    </row>
    <row r="5593" spans="1:8">
      <c r="A5593" s="270">
        <v>45429</v>
      </c>
      <c r="B5593" s="267"/>
      <c r="C5593" s="267" t="s">
        <v>77</v>
      </c>
      <c r="D5593" s="3" t="s">
        <v>2963</v>
      </c>
      <c r="E5593" s="1497"/>
      <c r="F5593" s="1497">
        <v>124800</v>
      </c>
      <c r="G5593" s="267" t="s">
        <v>72</v>
      </c>
      <c r="H5593" s="3" t="s">
        <v>2964</v>
      </c>
    </row>
    <row r="5594" spans="1:8">
      <c r="A5594" s="270">
        <v>45429</v>
      </c>
      <c r="B5594" s="267"/>
      <c r="C5594" s="267" t="s">
        <v>537</v>
      </c>
      <c r="D5594" s="3" t="s">
        <v>193</v>
      </c>
      <c r="E5594" s="1497">
        <v>80000</v>
      </c>
      <c r="F5594" s="1497"/>
      <c r="G5594" s="267" t="s">
        <v>56</v>
      </c>
      <c r="H5594" s="3"/>
    </row>
    <row r="5595" spans="1:8">
      <c r="A5595" s="270">
        <v>45429</v>
      </c>
      <c r="B5595" s="267"/>
      <c r="C5595" s="267" t="s">
        <v>537</v>
      </c>
      <c r="D5595" s="3" t="s">
        <v>144</v>
      </c>
      <c r="E5595" s="1497">
        <v>25000</v>
      </c>
      <c r="F5595" s="1497"/>
      <c r="G5595" s="267" t="s">
        <v>27</v>
      </c>
      <c r="H5595" s="3"/>
    </row>
    <row r="5596" spans="1:8">
      <c r="A5596" s="270">
        <v>45429</v>
      </c>
      <c r="B5596" s="267"/>
      <c r="C5596" s="267" t="s">
        <v>537</v>
      </c>
      <c r="D5596" s="3" t="s">
        <v>144</v>
      </c>
      <c r="E5596" s="1497">
        <v>45000</v>
      </c>
      <c r="F5596" s="1497"/>
      <c r="G5596" s="267" t="s">
        <v>56</v>
      </c>
      <c r="H5596" s="3"/>
    </row>
    <row r="5597" spans="1:8">
      <c r="A5597" s="270">
        <v>45429</v>
      </c>
      <c r="B5597" s="267"/>
      <c r="C5597" s="267" t="s">
        <v>537</v>
      </c>
      <c r="D5597" s="3" t="s">
        <v>144</v>
      </c>
      <c r="E5597" s="1497">
        <v>100000</v>
      </c>
      <c r="F5597" s="1497"/>
      <c r="G5597" s="267" t="s">
        <v>56</v>
      </c>
      <c r="H5597" s="3"/>
    </row>
    <row r="5598" spans="1:8">
      <c r="A5598" s="270">
        <v>45429</v>
      </c>
      <c r="B5598" s="267"/>
      <c r="C5598" s="267" t="s">
        <v>537</v>
      </c>
      <c r="D5598" s="3" t="s">
        <v>2950</v>
      </c>
      <c r="E5598" s="1497">
        <v>46000</v>
      </c>
      <c r="F5598" s="1497"/>
      <c r="G5598" s="267" t="s">
        <v>56</v>
      </c>
      <c r="H5598" s="3"/>
    </row>
    <row r="5599" spans="1:8">
      <c r="A5599" s="270">
        <v>45429</v>
      </c>
      <c r="B5599" s="267"/>
      <c r="C5599" s="267" t="s">
        <v>537</v>
      </c>
      <c r="D5599" s="3" t="s">
        <v>219</v>
      </c>
      <c r="E5599" s="1497">
        <v>114000</v>
      </c>
      <c r="F5599" s="1497"/>
      <c r="G5599" s="267" t="s">
        <v>56</v>
      </c>
      <c r="H5599" s="3"/>
    </row>
    <row r="5600" spans="1:8">
      <c r="A5600" s="270">
        <v>45429</v>
      </c>
      <c r="B5600" s="267"/>
      <c r="C5600" s="267" t="s">
        <v>205</v>
      </c>
      <c r="D5600" s="3" t="s">
        <v>40</v>
      </c>
      <c r="E5600" s="1497">
        <v>20000</v>
      </c>
      <c r="F5600" s="1497"/>
      <c r="G5600" s="267" t="s">
        <v>56</v>
      </c>
      <c r="H5600" s="3"/>
    </row>
    <row r="5601" spans="1:8">
      <c r="A5601" s="270">
        <v>45429</v>
      </c>
      <c r="B5601" s="267"/>
      <c r="C5601" s="267" t="s">
        <v>79</v>
      </c>
      <c r="D5601" s="3" t="s">
        <v>79</v>
      </c>
      <c r="E5601" s="1497">
        <v>80000</v>
      </c>
      <c r="F5601" s="1497"/>
      <c r="G5601" s="267" t="s">
        <v>56</v>
      </c>
      <c r="H5601" s="3"/>
    </row>
    <row r="5602" spans="1:8">
      <c r="A5602" s="270">
        <v>45429</v>
      </c>
      <c r="B5602" s="267"/>
      <c r="C5602" s="267" t="s">
        <v>79</v>
      </c>
      <c r="D5602" s="3" t="s">
        <v>79</v>
      </c>
      <c r="E5602" s="1497">
        <v>20000</v>
      </c>
      <c r="F5602" s="1497"/>
      <c r="G5602" s="267" t="s">
        <v>56</v>
      </c>
      <c r="H5602" s="3"/>
    </row>
    <row r="5603" spans="1:8" ht="15.75" thickBot="1">
      <c r="A5603" s="270">
        <v>45429</v>
      </c>
      <c r="B5603" s="267"/>
      <c r="C5603" s="267" t="s">
        <v>92</v>
      </c>
      <c r="D5603" s="3" t="s">
        <v>2965</v>
      </c>
      <c r="E5603" s="1497"/>
      <c r="F5603" s="1497">
        <v>290000</v>
      </c>
      <c r="G5603" s="267" t="s">
        <v>56</v>
      </c>
      <c r="H5603" s="3"/>
    </row>
    <row r="5604" spans="1:8" ht="15.75" thickBot="1">
      <c r="A5604" s="267"/>
      <c r="B5604" s="267"/>
      <c r="C5604" s="267"/>
      <c r="D5604" s="3"/>
      <c r="E5604" s="1497"/>
      <c r="F5604" s="1497"/>
      <c r="G5604" s="267"/>
      <c r="H5604" s="201">
        <v>45429</v>
      </c>
    </row>
    <row r="5605" spans="1:8">
      <c r="A5605" s="267"/>
      <c r="B5605" s="267"/>
      <c r="C5605" s="267"/>
      <c r="D5605" s="3"/>
      <c r="E5605" s="1497"/>
      <c r="F5605" s="1497"/>
      <c r="G5605" s="267"/>
      <c r="H5605" s="199" t="s">
        <v>2928</v>
      </c>
    </row>
    <row r="5606" spans="1:8">
      <c r="A5606" s="267"/>
      <c r="B5606" s="267"/>
      <c r="C5606" s="267"/>
      <c r="D5606" s="3"/>
      <c r="E5606" s="1497"/>
      <c r="F5606" s="1497"/>
      <c r="G5606" s="267"/>
      <c r="H5606" s="137" t="s">
        <v>2927</v>
      </c>
    </row>
    <row r="5607" spans="1:8">
      <c r="A5607" s="267"/>
      <c r="B5607" s="267"/>
      <c r="C5607" s="267"/>
      <c r="D5607" s="3"/>
      <c r="E5607" s="1497"/>
      <c r="F5607" s="1497"/>
      <c r="G5607" s="267"/>
      <c r="H5607" s="138" t="s">
        <v>2933</v>
      </c>
    </row>
    <row r="5608" spans="1:8">
      <c r="A5608" s="267"/>
      <c r="B5608" s="267"/>
      <c r="C5608" s="267"/>
      <c r="D5608" s="3"/>
      <c r="E5608" s="1497"/>
      <c r="F5608" s="1497"/>
      <c r="G5608" s="267"/>
      <c r="H5608" s="138" t="s">
        <v>2894</v>
      </c>
    </row>
    <row r="5609" spans="1:8">
      <c r="A5609" s="267"/>
      <c r="B5609" s="267"/>
      <c r="C5609" s="267"/>
      <c r="D5609" s="3"/>
      <c r="E5609" s="1497"/>
      <c r="F5609" s="1497"/>
      <c r="G5609" s="267"/>
      <c r="H5609" s="138" t="s">
        <v>2931</v>
      </c>
    </row>
    <row r="5610" spans="1:8">
      <c r="A5610" s="267"/>
      <c r="B5610" s="267"/>
      <c r="C5610" s="267"/>
      <c r="D5610" s="3"/>
      <c r="E5610" s="1497"/>
      <c r="F5610" s="1497"/>
      <c r="G5610" s="267"/>
      <c r="H5610" s="138" t="s">
        <v>2930</v>
      </c>
    </row>
    <row r="5611" spans="1:8">
      <c r="A5611" s="267"/>
      <c r="B5611" s="267"/>
      <c r="C5611" s="267"/>
      <c r="D5611" s="3"/>
      <c r="E5611" s="1497"/>
      <c r="F5611" s="1497"/>
      <c r="G5611" s="267"/>
      <c r="H5611" s="138" t="s">
        <v>2929</v>
      </c>
    </row>
    <row r="5612" spans="1:8" ht="15.75" thickBot="1">
      <c r="A5612" s="267"/>
      <c r="B5612" s="267"/>
      <c r="C5612" s="267"/>
      <c r="D5612" s="3"/>
      <c r="E5612" s="1497"/>
      <c r="F5612" s="1497"/>
      <c r="G5612" s="267"/>
      <c r="H5612" s="147" t="s">
        <v>2151</v>
      </c>
    </row>
    <row r="5613" spans="1:8" ht="15.75" thickBot="1">
      <c r="A5613" s="57"/>
      <c r="B5613" s="57"/>
      <c r="C5613" s="57"/>
      <c r="D5613" s="85"/>
      <c r="E5613" s="57"/>
      <c r="F5613" s="57"/>
      <c r="G5613" s="57"/>
      <c r="H5613" s="140" t="s">
        <v>2932</v>
      </c>
    </row>
    <row r="5614" spans="1:8" ht="15.75" thickBot="1">
      <c r="A5614" s="239"/>
      <c r="B5614" s="240"/>
      <c r="C5614" s="240"/>
      <c r="D5614" s="225"/>
      <c r="E5614" s="1490"/>
      <c r="F5614" s="1490"/>
      <c r="G5614" s="240"/>
      <c r="H5614" s="224"/>
    </row>
    <row r="5615" spans="1:8">
      <c r="A5615" s="77">
        <v>45432</v>
      </c>
      <c r="B5615" s="62"/>
      <c r="C5615" s="62" t="s">
        <v>79</v>
      </c>
      <c r="D5615" s="5" t="s">
        <v>79</v>
      </c>
      <c r="E5615" s="62">
        <v>40000</v>
      </c>
      <c r="F5615" s="62"/>
      <c r="G5615" s="62" t="s">
        <v>27</v>
      </c>
      <c r="H5615" s="5"/>
    </row>
    <row r="5616" spans="1:8">
      <c r="A5616" s="270">
        <v>45432</v>
      </c>
      <c r="B5616" s="267"/>
      <c r="C5616" s="267" t="s">
        <v>79</v>
      </c>
      <c r="D5616" s="3" t="s">
        <v>79</v>
      </c>
      <c r="E5616" s="1497">
        <v>100000</v>
      </c>
      <c r="F5616" s="1497"/>
      <c r="G5616" s="267" t="s">
        <v>27</v>
      </c>
      <c r="H5616" s="3"/>
    </row>
    <row r="5617" spans="1:8">
      <c r="A5617" s="270">
        <v>45432</v>
      </c>
      <c r="B5617" s="267"/>
      <c r="C5617" s="267" t="s">
        <v>79</v>
      </c>
      <c r="D5617" s="3" t="s">
        <v>79</v>
      </c>
      <c r="E5617" s="1497">
        <v>25500</v>
      </c>
      <c r="F5617" s="1497"/>
      <c r="G5617" s="267" t="s">
        <v>27</v>
      </c>
      <c r="H5617" s="3"/>
    </row>
    <row r="5618" spans="1:8">
      <c r="A5618" s="270">
        <v>45432</v>
      </c>
      <c r="B5618" s="267"/>
      <c r="C5618" s="267" t="s">
        <v>86</v>
      </c>
      <c r="D5618" s="3" t="s">
        <v>107</v>
      </c>
      <c r="E5618" s="1497">
        <v>15000</v>
      </c>
      <c r="F5618" s="1497"/>
      <c r="G5618" s="267" t="s">
        <v>27</v>
      </c>
      <c r="H5618" s="3"/>
    </row>
    <row r="5619" spans="1:8">
      <c r="A5619" s="270">
        <v>45432</v>
      </c>
      <c r="B5619" s="267"/>
      <c r="C5619" s="267" t="s">
        <v>77</v>
      </c>
      <c r="D5619" s="3" t="s">
        <v>441</v>
      </c>
      <c r="E5619" s="1497">
        <v>1887447.68</v>
      </c>
      <c r="F5619" s="1497"/>
      <c r="G5619" s="267" t="s">
        <v>27</v>
      </c>
      <c r="H5619" s="3"/>
    </row>
    <row r="5620" spans="1:8">
      <c r="A5620" s="270">
        <v>45432</v>
      </c>
      <c r="B5620" s="267"/>
      <c r="C5620" s="267" t="s">
        <v>205</v>
      </c>
      <c r="D5620" s="3" t="s">
        <v>48</v>
      </c>
      <c r="E5620" s="1497">
        <v>124800</v>
      </c>
      <c r="F5620" s="1497"/>
      <c r="G5620" s="267" t="s">
        <v>72</v>
      </c>
      <c r="H5620" s="3"/>
    </row>
    <row r="5621" spans="1:8">
      <c r="A5621" s="270">
        <v>45432</v>
      </c>
      <c r="B5621" s="267"/>
      <c r="C5621" s="267" t="s">
        <v>92</v>
      </c>
      <c r="D5621" s="3" t="s">
        <v>2966</v>
      </c>
      <c r="E5621" s="1497"/>
      <c r="F5621" s="1497">
        <v>400000</v>
      </c>
      <c r="G5621" s="267" t="s">
        <v>56</v>
      </c>
      <c r="H5621" s="3"/>
    </row>
    <row r="5622" spans="1:8">
      <c r="A5622" s="270">
        <v>45432</v>
      </c>
      <c r="B5622" s="267"/>
      <c r="C5622" s="267" t="s">
        <v>77</v>
      </c>
      <c r="D5622" s="3" t="s">
        <v>2967</v>
      </c>
      <c r="E5622" s="1497"/>
      <c r="F5622" s="1497">
        <v>329000</v>
      </c>
      <c r="G5622" s="267" t="s">
        <v>27</v>
      </c>
      <c r="H5622" s="3"/>
    </row>
    <row r="5623" spans="1:8">
      <c r="A5623" s="270">
        <v>45432</v>
      </c>
      <c r="B5623" s="267"/>
      <c r="C5623" s="267" t="s">
        <v>92</v>
      </c>
      <c r="D5623" s="3" t="s">
        <v>904</v>
      </c>
      <c r="E5623" s="1497"/>
      <c r="F5623" s="1497">
        <v>140000</v>
      </c>
      <c r="G5623" s="267" t="s">
        <v>56</v>
      </c>
      <c r="H5623" s="3"/>
    </row>
    <row r="5624" spans="1:8">
      <c r="A5624" s="270">
        <v>45432</v>
      </c>
      <c r="B5624" s="267"/>
      <c r="C5624" s="267" t="s">
        <v>160</v>
      </c>
      <c r="D5624" s="3" t="s">
        <v>1499</v>
      </c>
      <c r="E5624" s="1497"/>
      <c r="F5624" s="1497">
        <v>70800</v>
      </c>
      <c r="G5624" s="267" t="s">
        <v>27</v>
      </c>
      <c r="H5624" s="3"/>
    </row>
    <row r="5625" spans="1:8">
      <c r="A5625" s="270">
        <v>45433</v>
      </c>
      <c r="B5625" s="267"/>
      <c r="C5625" s="267" t="s">
        <v>2969</v>
      </c>
      <c r="D5625" s="3" t="s">
        <v>2968</v>
      </c>
      <c r="E5625" s="1497">
        <v>14013</v>
      </c>
      <c r="F5625" s="1497"/>
      <c r="G5625" s="267" t="s">
        <v>27</v>
      </c>
      <c r="H5625" s="3"/>
    </row>
    <row r="5626" spans="1:8">
      <c r="A5626" s="270">
        <v>45433</v>
      </c>
      <c r="B5626" s="267"/>
      <c r="C5626" s="267" t="s">
        <v>55</v>
      </c>
      <c r="D5626" s="3" t="s">
        <v>38</v>
      </c>
      <c r="E5626" s="1497">
        <v>2500</v>
      </c>
      <c r="F5626" s="1497"/>
      <c r="G5626" s="267" t="s">
        <v>56</v>
      </c>
      <c r="H5626" s="3"/>
    </row>
    <row r="5627" spans="1:8">
      <c r="A5627" s="270">
        <v>45433</v>
      </c>
      <c r="B5627" s="267"/>
      <c r="C5627" s="267" t="s">
        <v>92</v>
      </c>
      <c r="D5627" s="3" t="s">
        <v>2971</v>
      </c>
      <c r="E5627" s="1497"/>
      <c r="F5627" s="1497">
        <v>30000</v>
      </c>
      <c r="G5627" s="267" t="s">
        <v>27</v>
      </c>
      <c r="H5627" s="45" t="s">
        <v>2970</v>
      </c>
    </row>
    <row r="5628" spans="1:8">
      <c r="A5628" s="270">
        <v>45433</v>
      </c>
      <c r="B5628" s="267"/>
      <c r="C5628" s="267" t="s">
        <v>90</v>
      </c>
      <c r="D5628" s="3" t="s">
        <v>2972</v>
      </c>
      <c r="E5628" s="1497">
        <v>7000</v>
      </c>
      <c r="F5628" s="1497"/>
      <c r="G5628" s="267" t="s">
        <v>56</v>
      </c>
      <c r="H5628" s="3"/>
    </row>
    <row r="5629" spans="1:8">
      <c r="A5629" s="270">
        <v>45433</v>
      </c>
      <c r="B5629" s="267"/>
      <c r="C5629" s="267" t="s">
        <v>205</v>
      </c>
      <c r="D5629" s="3" t="s">
        <v>48</v>
      </c>
      <c r="E5629" s="1497">
        <v>210000</v>
      </c>
      <c r="F5629" s="1497"/>
      <c r="G5629" s="267" t="s">
        <v>27</v>
      </c>
      <c r="H5629" s="3"/>
    </row>
    <row r="5630" spans="1:8">
      <c r="A5630" s="270">
        <v>45433</v>
      </c>
      <c r="B5630" s="267"/>
      <c r="C5630" s="267" t="s">
        <v>205</v>
      </c>
      <c r="D5630" s="3" t="s">
        <v>2973</v>
      </c>
      <c r="E5630" s="1497">
        <v>236800</v>
      </c>
      <c r="F5630" s="1497"/>
      <c r="G5630" s="267" t="s">
        <v>27</v>
      </c>
      <c r="H5630" s="3"/>
    </row>
    <row r="5631" spans="1:8">
      <c r="A5631" s="270">
        <v>45433</v>
      </c>
      <c r="B5631" s="267"/>
      <c r="C5631" s="267" t="s">
        <v>79</v>
      </c>
      <c r="D5631" s="15" t="s">
        <v>166</v>
      </c>
      <c r="E5631" s="1497">
        <v>296000</v>
      </c>
      <c r="F5631" s="1497"/>
      <c r="G5631" s="267" t="s">
        <v>27</v>
      </c>
      <c r="H5631" s="3"/>
    </row>
    <row r="5632" spans="1:8">
      <c r="A5632" s="270">
        <v>45434</v>
      </c>
      <c r="B5632" s="267"/>
      <c r="C5632" s="267" t="s">
        <v>79</v>
      </c>
      <c r="D5632" s="3"/>
      <c r="E5632" s="1497">
        <v>10500</v>
      </c>
      <c r="F5632" s="1497"/>
      <c r="G5632" s="267" t="s">
        <v>27</v>
      </c>
      <c r="H5632" s="3"/>
    </row>
    <row r="5633" spans="1:8">
      <c r="A5633" s="270">
        <v>45434</v>
      </c>
      <c r="B5633" s="267"/>
      <c r="C5633" s="267" t="s">
        <v>79</v>
      </c>
      <c r="D5633" s="3" t="s">
        <v>2375</v>
      </c>
      <c r="E5633" s="1497">
        <v>18210</v>
      </c>
      <c r="F5633" s="1497"/>
      <c r="G5633" s="267" t="s">
        <v>27</v>
      </c>
      <c r="H5633" s="3"/>
    </row>
    <row r="5634" spans="1:8">
      <c r="A5634" s="270">
        <v>45434</v>
      </c>
      <c r="B5634" s="267"/>
      <c r="C5634" s="267" t="s">
        <v>79</v>
      </c>
      <c r="D5634" s="3" t="s">
        <v>2375</v>
      </c>
      <c r="E5634" s="1497">
        <v>12153</v>
      </c>
      <c r="F5634" s="1497"/>
      <c r="G5634" s="267" t="s">
        <v>27</v>
      </c>
      <c r="H5634" s="3"/>
    </row>
    <row r="5635" spans="1:8">
      <c r="A5635" s="270">
        <v>45434</v>
      </c>
      <c r="B5635" s="267"/>
      <c r="C5635" s="267" t="s">
        <v>77</v>
      </c>
      <c r="D5635" s="3" t="s">
        <v>2975</v>
      </c>
      <c r="E5635" s="1497"/>
      <c r="F5635" s="1497">
        <v>1800000</v>
      </c>
      <c r="G5635" s="267" t="s">
        <v>72</v>
      </c>
      <c r="H5635" s="45" t="s">
        <v>2974</v>
      </c>
    </row>
    <row r="5636" spans="1:8">
      <c r="A5636" s="270">
        <v>45434</v>
      </c>
      <c r="B5636" s="267"/>
      <c r="C5636" s="267" t="s">
        <v>77</v>
      </c>
      <c r="D5636" s="3" t="s">
        <v>2975</v>
      </c>
      <c r="E5636" s="1497"/>
      <c r="F5636" s="1497">
        <v>26000</v>
      </c>
      <c r="G5636" s="267" t="s">
        <v>56</v>
      </c>
      <c r="H5636" s="3"/>
    </row>
    <row r="5637" spans="1:8">
      <c r="A5637" s="270">
        <v>45434</v>
      </c>
      <c r="B5637" s="267"/>
      <c r="C5637" s="267" t="s">
        <v>160</v>
      </c>
      <c r="D5637" s="3" t="s">
        <v>2976</v>
      </c>
      <c r="E5637" s="1497"/>
      <c r="F5637" s="1497">
        <v>45500</v>
      </c>
      <c r="G5637" s="267" t="s">
        <v>27</v>
      </c>
      <c r="H5637" s="45" t="s">
        <v>2977</v>
      </c>
    </row>
    <row r="5638" spans="1:8">
      <c r="A5638" s="270">
        <v>45434</v>
      </c>
      <c r="B5638" s="267"/>
      <c r="C5638" s="267" t="s">
        <v>86</v>
      </c>
      <c r="D5638" s="3" t="s">
        <v>107</v>
      </c>
      <c r="E5638" s="1497">
        <v>15000</v>
      </c>
      <c r="F5638" s="1497"/>
      <c r="G5638" s="267" t="s">
        <v>27</v>
      </c>
      <c r="H5638" s="3"/>
    </row>
    <row r="5639" spans="1:8">
      <c r="A5639" s="270">
        <v>45434</v>
      </c>
      <c r="B5639" s="267"/>
      <c r="C5639" s="267" t="s">
        <v>90</v>
      </c>
      <c r="D5639" s="3" t="s">
        <v>2978</v>
      </c>
      <c r="E5639" s="1497">
        <v>12000</v>
      </c>
      <c r="F5639" s="1497"/>
      <c r="G5639" s="267" t="s">
        <v>56</v>
      </c>
      <c r="H5639" s="3"/>
    </row>
    <row r="5640" spans="1:8">
      <c r="A5640" s="270">
        <v>45434</v>
      </c>
      <c r="B5640" s="267"/>
      <c r="C5640" s="267" t="s">
        <v>205</v>
      </c>
      <c r="D5640" s="3" t="s">
        <v>48</v>
      </c>
      <c r="E5640" s="1497">
        <v>240000</v>
      </c>
      <c r="F5640" s="1497"/>
      <c r="G5640" s="267" t="s">
        <v>27</v>
      </c>
      <c r="H5640" s="3"/>
    </row>
    <row r="5641" spans="1:8">
      <c r="A5641" s="270">
        <v>45434</v>
      </c>
      <c r="B5641" s="267"/>
      <c r="C5641" s="267" t="s">
        <v>205</v>
      </c>
      <c r="D5641" s="3" t="s">
        <v>48</v>
      </c>
      <c r="E5641" s="1497">
        <v>200000</v>
      </c>
      <c r="F5641" s="1497"/>
      <c r="G5641" s="267" t="s">
        <v>287</v>
      </c>
      <c r="H5641" s="45" t="s">
        <v>2979</v>
      </c>
    </row>
    <row r="5642" spans="1:8">
      <c r="A5642" s="270">
        <v>45434</v>
      </c>
      <c r="B5642" s="267"/>
      <c r="C5642" s="267" t="s">
        <v>79</v>
      </c>
      <c r="D5642" s="3" t="s">
        <v>736</v>
      </c>
      <c r="E5642" s="1497">
        <v>38979.699999999997</v>
      </c>
      <c r="F5642" s="1497"/>
      <c r="G5642" s="267" t="s">
        <v>27</v>
      </c>
      <c r="H5642" s="3"/>
    </row>
    <row r="5643" spans="1:8">
      <c r="A5643" s="270">
        <v>45434</v>
      </c>
      <c r="B5643" s="267"/>
      <c r="C5643" s="267" t="s">
        <v>79</v>
      </c>
      <c r="D5643" s="3" t="s">
        <v>737</v>
      </c>
      <c r="E5643" s="1497">
        <v>7795.64</v>
      </c>
      <c r="F5643" s="1497"/>
      <c r="G5643" s="267" t="s">
        <v>27</v>
      </c>
      <c r="H5643" s="3"/>
    </row>
    <row r="5644" spans="1:8">
      <c r="A5644" s="270">
        <v>45434</v>
      </c>
      <c r="B5644" s="267"/>
      <c r="C5644" s="267" t="s">
        <v>79</v>
      </c>
      <c r="D5644" s="3" t="s">
        <v>737</v>
      </c>
      <c r="E5644" s="1497">
        <v>8575.2199999999993</v>
      </c>
      <c r="F5644" s="1497"/>
      <c r="G5644" s="267" t="s">
        <v>27</v>
      </c>
      <c r="H5644" s="3"/>
    </row>
    <row r="5645" spans="1:8">
      <c r="A5645" s="270">
        <v>45435</v>
      </c>
      <c r="B5645" s="267"/>
      <c r="C5645" s="267" t="s">
        <v>92</v>
      </c>
      <c r="D5645" s="15" t="s">
        <v>2980</v>
      </c>
      <c r="E5645" s="1497"/>
      <c r="F5645" s="1497">
        <v>36200</v>
      </c>
      <c r="G5645" s="267" t="s">
        <v>27</v>
      </c>
      <c r="H5645" s="3"/>
    </row>
    <row r="5646" spans="1:8">
      <c r="A5646" s="270">
        <v>45435</v>
      </c>
      <c r="B5646" s="267"/>
      <c r="C5646" s="267" t="s">
        <v>205</v>
      </c>
      <c r="D5646" s="3" t="s">
        <v>48</v>
      </c>
      <c r="E5646" s="1497">
        <v>14970</v>
      </c>
      <c r="F5646" s="1497"/>
      <c r="G5646" s="267" t="s">
        <v>27</v>
      </c>
      <c r="H5646" s="3"/>
    </row>
    <row r="5647" spans="1:8">
      <c r="A5647" s="270">
        <v>45435</v>
      </c>
      <c r="B5647" s="267"/>
      <c r="C5647" s="267" t="s">
        <v>90</v>
      </c>
      <c r="D5647" s="3" t="s">
        <v>1951</v>
      </c>
      <c r="E5647" s="1497">
        <v>7000</v>
      </c>
      <c r="F5647" s="1497"/>
      <c r="G5647" s="267" t="s">
        <v>27</v>
      </c>
      <c r="H5647" s="3"/>
    </row>
    <row r="5648" spans="1:8">
      <c r="A5648" s="270">
        <v>45435</v>
      </c>
      <c r="B5648" s="267"/>
      <c r="C5648" s="267" t="s">
        <v>79</v>
      </c>
      <c r="D5648" s="3" t="s">
        <v>2711</v>
      </c>
      <c r="E5648" s="1497">
        <v>126415</v>
      </c>
      <c r="F5648" s="1497"/>
      <c r="G5648" s="267" t="s">
        <v>27</v>
      </c>
      <c r="H5648" s="3"/>
    </row>
    <row r="5649" spans="1:8">
      <c r="A5649" s="270">
        <v>45435</v>
      </c>
      <c r="B5649" s="267"/>
      <c r="C5649" s="267" t="s">
        <v>90</v>
      </c>
      <c r="D5649" s="3" t="s">
        <v>2982</v>
      </c>
      <c r="E5649" s="1497">
        <v>49000</v>
      </c>
      <c r="F5649" s="1497"/>
      <c r="G5649" s="267" t="s">
        <v>27</v>
      </c>
      <c r="H5649" s="3"/>
    </row>
    <row r="5650" spans="1:8">
      <c r="A5650" s="270">
        <v>45435</v>
      </c>
      <c r="B5650" s="267"/>
      <c r="C5650" s="267" t="s">
        <v>79</v>
      </c>
      <c r="D5650" s="3" t="s">
        <v>2981</v>
      </c>
      <c r="E5650" s="1497">
        <v>6728</v>
      </c>
      <c r="F5650" s="1497"/>
      <c r="G5650" s="267" t="s">
        <v>27</v>
      </c>
      <c r="H5650" s="3"/>
    </row>
    <row r="5651" spans="1:8">
      <c r="A5651" s="270">
        <v>45435</v>
      </c>
      <c r="B5651" s="267"/>
      <c r="C5651" s="267" t="s">
        <v>92</v>
      </c>
      <c r="D5651" s="3" t="s">
        <v>1751</v>
      </c>
      <c r="E5651" s="1497"/>
      <c r="F5651" s="1497">
        <v>33510</v>
      </c>
      <c r="G5651" s="267" t="s">
        <v>27</v>
      </c>
      <c r="H5651" s="3"/>
    </row>
    <row r="5652" spans="1:8">
      <c r="A5652" s="272">
        <v>45435</v>
      </c>
      <c r="B5652" s="267"/>
      <c r="C5652" s="267" t="s">
        <v>79</v>
      </c>
      <c r="D5652" s="3" t="s">
        <v>79</v>
      </c>
      <c r="E5652" s="1497">
        <v>400000</v>
      </c>
      <c r="F5652" s="1497"/>
      <c r="G5652" s="267" t="s">
        <v>27</v>
      </c>
      <c r="H5652" s="3"/>
    </row>
    <row r="5653" spans="1:8">
      <c r="A5653" s="272">
        <v>45435</v>
      </c>
      <c r="B5653" s="271"/>
      <c r="C5653" s="271" t="s">
        <v>79</v>
      </c>
      <c r="D5653" s="3" t="s">
        <v>79</v>
      </c>
      <c r="E5653" s="1497">
        <v>400000</v>
      </c>
      <c r="F5653" s="1497"/>
      <c r="G5653" s="271" t="s">
        <v>56</v>
      </c>
      <c r="H5653" s="3"/>
    </row>
    <row r="5654" spans="1:8">
      <c r="A5654" s="272">
        <v>45435</v>
      </c>
      <c r="B5654" s="271"/>
      <c r="C5654" s="271" t="s">
        <v>90</v>
      </c>
      <c r="D5654" s="3" t="s">
        <v>2984</v>
      </c>
      <c r="E5654" s="1497">
        <v>15750</v>
      </c>
      <c r="F5654" s="1497"/>
      <c r="G5654" s="271" t="s">
        <v>56</v>
      </c>
      <c r="H5654" s="3"/>
    </row>
    <row r="5655" spans="1:8">
      <c r="A5655" s="272">
        <v>45435</v>
      </c>
      <c r="B5655" s="271"/>
      <c r="C5655" s="271" t="s">
        <v>537</v>
      </c>
      <c r="D5655" s="15" t="s">
        <v>219</v>
      </c>
      <c r="E5655" s="1497">
        <v>131100</v>
      </c>
      <c r="F5655" s="1497"/>
      <c r="G5655" s="271" t="s">
        <v>56</v>
      </c>
      <c r="H5655" s="3"/>
    </row>
    <row r="5656" spans="1:8">
      <c r="A5656" s="272">
        <v>45435</v>
      </c>
      <c r="B5656" s="271"/>
      <c r="C5656" s="271" t="s">
        <v>537</v>
      </c>
      <c r="D5656" s="15" t="s">
        <v>208</v>
      </c>
      <c r="E5656" s="1497">
        <v>96000</v>
      </c>
      <c r="F5656" s="1497"/>
      <c r="G5656" s="271" t="s">
        <v>56</v>
      </c>
      <c r="H5656" s="3"/>
    </row>
    <row r="5657" spans="1:8">
      <c r="A5657" s="272">
        <v>45435</v>
      </c>
      <c r="B5657" s="271"/>
      <c r="C5657" s="271" t="s">
        <v>537</v>
      </c>
      <c r="D5657" s="3" t="s">
        <v>144</v>
      </c>
      <c r="E5657" s="1497">
        <v>10000</v>
      </c>
      <c r="F5657" s="1497"/>
      <c r="G5657" s="271" t="s">
        <v>56</v>
      </c>
      <c r="H5657" s="3"/>
    </row>
    <row r="5658" spans="1:8">
      <c r="A5658" s="283">
        <v>45435</v>
      </c>
      <c r="B5658" s="282"/>
      <c r="C5658" s="282" t="s">
        <v>537</v>
      </c>
      <c r="D5658" s="3" t="s">
        <v>144</v>
      </c>
      <c r="E5658" s="1497">
        <v>70000</v>
      </c>
      <c r="F5658" s="1497"/>
      <c r="G5658" s="282" t="s">
        <v>56</v>
      </c>
      <c r="H5658" s="3"/>
    </row>
    <row r="5659" spans="1:8">
      <c r="A5659" s="283">
        <v>45435</v>
      </c>
      <c r="B5659" s="282"/>
      <c r="C5659" s="282" t="s">
        <v>537</v>
      </c>
      <c r="D5659" s="3" t="s">
        <v>193</v>
      </c>
      <c r="E5659" s="1497">
        <v>80000</v>
      </c>
      <c r="F5659" s="1497"/>
      <c r="G5659" s="282" t="s">
        <v>56</v>
      </c>
      <c r="H5659" s="3"/>
    </row>
    <row r="5660" spans="1:8">
      <c r="A5660" s="283">
        <v>45436</v>
      </c>
      <c r="B5660" s="282"/>
      <c r="C5660" s="282" t="s">
        <v>86</v>
      </c>
      <c r="D5660" s="3" t="s">
        <v>3002</v>
      </c>
      <c r="E5660" s="1497">
        <v>15000</v>
      </c>
      <c r="F5660" s="1497"/>
      <c r="G5660" s="282" t="s">
        <v>56</v>
      </c>
      <c r="H5660" s="3"/>
    </row>
    <row r="5661" spans="1:8" ht="15.75" thickBot="1">
      <c r="A5661" s="62"/>
      <c r="B5661" s="62"/>
      <c r="C5661" s="62"/>
      <c r="D5661" s="5"/>
      <c r="E5661" s="62"/>
      <c r="F5661" s="62"/>
      <c r="G5661" s="144"/>
      <c r="H5661" s="209">
        <v>45437</v>
      </c>
    </row>
    <row r="5662" spans="1:8">
      <c r="H5662" s="199" t="s">
        <v>2928</v>
      </c>
    </row>
    <row r="5663" spans="1:8">
      <c r="H5663" s="137" t="s">
        <v>2990</v>
      </c>
    </row>
    <row r="5664" spans="1:8">
      <c r="H5664" s="138" t="s">
        <v>2987</v>
      </c>
    </row>
    <row r="5665" spans="1:8">
      <c r="H5665" s="138" t="s">
        <v>2991</v>
      </c>
    </row>
    <row r="5666" spans="1:8">
      <c r="H5666" s="138" t="s">
        <v>2931</v>
      </c>
    </row>
    <row r="5667" spans="1:8">
      <c r="H5667" s="138" t="s">
        <v>2985</v>
      </c>
    </row>
    <row r="5668" spans="1:8">
      <c r="H5668" s="138" t="s">
        <v>2988</v>
      </c>
    </row>
    <row r="5669" spans="1:8">
      <c r="H5669" s="139" t="s">
        <v>2151</v>
      </c>
    </row>
    <row r="5670" spans="1:8" ht="15.75" thickBot="1">
      <c r="H5670" s="147" t="s">
        <v>2989</v>
      </c>
    </row>
    <row r="5671" spans="1:8">
      <c r="A5671" s="275">
        <v>45439</v>
      </c>
      <c r="B5671" s="274"/>
      <c r="C5671" s="274" t="s">
        <v>433</v>
      </c>
      <c r="D5671" s="3" t="s">
        <v>2986</v>
      </c>
      <c r="E5671" s="1497">
        <v>500000</v>
      </c>
      <c r="F5671" s="1497"/>
      <c r="G5671" s="274" t="s">
        <v>27</v>
      </c>
      <c r="H5671" s="3"/>
    </row>
    <row r="5672" spans="1:8">
      <c r="A5672" s="275">
        <v>45439</v>
      </c>
      <c r="B5672" s="274"/>
      <c r="C5672" s="274" t="s">
        <v>79</v>
      </c>
      <c r="D5672" s="3" t="s">
        <v>918</v>
      </c>
      <c r="E5672" s="1497">
        <v>118603.03</v>
      </c>
      <c r="F5672" s="1497"/>
      <c r="G5672" s="274" t="s">
        <v>27</v>
      </c>
      <c r="H5672" s="3"/>
    </row>
    <row r="5673" spans="1:8">
      <c r="A5673" s="275">
        <v>45439</v>
      </c>
      <c r="B5673" s="274"/>
      <c r="C5673" s="274" t="s">
        <v>79</v>
      </c>
      <c r="D5673" s="3" t="s">
        <v>2992</v>
      </c>
      <c r="E5673" s="1497">
        <v>468675.84000000003</v>
      </c>
      <c r="F5673" s="1497"/>
      <c r="G5673" s="274" t="s">
        <v>27</v>
      </c>
      <c r="H5673" s="3"/>
    </row>
    <row r="5674" spans="1:8">
      <c r="A5674" s="275">
        <v>45439</v>
      </c>
      <c r="B5674" s="274"/>
      <c r="C5674" s="278" t="s">
        <v>55</v>
      </c>
      <c r="D5674" s="3" t="s">
        <v>2993</v>
      </c>
      <c r="E5674" s="1497">
        <v>10000</v>
      </c>
      <c r="F5674" s="1497"/>
      <c r="G5674" s="274" t="s">
        <v>56</v>
      </c>
      <c r="H5674" s="3"/>
    </row>
    <row r="5675" spans="1:8">
      <c r="A5675" s="275">
        <v>45439</v>
      </c>
      <c r="B5675" s="274"/>
      <c r="C5675" s="274" t="s">
        <v>205</v>
      </c>
      <c r="D5675" s="3" t="s">
        <v>2995</v>
      </c>
      <c r="E5675" s="1497">
        <v>22107.439999999999</v>
      </c>
      <c r="F5675" s="1497"/>
      <c r="G5675" s="274" t="s">
        <v>27</v>
      </c>
      <c r="H5675" s="3"/>
    </row>
    <row r="5676" spans="1:8">
      <c r="A5676" s="275">
        <v>45439</v>
      </c>
      <c r="B5676" s="274"/>
      <c r="C5676" s="274" t="s">
        <v>205</v>
      </c>
      <c r="D5676" s="15" t="s">
        <v>43</v>
      </c>
      <c r="E5676" s="1497">
        <v>166343.96</v>
      </c>
      <c r="F5676" s="1497"/>
      <c r="G5676" s="274" t="s">
        <v>27</v>
      </c>
      <c r="H5676" s="3"/>
    </row>
    <row r="5677" spans="1:8">
      <c r="A5677" s="277">
        <v>45439</v>
      </c>
      <c r="B5677" s="274"/>
      <c r="C5677" s="274" t="s">
        <v>92</v>
      </c>
      <c r="D5677" s="3" t="s">
        <v>582</v>
      </c>
      <c r="E5677" s="1497"/>
      <c r="F5677" s="1497">
        <v>984200</v>
      </c>
      <c r="G5677" s="274" t="s">
        <v>27</v>
      </c>
      <c r="H5677" s="3"/>
    </row>
    <row r="5678" spans="1:8">
      <c r="A5678" s="277">
        <v>45439</v>
      </c>
      <c r="B5678" s="274"/>
      <c r="C5678" s="276" t="s">
        <v>92</v>
      </c>
      <c r="D5678" s="3" t="s">
        <v>2994</v>
      </c>
      <c r="E5678" s="1497">
        <v>156860.41</v>
      </c>
      <c r="F5678" s="1497"/>
      <c r="G5678" s="276" t="s">
        <v>27</v>
      </c>
      <c r="H5678" s="3"/>
    </row>
    <row r="5679" spans="1:8">
      <c r="A5679" s="277">
        <v>45440</v>
      </c>
      <c r="B5679" s="276"/>
      <c r="C5679" s="276" t="s">
        <v>205</v>
      </c>
      <c r="D5679" s="3" t="s">
        <v>2996</v>
      </c>
      <c r="E5679" s="1497">
        <v>200000</v>
      </c>
      <c r="F5679" s="1497"/>
      <c r="G5679" s="276" t="s">
        <v>27</v>
      </c>
      <c r="H5679" s="3"/>
    </row>
    <row r="5680" spans="1:8">
      <c r="A5680" s="277">
        <v>45440</v>
      </c>
      <c r="B5680" s="276"/>
      <c r="C5680" s="276" t="s">
        <v>205</v>
      </c>
      <c r="D5680" s="3" t="s">
        <v>1344</v>
      </c>
      <c r="E5680" s="1497">
        <v>34480</v>
      </c>
      <c r="F5680" s="1497"/>
      <c r="G5680" s="276" t="s">
        <v>27</v>
      </c>
      <c r="H5680" s="45" t="s">
        <v>618</v>
      </c>
    </row>
    <row r="5681" spans="1:8">
      <c r="A5681" s="277">
        <v>45440</v>
      </c>
      <c r="B5681" s="276"/>
      <c r="C5681" s="276" t="s">
        <v>176</v>
      </c>
      <c r="D5681" s="3" t="s">
        <v>175</v>
      </c>
      <c r="E5681" s="1497">
        <v>120000</v>
      </c>
      <c r="F5681" s="1497"/>
      <c r="G5681" s="276" t="s">
        <v>56</v>
      </c>
      <c r="H5681" s="3"/>
    </row>
    <row r="5682" spans="1:8">
      <c r="A5682" s="279">
        <v>45441</v>
      </c>
      <c r="B5682" s="276"/>
      <c r="C5682" s="276" t="s">
        <v>77</v>
      </c>
      <c r="D5682" s="3" t="s">
        <v>179</v>
      </c>
      <c r="E5682" s="1497"/>
      <c r="F5682" s="1497">
        <v>1635942.18</v>
      </c>
      <c r="G5682" s="276" t="s">
        <v>27</v>
      </c>
      <c r="H5682" s="3"/>
    </row>
    <row r="5683" spans="1:8">
      <c r="A5683" s="279">
        <v>45441</v>
      </c>
      <c r="B5683" s="276"/>
      <c r="C5683" s="276" t="s">
        <v>55</v>
      </c>
      <c r="D5683" s="71" t="s">
        <v>2997</v>
      </c>
      <c r="E5683" s="1497">
        <v>7980</v>
      </c>
      <c r="F5683" s="1497"/>
      <c r="G5683" s="276" t="s">
        <v>56</v>
      </c>
      <c r="H5683" s="3"/>
    </row>
    <row r="5684" spans="1:8">
      <c r="A5684" s="279">
        <v>45441</v>
      </c>
      <c r="B5684" s="276"/>
      <c r="C5684" s="276" t="s">
        <v>205</v>
      </c>
      <c r="D5684" s="3" t="s">
        <v>354</v>
      </c>
      <c r="E5684" s="1497">
        <v>61335</v>
      </c>
      <c r="F5684" s="1497"/>
      <c r="G5684" s="276" t="s">
        <v>27</v>
      </c>
      <c r="H5684" s="3"/>
    </row>
    <row r="5685" spans="1:8">
      <c r="A5685" s="279">
        <v>45441</v>
      </c>
      <c r="B5685" s="278"/>
      <c r="C5685" s="278" t="s">
        <v>205</v>
      </c>
      <c r="D5685" s="3" t="s">
        <v>11</v>
      </c>
      <c r="E5685" s="1497">
        <v>1000000</v>
      </c>
      <c r="F5685" s="1497"/>
      <c r="G5685" s="278" t="s">
        <v>287</v>
      </c>
      <c r="H5685" s="3"/>
    </row>
    <row r="5686" spans="1:8">
      <c r="A5686" s="279">
        <v>45441</v>
      </c>
      <c r="B5686" s="278"/>
      <c r="C5686" s="278" t="s">
        <v>205</v>
      </c>
      <c r="D5686" s="3" t="s">
        <v>11</v>
      </c>
      <c r="E5686" s="1497">
        <v>50000</v>
      </c>
      <c r="F5686" s="1497"/>
      <c r="G5686" s="278" t="s">
        <v>27</v>
      </c>
      <c r="H5686" s="3"/>
    </row>
    <row r="5687" spans="1:8">
      <c r="A5687" s="279">
        <v>45441</v>
      </c>
      <c r="B5687" s="278"/>
      <c r="C5687" s="278" t="s">
        <v>55</v>
      </c>
      <c r="D5687" s="3" t="s">
        <v>2998</v>
      </c>
      <c r="E5687" s="1497">
        <v>4600</v>
      </c>
      <c r="F5687" s="1497"/>
      <c r="G5687" s="278" t="s">
        <v>27</v>
      </c>
      <c r="H5687" s="45" t="s">
        <v>1837</v>
      </c>
    </row>
    <row r="5688" spans="1:8">
      <c r="A5688" s="279">
        <v>45441</v>
      </c>
      <c r="B5688" s="278"/>
      <c r="C5688" s="278" t="s">
        <v>160</v>
      </c>
      <c r="D5688" s="3" t="s">
        <v>699</v>
      </c>
      <c r="E5688" s="1497"/>
      <c r="F5688" s="1497">
        <v>22100</v>
      </c>
      <c r="G5688" s="278" t="s">
        <v>56</v>
      </c>
      <c r="H5688" s="3" t="s">
        <v>2999</v>
      </c>
    </row>
    <row r="5689" spans="1:8">
      <c r="A5689" s="281">
        <v>45442</v>
      </c>
      <c r="B5689" s="278"/>
      <c r="C5689" s="278" t="s">
        <v>150</v>
      </c>
      <c r="D5689" s="3" t="s">
        <v>650</v>
      </c>
      <c r="E5689" s="1497">
        <v>17395</v>
      </c>
      <c r="F5689" s="1497"/>
      <c r="G5689" s="278" t="s">
        <v>27</v>
      </c>
      <c r="H5689" s="3"/>
    </row>
    <row r="5690" spans="1:8">
      <c r="A5690" s="281">
        <v>45442</v>
      </c>
      <c r="B5690" s="278"/>
      <c r="C5690" s="278" t="s">
        <v>150</v>
      </c>
      <c r="D5690" s="3" t="s">
        <v>3000</v>
      </c>
      <c r="E5690" s="1497">
        <v>3652.95</v>
      </c>
      <c r="F5690" s="1497"/>
      <c r="G5690" s="278" t="s">
        <v>27</v>
      </c>
      <c r="H5690" s="3"/>
    </row>
    <row r="5691" spans="1:8">
      <c r="A5691" s="281">
        <v>45442</v>
      </c>
      <c r="B5691" s="280"/>
      <c r="C5691" s="70" t="s">
        <v>176</v>
      </c>
      <c r="D5691" s="113" t="s">
        <v>175</v>
      </c>
      <c r="E5691" s="70">
        <v>195000</v>
      </c>
      <c r="F5691" s="1497"/>
      <c r="G5691" s="70" t="s">
        <v>27</v>
      </c>
      <c r="H5691" s="1544">
        <v>331800</v>
      </c>
    </row>
    <row r="5692" spans="1:8">
      <c r="A5692" s="281">
        <v>45442</v>
      </c>
      <c r="B5692" s="280"/>
      <c r="C5692" s="70" t="s">
        <v>176</v>
      </c>
      <c r="D5692" s="113" t="s">
        <v>175</v>
      </c>
      <c r="E5692" s="70">
        <v>16799.96</v>
      </c>
      <c r="F5692" s="1497"/>
      <c r="G5692" s="70" t="s">
        <v>27</v>
      </c>
      <c r="H5692" s="1545"/>
    </row>
    <row r="5693" spans="1:8">
      <c r="A5693" s="281">
        <v>45442</v>
      </c>
      <c r="B5693" s="280"/>
      <c r="C5693" s="70" t="s">
        <v>176</v>
      </c>
      <c r="D5693" s="113" t="s">
        <v>175</v>
      </c>
      <c r="E5693" s="70">
        <v>120000</v>
      </c>
      <c r="F5693" s="1497"/>
      <c r="G5693" s="70" t="s">
        <v>27</v>
      </c>
      <c r="H5693" s="1546"/>
    </row>
    <row r="5694" spans="1:8">
      <c r="A5694" s="283">
        <v>45442</v>
      </c>
      <c r="B5694" s="280"/>
      <c r="C5694" s="280" t="s">
        <v>55</v>
      </c>
      <c r="D5694" s="3" t="s">
        <v>1074</v>
      </c>
      <c r="E5694" s="1497"/>
      <c r="F5694" s="1497">
        <v>760800</v>
      </c>
      <c r="G5694" s="280" t="s">
        <v>72</v>
      </c>
      <c r="H5694" s="3" t="s">
        <v>3001</v>
      </c>
    </row>
    <row r="5695" spans="1:8">
      <c r="A5695" s="285">
        <v>45443</v>
      </c>
      <c r="B5695" s="280"/>
      <c r="C5695" s="280" t="s">
        <v>77</v>
      </c>
      <c r="D5695" s="3" t="s">
        <v>3003</v>
      </c>
      <c r="E5695" s="1497"/>
      <c r="F5695" s="1497">
        <v>275000</v>
      </c>
      <c r="G5695" s="280" t="s">
        <v>27</v>
      </c>
      <c r="H5695" s="3" t="s">
        <v>3004</v>
      </c>
    </row>
    <row r="5696" spans="1:8">
      <c r="A5696" s="285">
        <v>45443</v>
      </c>
      <c r="B5696" s="282"/>
      <c r="C5696" s="282" t="s">
        <v>205</v>
      </c>
      <c r="D5696" s="3" t="s">
        <v>71</v>
      </c>
      <c r="E5696" s="1497">
        <v>474000</v>
      </c>
      <c r="F5696" s="1497"/>
      <c r="G5696" s="282" t="s">
        <v>287</v>
      </c>
      <c r="H5696" s="3" t="s">
        <v>3005</v>
      </c>
    </row>
    <row r="5697" spans="1:8">
      <c r="A5697" s="285">
        <v>45443</v>
      </c>
      <c r="B5697" s="282"/>
      <c r="C5697" s="284" t="s">
        <v>730</v>
      </c>
      <c r="D5697" s="3" t="s">
        <v>3006</v>
      </c>
      <c r="E5697" s="1497">
        <v>180000</v>
      </c>
      <c r="F5697" s="1497"/>
      <c r="G5697" s="282" t="s">
        <v>314</v>
      </c>
      <c r="H5697" s="3" t="s">
        <v>3007</v>
      </c>
    </row>
    <row r="5698" spans="1:8">
      <c r="A5698" s="285">
        <v>45443</v>
      </c>
      <c r="B5698" s="282"/>
      <c r="C5698" s="282" t="s">
        <v>86</v>
      </c>
      <c r="D5698" s="3" t="s">
        <v>104</v>
      </c>
      <c r="E5698" s="1497">
        <v>10000</v>
      </c>
      <c r="F5698" s="1497"/>
      <c r="G5698" s="282" t="s">
        <v>2175</v>
      </c>
      <c r="H5698" s="3"/>
    </row>
    <row r="5699" spans="1:8">
      <c r="A5699" s="285">
        <v>45443</v>
      </c>
      <c r="B5699" s="282"/>
      <c r="C5699" s="282" t="s">
        <v>77</v>
      </c>
      <c r="D5699" s="3" t="s">
        <v>3008</v>
      </c>
      <c r="E5699" s="1497"/>
      <c r="F5699" s="1497">
        <v>277000</v>
      </c>
      <c r="G5699" s="282" t="s">
        <v>56</v>
      </c>
      <c r="H5699" s="3"/>
    </row>
    <row r="5700" spans="1:8">
      <c r="A5700" s="285">
        <v>45443</v>
      </c>
      <c r="B5700" s="284"/>
      <c r="C5700" s="284" t="s">
        <v>537</v>
      </c>
      <c r="D5700" s="3" t="s">
        <v>208</v>
      </c>
      <c r="E5700" s="1497">
        <v>96000</v>
      </c>
      <c r="F5700" s="1497"/>
      <c r="G5700" s="284" t="s">
        <v>56</v>
      </c>
      <c r="H5700" s="3"/>
    </row>
    <row r="5701" spans="1:8">
      <c r="A5701" s="285">
        <v>45443</v>
      </c>
      <c r="B5701" s="284"/>
      <c r="C5701" s="284" t="s">
        <v>537</v>
      </c>
      <c r="D5701" s="15" t="s">
        <v>219</v>
      </c>
      <c r="E5701" s="1497">
        <v>114000</v>
      </c>
      <c r="F5701" s="1497"/>
      <c r="G5701" s="284" t="s">
        <v>56</v>
      </c>
      <c r="H5701" s="3"/>
    </row>
    <row r="5702" spans="1:8">
      <c r="A5702" s="285">
        <v>45443</v>
      </c>
      <c r="B5702" s="284"/>
      <c r="C5702" s="284" t="s">
        <v>730</v>
      </c>
      <c r="D5702" s="3" t="s">
        <v>9</v>
      </c>
      <c r="E5702" s="1497">
        <v>70000</v>
      </c>
      <c r="F5702" s="1497"/>
      <c r="G5702" s="284" t="s">
        <v>27</v>
      </c>
      <c r="H5702" s="3"/>
    </row>
    <row r="5703" spans="1:8">
      <c r="A5703" s="285">
        <v>45443</v>
      </c>
      <c r="B5703" s="284"/>
      <c r="C5703" s="284" t="s">
        <v>537</v>
      </c>
      <c r="D5703" s="3" t="s">
        <v>144</v>
      </c>
      <c r="E5703" s="1497">
        <v>116000</v>
      </c>
      <c r="F5703" s="1497"/>
      <c r="G5703" s="284" t="s">
        <v>27</v>
      </c>
      <c r="H5703" s="3"/>
    </row>
    <row r="5704" spans="1:8">
      <c r="A5704" s="285">
        <v>45443</v>
      </c>
      <c r="B5704" s="284"/>
      <c r="C5704" s="284" t="s">
        <v>537</v>
      </c>
      <c r="D5704" s="3" t="s">
        <v>144</v>
      </c>
      <c r="E5704" s="1497">
        <v>54000</v>
      </c>
      <c r="F5704" s="1497"/>
      <c r="G5704" s="284" t="s">
        <v>56</v>
      </c>
      <c r="H5704" s="3"/>
    </row>
    <row r="5705" spans="1:8">
      <c r="A5705" s="285">
        <v>45443</v>
      </c>
      <c r="B5705" s="284"/>
      <c r="C5705" s="284"/>
      <c r="D5705" s="15" t="s">
        <v>238</v>
      </c>
      <c r="E5705" s="1497">
        <v>5390</v>
      </c>
      <c r="F5705" s="1497"/>
      <c r="G5705" s="284" t="s">
        <v>56</v>
      </c>
      <c r="H5705" s="3" t="s">
        <v>2765</v>
      </c>
    </row>
    <row r="5706" spans="1:8" ht="15.75" thickBot="1">
      <c r="H5706" s="209">
        <v>45443</v>
      </c>
    </row>
    <row r="5707" spans="1:8">
      <c r="H5707" s="199" t="s">
        <v>2928</v>
      </c>
    </row>
    <row r="5708" spans="1:8">
      <c r="H5708" s="137" t="s">
        <v>3011</v>
      </c>
    </row>
    <row r="5709" spans="1:8">
      <c r="H5709" s="138" t="s">
        <v>3013</v>
      </c>
    </row>
    <row r="5710" spans="1:8">
      <c r="H5710" s="138" t="s">
        <v>3010</v>
      </c>
    </row>
    <row r="5711" spans="1:8">
      <c r="H5711" s="138" t="s">
        <v>2931</v>
      </c>
    </row>
    <row r="5712" spans="1:8">
      <c r="H5712" s="138" t="s">
        <v>3009</v>
      </c>
    </row>
    <row r="5713" spans="1:8">
      <c r="H5713" s="138" t="s">
        <v>1215</v>
      </c>
    </row>
    <row r="5714" spans="1:8">
      <c r="H5714" s="138" t="s">
        <v>3012</v>
      </c>
    </row>
    <row r="5715" spans="1:8">
      <c r="H5715" s="139" t="s">
        <v>2151</v>
      </c>
    </row>
    <row r="5716" spans="1:8" ht="15.75" thickBot="1">
      <c r="H5716" s="147" t="s">
        <v>3014</v>
      </c>
    </row>
    <row r="5717" spans="1:8">
      <c r="H5717" s="288" t="s">
        <v>3015</v>
      </c>
    </row>
    <row r="5718" spans="1:8">
      <c r="A5718" s="285">
        <v>45444</v>
      </c>
      <c r="B5718" s="284"/>
      <c r="C5718" s="284" t="s">
        <v>205</v>
      </c>
      <c r="D5718" s="3" t="s">
        <v>246</v>
      </c>
      <c r="E5718" s="1497">
        <v>19400</v>
      </c>
      <c r="F5718" s="1497"/>
      <c r="G5718" s="284" t="s">
        <v>27</v>
      </c>
      <c r="H5718" s="3"/>
    </row>
    <row r="5719" spans="1:8">
      <c r="A5719" s="285">
        <v>45444</v>
      </c>
      <c r="B5719" s="284"/>
      <c r="C5719" s="284" t="s">
        <v>205</v>
      </c>
      <c r="D5719" s="3" t="s">
        <v>53</v>
      </c>
      <c r="E5719" s="1497">
        <v>20449</v>
      </c>
      <c r="F5719" s="1497"/>
      <c r="G5719" s="284" t="s">
        <v>27</v>
      </c>
      <c r="H5719" s="3"/>
    </row>
    <row r="5720" spans="1:8">
      <c r="A5720" s="285">
        <v>45446</v>
      </c>
      <c r="B5720" s="284"/>
      <c r="C5720" s="284" t="s">
        <v>65</v>
      </c>
      <c r="D5720" s="3" t="s">
        <v>777</v>
      </c>
      <c r="E5720" s="1497">
        <v>8450</v>
      </c>
      <c r="F5720" s="1497"/>
      <c r="G5720" s="284" t="s">
        <v>27</v>
      </c>
      <c r="H5720" s="3"/>
    </row>
    <row r="5721" spans="1:8">
      <c r="A5721" s="285">
        <v>45446</v>
      </c>
      <c r="B5721" s="284"/>
      <c r="C5721" s="284" t="s">
        <v>65</v>
      </c>
      <c r="D5721" s="3" t="s">
        <v>777</v>
      </c>
      <c r="E5721" s="1497">
        <v>8450</v>
      </c>
      <c r="F5721" s="1497"/>
      <c r="G5721" s="284" t="s">
        <v>27</v>
      </c>
      <c r="H5721" s="3"/>
    </row>
    <row r="5722" spans="1:8">
      <c r="A5722" s="285">
        <v>45446</v>
      </c>
      <c r="B5722" s="284"/>
      <c r="C5722" s="284" t="s">
        <v>79</v>
      </c>
      <c r="D5722" s="3" t="s">
        <v>777</v>
      </c>
      <c r="E5722" s="1497">
        <v>29950</v>
      </c>
      <c r="F5722" s="1497"/>
      <c r="G5722" s="284" t="s">
        <v>27</v>
      </c>
      <c r="H5722" s="3"/>
    </row>
    <row r="5723" spans="1:8">
      <c r="A5723" s="285">
        <v>45446</v>
      </c>
      <c r="B5723" s="284"/>
      <c r="C5723" s="284" t="s">
        <v>205</v>
      </c>
      <c r="D5723" s="3" t="s">
        <v>448</v>
      </c>
      <c r="E5723" s="1497">
        <v>171168.42</v>
      </c>
      <c r="F5723" s="1497"/>
      <c r="G5723" s="284" t="s">
        <v>27</v>
      </c>
      <c r="H5723" s="3"/>
    </row>
    <row r="5724" spans="1:8">
      <c r="A5724" s="287">
        <v>45447</v>
      </c>
      <c r="B5724" s="284"/>
      <c r="C5724" s="284" t="s">
        <v>79</v>
      </c>
      <c r="D5724" s="3" t="s">
        <v>667</v>
      </c>
      <c r="E5724" s="1497">
        <v>42140</v>
      </c>
      <c r="F5724" s="1497"/>
      <c r="G5724" s="286" t="s">
        <v>27</v>
      </c>
      <c r="H5724" s="3"/>
    </row>
    <row r="5725" spans="1:8">
      <c r="A5725" s="287">
        <v>45447</v>
      </c>
      <c r="B5725" s="284"/>
      <c r="C5725" s="284" t="s">
        <v>79</v>
      </c>
      <c r="D5725" s="3" t="s">
        <v>3017</v>
      </c>
      <c r="E5725" s="1497">
        <v>18523.88</v>
      </c>
      <c r="F5725" s="1497"/>
      <c r="G5725" s="284" t="s">
        <v>27</v>
      </c>
      <c r="H5725" s="3"/>
    </row>
    <row r="5726" spans="1:8">
      <c r="A5726" s="13">
        <v>45447</v>
      </c>
      <c r="B5726" s="12"/>
      <c r="C5726" s="12" t="s">
        <v>205</v>
      </c>
      <c r="D5726" s="89" t="s">
        <v>448</v>
      </c>
      <c r="E5726" s="12">
        <v>270000</v>
      </c>
      <c r="F5726" s="12"/>
      <c r="G5726" s="12" t="s">
        <v>27</v>
      </c>
      <c r="H5726" s="89" t="s">
        <v>3018</v>
      </c>
    </row>
    <row r="5727" spans="1:8">
      <c r="A5727" s="287">
        <v>45447</v>
      </c>
      <c r="B5727" s="284"/>
      <c r="C5727" s="284" t="s">
        <v>205</v>
      </c>
      <c r="D5727" s="3" t="s">
        <v>3019</v>
      </c>
      <c r="E5727" s="1497">
        <v>142272.03</v>
      </c>
      <c r="F5727" s="1497"/>
      <c r="G5727" s="284" t="s">
        <v>27</v>
      </c>
      <c r="H5727" s="3"/>
    </row>
    <row r="5728" spans="1:8">
      <c r="A5728" s="290">
        <v>45448</v>
      </c>
      <c r="B5728" s="289"/>
      <c r="C5728" s="289" t="s">
        <v>92</v>
      </c>
      <c r="D5728" s="3" t="s">
        <v>3020</v>
      </c>
      <c r="E5728" s="1497"/>
      <c r="F5728" s="1497">
        <v>31000</v>
      </c>
      <c r="G5728" s="289" t="s">
        <v>56</v>
      </c>
      <c r="H5728" s="3"/>
    </row>
    <row r="5729" spans="1:8">
      <c r="A5729" s="290">
        <v>45448</v>
      </c>
      <c r="B5729" s="289"/>
      <c r="C5729" s="289" t="s">
        <v>3021</v>
      </c>
      <c r="D5729" s="15" t="s">
        <v>104</v>
      </c>
      <c r="E5729" s="1497">
        <v>15000</v>
      </c>
      <c r="F5729" s="1497"/>
      <c r="G5729" s="289" t="s">
        <v>56</v>
      </c>
      <c r="H5729" s="3"/>
    </row>
    <row r="5730" spans="1:8">
      <c r="A5730" s="290">
        <v>45448</v>
      </c>
      <c r="B5730" s="289"/>
      <c r="C5730" s="289" t="s">
        <v>537</v>
      </c>
      <c r="D5730" s="3" t="s">
        <v>144</v>
      </c>
      <c r="E5730" s="1497">
        <v>20000</v>
      </c>
      <c r="F5730" s="1497"/>
      <c r="G5730" s="289" t="s">
        <v>27</v>
      </c>
      <c r="H5730" s="3"/>
    </row>
    <row r="5731" spans="1:8">
      <c r="A5731" s="290">
        <v>45448</v>
      </c>
      <c r="B5731" s="289"/>
      <c r="C5731" s="289" t="s">
        <v>537</v>
      </c>
      <c r="D5731" s="3" t="s">
        <v>208</v>
      </c>
      <c r="E5731" s="1497">
        <v>20000</v>
      </c>
      <c r="F5731" s="1497"/>
      <c r="G5731" s="289" t="s">
        <v>56</v>
      </c>
      <c r="H5731" s="3"/>
    </row>
    <row r="5732" spans="1:8">
      <c r="A5732" s="292">
        <v>45449</v>
      </c>
      <c r="B5732" s="289"/>
      <c r="C5732" s="289" t="s">
        <v>92</v>
      </c>
      <c r="D5732" s="3" t="s">
        <v>582</v>
      </c>
      <c r="E5732" s="1497"/>
      <c r="F5732" s="1497">
        <v>468000</v>
      </c>
      <c r="G5732" s="289" t="s">
        <v>27</v>
      </c>
      <c r="H5732" s="3"/>
    </row>
    <row r="5733" spans="1:8">
      <c r="A5733" s="292">
        <v>45449</v>
      </c>
      <c r="B5733" s="289"/>
      <c r="C5733" s="289" t="s">
        <v>79</v>
      </c>
      <c r="D5733" s="3" t="s">
        <v>17</v>
      </c>
      <c r="E5733" s="1497">
        <v>33174.629999999997</v>
      </c>
      <c r="F5733" s="1497"/>
      <c r="G5733" s="289" t="s">
        <v>27</v>
      </c>
      <c r="H5733" s="3"/>
    </row>
    <row r="5734" spans="1:8">
      <c r="A5734" s="112">
        <v>45449</v>
      </c>
      <c r="B5734" s="70"/>
      <c r="C5734" s="70" t="s">
        <v>79</v>
      </c>
      <c r="D5734" s="113" t="s">
        <v>3016</v>
      </c>
      <c r="E5734" s="70">
        <v>100</v>
      </c>
      <c r="F5734" s="70"/>
      <c r="G5734" s="70" t="s">
        <v>1385</v>
      </c>
      <c r="H5734" s="113"/>
    </row>
    <row r="5735" spans="1:8">
      <c r="A5735" s="112">
        <v>45449</v>
      </c>
      <c r="B5735" s="70"/>
      <c r="C5735" s="70" t="s">
        <v>79</v>
      </c>
      <c r="D5735" s="113" t="s">
        <v>640</v>
      </c>
      <c r="E5735" s="70">
        <v>50</v>
      </c>
      <c r="F5735" s="70"/>
      <c r="G5735" s="70" t="s">
        <v>1385</v>
      </c>
      <c r="H5735" s="195" t="s">
        <v>3022</v>
      </c>
    </row>
    <row r="5736" spans="1:8">
      <c r="A5736" s="292">
        <v>45449</v>
      </c>
      <c r="B5736" s="289"/>
      <c r="C5736" s="289" t="s">
        <v>92</v>
      </c>
      <c r="D5736" s="3" t="s">
        <v>1801</v>
      </c>
      <c r="E5736" s="1497"/>
      <c r="F5736" s="1497">
        <v>44600</v>
      </c>
      <c r="G5736" s="289" t="s">
        <v>27</v>
      </c>
      <c r="H5736" s="3" t="s">
        <v>3023</v>
      </c>
    </row>
    <row r="5737" spans="1:8">
      <c r="A5737" s="292">
        <v>45449</v>
      </c>
      <c r="B5737" s="289"/>
      <c r="C5737" s="291" t="s">
        <v>55</v>
      </c>
      <c r="D5737" s="3" t="s">
        <v>2828</v>
      </c>
      <c r="E5737" s="1497">
        <v>1500</v>
      </c>
      <c r="F5737" s="1497"/>
      <c r="G5737" s="289" t="s">
        <v>56</v>
      </c>
      <c r="H5737" s="3"/>
    </row>
    <row r="5738" spans="1:8">
      <c r="A5738" s="292">
        <v>45449</v>
      </c>
      <c r="B5738" s="289"/>
      <c r="C5738" s="289" t="s">
        <v>205</v>
      </c>
      <c r="D5738" s="3" t="s">
        <v>238</v>
      </c>
      <c r="E5738" s="1497">
        <v>12485</v>
      </c>
      <c r="F5738" s="1497"/>
      <c r="G5738" s="289" t="s">
        <v>27</v>
      </c>
      <c r="H5738" s="45" t="s">
        <v>1421</v>
      </c>
    </row>
    <row r="5739" spans="1:8">
      <c r="A5739" s="294">
        <v>45450</v>
      </c>
      <c r="B5739" s="289"/>
      <c r="C5739" s="289" t="s">
        <v>92</v>
      </c>
      <c r="D5739" s="3" t="s">
        <v>1927</v>
      </c>
      <c r="E5739" s="1497"/>
      <c r="F5739" s="1497">
        <v>443200</v>
      </c>
      <c r="G5739" s="289" t="s">
        <v>72</v>
      </c>
      <c r="H5739" s="100">
        <v>176800</v>
      </c>
    </row>
    <row r="5740" spans="1:8">
      <c r="A5740" s="294">
        <v>45450</v>
      </c>
      <c r="B5740" s="289"/>
      <c r="C5740" s="289" t="s">
        <v>92</v>
      </c>
      <c r="D5740" s="3" t="s">
        <v>1889</v>
      </c>
      <c r="E5740" s="1497"/>
      <c r="F5740" s="1497">
        <v>137700</v>
      </c>
      <c r="G5740" s="289" t="s">
        <v>27</v>
      </c>
      <c r="H5740" s="3"/>
    </row>
    <row r="5741" spans="1:8">
      <c r="A5741" s="294">
        <v>45450</v>
      </c>
      <c r="B5741" s="289"/>
      <c r="C5741" s="289" t="s">
        <v>730</v>
      </c>
      <c r="D5741" s="3" t="s">
        <v>3024</v>
      </c>
      <c r="E5741" s="1497">
        <v>6000</v>
      </c>
      <c r="F5741" s="1497"/>
      <c r="G5741" s="289" t="s">
        <v>27</v>
      </c>
      <c r="H5741" s="3"/>
    </row>
    <row r="5742" spans="1:8">
      <c r="A5742" s="294">
        <v>45450</v>
      </c>
      <c r="B5742" s="289"/>
      <c r="C5742" s="289" t="s">
        <v>77</v>
      </c>
      <c r="D5742" s="3" t="s">
        <v>3026</v>
      </c>
      <c r="E5742" s="1497"/>
      <c r="F5742" s="1497">
        <v>5440800</v>
      </c>
      <c r="G5742" s="289" t="s">
        <v>72</v>
      </c>
      <c r="H5742" s="3" t="s">
        <v>3025</v>
      </c>
    </row>
    <row r="5743" spans="1:8">
      <c r="A5743" s="294">
        <v>45450</v>
      </c>
      <c r="B5743" s="289"/>
      <c r="C5743" s="293" t="s">
        <v>77</v>
      </c>
      <c r="D5743" s="3" t="s">
        <v>3026</v>
      </c>
      <c r="E5743" s="1497"/>
      <c r="F5743" s="1497">
        <v>80000</v>
      </c>
      <c r="G5743" s="289" t="s">
        <v>56</v>
      </c>
      <c r="H5743" s="3"/>
    </row>
    <row r="5744" spans="1:8">
      <c r="A5744" s="294">
        <v>45450</v>
      </c>
      <c r="B5744" s="289"/>
      <c r="C5744" s="289" t="s">
        <v>77</v>
      </c>
      <c r="D5744" s="3" t="s">
        <v>3027</v>
      </c>
      <c r="E5744" s="1497"/>
      <c r="F5744" s="1497">
        <v>156200</v>
      </c>
      <c r="G5744" s="289" t="s">
        <v>56</v>
      </c>
      <c r="H5744" s="3" t="s">
        <v>3028</v>
      </c>
    </row>
    <row r="5745" spans="1:8">
      <c r="A5745" s="112">
        <v>45450</v>
      </c>
      <c r="B5745" s="70"/>
      <c r="C5745" s="70" t="s">
        <v>86</v>
      </c>
      <c r="D5745" s="113" t="s">
        <v>107</v>
      </c>
      <c r="E5745" s="70">
        <v>20000</v>
      </c>
      <c r="F5745" s="70"/>
      <c r="G5745" s="70" t="s">
        <v>56</v>
      </c>
      <c r="H5745" s="113" t="s">
        <v>3029</v>
      </c>
    </row>
    <row r="5746" spans="1:8">
      <c r="A5746" s="294">
        <v>45450</v>
      </c>
      <c r="B5746" s="289"/>
      <c r="C5746" s="289" t="s">
        <v>3039</v>
      </c>
      <c r="D5746" s="3" t="s">
        <v>3038</v>
      </c>
      <c r="E5746" s="1497">
        <v>4000</v>
      </c>
      <c r="F5746" s="1497"/>
      <c r="G5746" s="289" t="s">
        <v>56</v>
      </c>
      <c r="H5746" s="3"/>
    </row>
    <row r="5747" spans="1:8">
      <c r="A5747" s="294">
        <v>45450</v>
      </c>
      <c r="B5747" s="293"/>
      <c r="C5747" s="293" t="s">
        <v>537</v>
      </c>
      <c r="D5747" s="3" t="s">
        <v>219</v>
      </c>
      <c r="E5747" s="1497">
        <v>142000</v>
      </c>
      <c r="F5747" s="1497"/>
      <c r="G5747" s="293" t="s">
        <v>56</v>
      </c>
      <c r="H5747" s="3"/>
    </row>
    <row r="5748" spans="1:8">
      <c r="A5748" s="294">
        <v>45450</v>
      </c>
      <c r="B5748" s="293"/>
      <c r="C5748" s="293" t="s">
        <v>537</v>
      </c>
      <c r="D5748" s="3" t="s">
        <v>144</v>
      </c>
      <c r="E5748" s="1497">
        <v>92500</v>
      </c>
      <c r="F5748" s="1497"/>
      <c r="G5748" s="293" t="s">
        <v>56</v>
      </c>
      <c r="H5748" s="3"/>
    </row>
    <row r="5749" spans="1:8">
      <c r="A5749" s="294">
        <v>45450</v>
      </c>
      <c r="B5749" s="293"/>
      <c r="C5749" s="293" t="s">
        <v>537</v>
      </c>
      <c r="D5749" s="3" t="s">
        <v>144</v>
      </c>
      <c r="E5749" s="1497">
        <v>100000</v>
      </c>
      <c r="F5749" s="1497"/>
      <c r="G5749" s="293" t="s">
        <v>27</v>
      </c>
      <c r="H5749" s="3"/>
    </row>
    <row r="5750" spans="1:8">
      <c r="A5750" s="294">
        <v>45450</v>
      </c>
      <c r="B5750" s="293"/>
      <c r="C5750" s="293" t="s">
        <v>537</v>
      </c>
      <c r="D5750" s="3" t="s">
        <v>208</v>
      </c>
      <c r="E5750" s="1497">
        <v>100000</v>
      </c>
      <c r="F5750" s="1497"/>
      <c r="G5750" s="293" t="s">
        <v>56</v>
      </c>
      <c r="H5750" s="3"/>
    </row>
    <row r="5751" spans="1:8" ht="15.75" thickBot="1">
      <c r="A5751" s="293"/>
      <c r="B5751" s="293"/>
      <c r="C5751" s="293"/>
      <c r="D5751" s="3"/>
      <c r="E5751" s="1497"/>
      <c r="F5751" s="1497"/>
      <c r="G5751" s="293"/>
      <c r="H5751" s="209">
        <v>45450</v>
      </c>
    </row>
    <row r="5752" spans="1:8">
      <c r="H5752" s="199" t="s">
        <v>3033</v>
      </c>
    </row>
    <row r="5753" spans="1:8">
      <c r="H5753" s="137" t="s">
        <v>3032</v>
      </c>
    </row>
    <row r="5754" spans="1:8">
      <c r="H5754" s="138" t="s">
        <v>3037</v>
      </c>
    </row>
    <row r="5755" spans="1:8">
      <c r="H5755" s="138" t="s">
        <v>3031</v>
      </c>
    </row>
    <row r="5756" spans="1:8">
      <c r="H5756" s="138" t="s">
        <v>3034</v>
      </c>
    </row>
    <row r="5757" spans="1:8">
      <c r="H5757" s="138" t="s">
        <v>3030</v>
      </c>
    </row>
    <row r="5758" spans="1:8">
      <c r="H5758" s="138" t="s">
        <v>1215</v>
      </c>
    </row>
    <row r="5759" spans="1:8">
      <c r="H5759" s="138" t="s">
        <v>3035</v>
      </c>
    </row>
    <row r="5760" spans="1:8">
      <c r="H5760" s="139" t="s">
        <v>2151</v>
      </c>
    </row>
    <row r="5761" spans="1:8">
      <c r="H5761" s="139" t="s">
        <v>3036</v>
      </c>
    </row>
    <row r="5762" spans="1:8">
      <c r="H5762" s="296">
        <v>15202229.609999999</v>
      </c>
    </row>
    <row r="5763" spans="1:8">
      <c r="A5763" s="112">
        <v>45453</v>
      </c>
      <c r="B5763" s="70"/>
      <c r="C5763" s="70" t="s">
        <v>1177</v>
      </c>
      <c r="D5763" s="113" t="s">
        <v>1876</v>
      </c>
      <c r="E5763" s="70">
        <v>17470</v>
      </c>
      <c r="F5763" s="70"/>
      <c r="G5763" s="70" t="s">
        <v>56</v>
      </c>
      <c r="H5763" s="195" t="s">
        <v>3029</v>
      </c>
    </row>
    <row r="5764" spans="1:8">
      <c r="A5764" s="295">
        <v>45453</v>
      </c>
      <c r="B5764" s="293"/>
      <c r="C5764" s="293" t="s">
        <v>94</v>
      </c>
      <c r="D5764" s="3" t="s">
        <v>3040</v>
      </c>
      <c r="E5764" s="1497">
        <v>17069</v>
      </c>
      <c r="F5764" s="1497"/>
      <c r="G5764" s="293" t="s">
        <v>27</v>
      </c>
      <c r="H5764" s="3"/>
    </row>
    <row r="5765" spans="1:8">
      <c r="A5765" s="295">
        <v>45453</v>
      </c>
      <c r="B5765" s="293"/>
      <c r="C5765" s="293" t="s">
        <v>55</v>
      </c>
      <c r="D5765" s="3" t="s">
        <v>514</v>
      </c>
      <c r="E5765" s="1497">
        <v>2000</v>
      </c>
      <c r="F5765" s="1497"/>
      <c r="G5765" s="293" t="s">
        <v>27</v>
      </c>
      <c r="H5765" s="3"/>
    </row>
    <row r="5766" spans="1:8">
      <c r="A5766" s="295">
        <v>45453</v>
      </c>
      <c r="B5766" s="293"/>
      <c r="C5766" s="293" t="s">
        <v>94</v>
      </c>
      <c r="D5766" s="3" t="s">
        <v>15</v>
      </c>
      <c r="E5766" s="1497">
        <v>73755.679999999993</v>
      </c>
      <c r="F5766" s="1497"/>
      <c r="G5766" s="293" t="s">
        <v>27</v>
      </c>
      <c r="H5766" s="3"/>
    </row>
    <row r="5767" spans="1:8">
      <c r="A5767" s="298">
        <v>45453</v>
      </c>
      <c r="B5767" s="293"/>
      <c r="C5767" s="70" t="s">
        <v>205</v>
      </c>
      <c r="D5767" s="113" t="s">
        <v>238</v>
      </c>
      <c r="E5767" s="70">
        <v>22473</v>
      </c>
      <c r="F5767" s="70"/>
      <c r="G5767" s="70" t="s">
        <v>27</v>
      </c>
      <c r="H5767" s="195" t="s">
        <v>3029</v>
      </c>
    </row>
    <row r="5768" spans="1:8">
      <c r="A5768" s="298">
        <v>45454</v>
      </c>
      <c r="B5768" s="297"/>
      <c r="C5768" s="297" t="s">
        <v>90</v>
      </c>
      <c r="D5768" s="3" t="s">
        <v>3041</v>
      </c>
      <c r="E5768" s="1497">
        <v>48720</v>
      </c>
      <c r="F5768" s="1497"/>
      <c r="G5768" s="297" t="s">
        <v>27</v>
      </c>
      <c r="H5768" s="3"/>
    </row>
    <row r="5769" spans="1:8">
      <c r="A5769" s="298">
        <v>45454</v>
      </c>
      <c r="B5769" s="297"/>
      <c r="C5769" s="297" t="s">
        <v>92</v>
      </c>
      <c r="D5769" s="3" t="s">
        <v>1450</v>
      </c>
      <c r="E5769" s="1497"/>
      <c r="F5769" s="1497">
        <v>31560</v>
      </c>
      <c r="G5769" s="297" t="s">
        <v>27</v>
      </c>
      <c r="H5769" s="3"/>
    </row>
    <row r="5770" spans="1:8">
      <c r="A5770" s="298">
        <v>45454</v>
      </c>
      <c r="B5770" s="297"/>
      <c r="C5770" s="297" t="s">
        <v>92</v>
      </c>
      <c r="D5770" s="3" t="s">
        <v>3042</v>
      </c>
      <c r="E5770" s="1497"/>
      <c r="F5770" s="1497">
        <v>525100</v>
      </c>
      <c r="G5770" s="297" t="s">
        <v>27</v>
      </c>
      <c r="H5770" s="3"/>
    </row>
    <row r="5771" spans="1:8">
      <c r="A5771" s="298">
        <v>45454</v>
      </c>
      <c r="B5771" s="297"/>
      <c r="C5771" s="70" t="s">
        <v>205</v>
      </c>
      <c r="D5771" s="113" t="s">
        <v>38</v>
      </c>
      <c r="E5771" s="70">
        <v>3200</v>
      </c>
      <c r="F5771" s="70"/>
      <c r="G5771" s="70" t="s">
        <v>56</v>
      </c>
      <c r="H5771" s="113" t="s">
        <v>3029</v>
      </c>
    </row>
    <row r="5772" spans="1:8">
      <c r="A5772" s="298">
        <v>45454</v>
      </c>
      <c r="B5772" s="297"/>
      <c r="C5772" s="70" t="s">
        <v>205</v>
      </c>
      <c r="D5772" s="113" t="s">
        <v>38</v>
      </c>
      <c r="E5772" s="70">
        <v>8000</v>
      </c>
      <c r="F5772" s="70"/>
      <c r="G5772" s="70" t="s">
        <v>56</v>
      </c>
      <c r="H5772" s="113" t="s">
        <v>3029</v>
      </c>
    </row>
    <row r="5773" spans="1:8">
      <c r="A5773" s="298">
        <v>45454</v>
      </c>
      <c r="B5773" s="297"/>
      <c r="C5773" s="70" t="s">
        <v>86</v>
      </c>
      <c r="D5773" s="207" t="s">
        <v>86</v>
      </c>
      <c r="E5773" s="70">
        <v>15000</v>
      </c>
      <c r="F5773" s="70"/>
      <c r="G5773" s="70" t="s">
        <v>56</v>
      </c>
      <c r="H5773" s="113" t="s">
        <v>3029</v>
      </c>
    </row>
    <row r="5774" spans="1:8">
      <c r="A5774" s="298">
        <v>45454</v>
      </c>
      <c r="B5774" s="297"/>
      <c r="C5774" s="70" t="s">
        <v>205</v>
      </c>
      <c r="D5774" s="207" t="s">
        <v>38</v>
      </c>
      <c r="E5774" s="70">
        <v>3600</v>
      </c>
      <c r="F5774" s="70"/>
      <c r="G5774" s="70" t="s">
        <v>56</v>
      </c>
      <c r="H5774" s="113" t="s">
        <v>3029</v>
      </c>
    </row>
    <row r="5775" spans="1:8">
      <c r="A5775" s="300">
        <v>45455</v>
      </c>
      <c r="B5775" s="297"/>
      <c r="C5775" s="297" t="s">
        <v>86</v>
      </c>
      <c r="D5775" s="3" t="s">
        <v>104</v>
      </c>
      <c r="E5775" s="1497">
        <v>15000</v>
      </c>
      <c r="F5775" s="1497"/>
      <c r="G5775" s="297" t="s">
        <v>3047</v>
      </c>
      <c r="H5775" s="3"/>
    </row>
    <row r="5776" spans="1:8">
      <c r="A5776" s="300">
        <v>45455</v>
      </c>
      <c r="B5776" s="297"/>
      <c r="C5776" s="297" t="s">
        <v>537</v>
      </c>
      <c r="D5776" s="3" t="s">
        <v>144</v>
      </c>
      <c r="E5776" s="1497">
        <v>15000</v>
      </c>
      <c r="F5776" s="1497"/>
      <c r="G5776" s="299" t="s">
        <v>3047</v>
      </c>
      <c r="H5776" s="3"/>
    </row>
    <row r="5777" spans="1:8">
      <c r="A5777" s="300">
        <v>45455</v>
      </c>
      <c r="B5777" s="297"/>
      <c r="C5777" s="297"/>
      <c r="D5777" s="3" t="s">
        <v>3046</v>
      </c>
      <c r="E5777" s="1497">
        <v>1000</v>
      </c>
      <c r="F5777" s="1497"/>
      <c r="G5777" s="297" t="s">
        <v>3047</v>
      </c>
      <c r="H5777" s="3"/>
    </row>
    <row r="5778" spans="1:8">
      <c r="A5778" s="300">
        <v>45455</v>
      </c>
      <c r="B5778" s="297"/>
      <c r="C5778" s="297" t="s">
        <v>55</v>
      </c>
      <c r="D5778" s="3" t="s">
        <v>3043</v>
      </c>
      <c r="E5778" s="1497">
        <v>7650</v>
      </c>
      <c r="F5778" s="1497"/>
      <c r="G5778" s="299" t="s">
        <v>3047</v>
      </c>
      <c r="H5778" s="3"/>
    </row>
    <row r="5779" spans="1:8">
      <c r="A5779" s="300">
        <v>45455</v>
      </c>
      <c r="B5779" s="297"/>
      <c r="C5779" s="299" t="s">
        <v>55</v>
      </c>
      <c r="D5779" s="3" t="s">
        <v>3044</v>
      </c>
      <c r="E5779" s="1497">
        <v>1500</v>
      </c>
      <c r="F5779" s="1497"/>
      <c r="G5779" s="299" t="s">
        <v>3047</v>
      </c>
      <c r="H5779" s="45" t="s">
        <v>3045</v>
      </c>
    </row>
    <row r="5780" spans="1:8">
      <c r="A5780" s="300">
        <v>45455</v>
      </c>
      <c r="B5780" s="297"/>
      <c r="C5780" s="297" t="s">
        <v>156</v>
      </c>
      <c r="D5780" s="3" t="s">
        <v>3048</v>
      </c>
      <c r="E5780" s="1497">
        <v>255004.04</v>
      </c>
      <c r="F5780" s="1497"/>
      <c r="G5780" s="297" t="s">
        <v>27</v>
      </c>
      <c r="H5780" s="3"/>
    </row>
    <row r="5781" spans="1:8">
      <c r="A5781" s="302">
        <v>45456</v>
      </c>
      <c r="B5781" s="301"/>
      <c r="C5781" s="301" t="s">
        <v>90</v>
      </c>
      <c r="D5781" s="3" t="s">
        <v>1951</v>
      </c>
      <c r="E5781" s="1497">
        <v>7000</v>
      </c>
      <c r="F5781" s="1497"/>
      <c r="G5781" s="301" t="s">
        <v>56</v>
      </c>
      <c r="H5781" s="81">
        <v>7350</v>
      </c>
    </row>
    <row r="5782" spans="1:8">
      <c r="A5782" s="302">
        <v>45456</v>
      </c>
      <c r="B5782" s="301"/>
      <c r="C5782" s="301" t="s">
        <v>92</v>
      </c>
      <c r="D5782" s="3" t="s">
        <v>3049</v>
      </c>
      <c r="E5782" s="1497"/>
      <c r="F5782" s="1497">
        <v>188000</v>
      </c>
      <c r="G5782" s="301" t="s">
        <v>27</v>
      </c>
      <c r="H5782" s="3"/>
    </row>
    <row r="5783" spans="1:8">
      <c r="A5783" s="302">
        <v>45456</v>
      </c>
      <c r="B5783" s="301"/>
      <c r="C5783" s="301" t="s">
        <v>433</v>
      </c>
      <c r="D5783" s="3" t="s">
        <v>232</v>
      </c>
      <c r="E5783" s="1497">
        <v>150000</v>
      </c>
      <c r="F5783" s="1497"/>
      <c r="G5783" s="301" t="s">
        <v>56</v>
      </c>
      <c r="H5783" s="3"/>
    </row>
    <row r="5784" spans="1:8">
      <c r="A5784" s="302">
        <v>45456</v>
      </c>
      <c r="B5784" s="301"/>
      <c r="C5784" s="301" t="s">
        <v>433</v>
      </c>
      <c r="D5784" s="3" t="s">
        <v>232</v>
      </c>
      <c r="E5784" s="1497"/>
      <c r="F5784" s="1497">
        <v>150000</v>
      </c>
      <c r="G5784" s="301" t="s">
        <v>27</v>
      </c>
      <c r="H5784" s="3"/>
    </row>
    <row r="5785" spans="1:8">
      <c r="A5785" s="304">
        <v>45457</v>
      </c>
      <c r="B5785" s="301"/>
      <c r="C5785" s="301" t="s">
        <v>94</v>
      </c>
      <c r="D5785" s="3" t="s">
        <v>2045</v>
      </c>
      <c r="E5785" s="1497" t="s">
        <v>3050</v>
      </c>
      <c r="F5785" s="1497"/>
      <c r="G5785" s="301" t="s">
        <v>27</v>
      </c>
      <c r="H5785" s="3"/>
    </row>
    <row r="5786" spans="1:8">
      <c r="A5786" s="304">
        <v>45457</v>
      </c>
      <c r="B5786" s="301"/>
      <c r="C5786" s="301" t="s">
        <v>205</v>
      </c>
      <c r="D5786" s="3" t="s">
        <v>3052</v>
      </c>
      <c r="E5786" s="1497">
        <v>760800</v>
      </c>
      <c r="F5786" s="1497"/>
      <c r="G5786" s="301" t="s">
        <v>72</v>
      </c>
      <c r="H5786" s="3" t="s">
        <v>3051</v>
      </c>
    </row>
    <row r="5787" spans="1:8">
      <c r="A5787" s="304">
        <v>45457</v>
      </c>
      <c r="B5787" s="303"/>
      <c r="C5787" s="303" t="s">
        <v>90</v>
      </c>
      <c r="D5787" s="3" t="s">
        <v>3053</v>
      </c>
      <c r="E5787" s="1497">
        <v>88000</v>
      </c>
      <c r="F5787" s="1497"/>
      <c r="G5787" s="303" t="s">
        <v>3047</v>
      </c>
      <c r="H5787" s="3" t="s">
        <v>3054</v>
      </c>
    </row>
    <row r="5788" spans="1:8">
      <c r="A5788" s="304">
        <v>45457</v>
      </c>
      <c r="B5788" s="303"/>
      <c r="C5788" s="303" t="s">
        <v>537</v>
      </c>
      <c r="D5788" s="3" t="s">
        <v>219</v>
      </c>
      <c r="E5788" s="1497">
        <v>142500</v>
      </c>
      <c r="F5788" s="1497"/>
      <c r="G5788" s="303" t="s">
        <v>3047</v>
      </c>
      <c r="H5788" s="3"/>
    </row>
    <row r="5789" spans="1:8">
      <c r="A5789" s="304">
        <v>45457</v>
      </c>
      <c r="B5789" s="303"/>
      <c r="C5789" s="303" t="s">
        <v>537</v>
      </c>
      <c r="D5789" s="15" t="s">
        <v>208</v>
      </c>
      <c r="E5789" s="1497">
        <v>120000</v>
      </c>
      <c r="F5789" s="1497"/>
      <c r="G5789" s="303" t="s">
        <v>3047</v>
      </c>
      <c r="H5789" s="3"/>
    </row>
    <row r="5790" spans="1:8">
      <c r="A5790" s="304">
        <v>45457</v>
      </c>
      <c r="B5790" s="303"/>
      <c r="C5790" s="303" t="s">
        <v>537</v>
      </c>
      <c r="D5790" s="15" t="s">
        <v>144</v>
      </c>
      <c r="E5790" s="1497">
        <v>10000</v>
      </c>
      <c r="F5790" s="1497"/>
      <c r="G5790" s="303" t="s">
        <v>3047</v>
      </c>
      <c r="H5790" s="3"/>
    </row>
    <row r="5791" spans="1:8">
      <c r="A5791" s="304">
        <v>45457</v>
      </c>
      <c r="B5791" s="303"/>
      <c r="C5791" s="303" t="s">
        <v>537</v>
      </c>
      <c r="D5791" s="15" t="s">
        <v>144</v>
      </c>
      <c r="E5791" s="1497">
        <v>187500</v>
      </c>
      <c r="F5791" s="1497"/>
      <c r="G5791" s="303" t="s">
        <v>3047</v>
      </c>
      <c r="H5791" s="81">
        <v>107500</v>
      </c>
    </row>
    <row r="5792" spans="1:8">
      <c r="A5792" s="304">
        <v>45457</v>
      </c>
      <c r="B5792" s="303"/>
      <c r="C5792" s="303" t="s">
        <v>205</v>
      </c>
      <c r="D5792" s="3" t="s">
        <v>3055</v>
      </c>
      <c r="E5792" s="1497">
        <v>9000</v>
      </c>
      <c r="F5792" s="1497"/>
      <c r="G5792" s="303" t="s">
        <v>56</v>
      </c>
      <c r="H5792" s="3" t="s">
        <v>3020</v>
      </c>
    </row>
    <row r="5793" spans="1:8">
      <c r="A5793" s="304">
        <v>45457</v>
      </c>
      <c r="B5793" s="303"/>
      <c r="C5793" s="303" t="s">
        <v>205</v>
      </c>
      <c r="D5793" s="3" t="s">
        <v>3056</v>
      </c>
      <c r="E5793" s="1497">
        <v>47000</v>
      </c>
      <c r="F5793" s="1497"/>
      <c r="G5793" s="303" t="s">
        <v>27</v>
      </c>
      <c r="H5793" s="3" t="s">
        <v>3057</v>
      </c>
    </row>
    <row r="5794" spans="1:8" ht="15.75" thickBot="1"/>
    <row r="5795" spans="1:8" ht="15.75" thickBot="1">
      <c r="F5795" s="307">
        <f>SUM(F5671:F5794)</f>
        <v>11651202.18</v>
      </c>
      <c r="H5795" s="201">
        <v>45457</v>
      </c>
    </row>
    <row r="5796" spans="1:8">
      <c r="H5796" s="199" t="s">
        <v>3033</v>
      </c>
    </row>
    <row r="5797" spans="1:8">
      <c r="H5797" s="137" t="s">
        <v>3062</v>
      </c>
    </row>
    <row r="5798" spans="1:8">
      <c r="H5798" s="138" t="s">
        <v>1044</v>
      </c>
    </row>
    <row r="5799" spans="1:8">
      <c r="H5799" s="138" t="s">
        <v>3058</v>
      </c>
    </row>
    <row r="5800" spans="1:8">
      <c r="H5800" s="138" t="s">
        <v>3034</v>
      </c>
    </row>
    <row r="5801" spans="1:8">
      <c r="H5801" s="138" t="s">
        <v>3059</v>
      </c>
    </row>
    <row r="5802" spans="1:8">
      <c r="H5802" s="138" t="s">
        <v>1215</v>
      </c>
    </row>
    <row r="5803" spans="1:8">
      <c r="H5803" s="138" t="s">
        <v>3060</v>
      </c>
    </row>
    <row r="5804" spans="1:8">
      <c r="H5804" s="139" t="s">
        <v>2151</v>
      </c>
    </row>
    <row r="5805" spans="1:8" ht="15.75" thickBot="1">
      <c r="H5805" s="139" t="s">
        <v>3061</v>
      </c>
    </row>
    <row r="5806" spans="1:8" ht="15.75" thickBot="1">
      <c r="H5806" s="312">
        <v>15202229.609999999</v>
      </c>
    </row>
    <row r="5807" spans="1:8">
      <c r="A5807" s="306">
        <v>45458</v>
      </c>
      <c r="B5807" s="305"/>
      <c r="C5807" s="305" t="s">
        <v>76</v>
      </c>
      <c r="D5807" s="3" t="s">
        <v>3063</v>
      </c>
      <c r="E5807" s="1497"/>
      <c r="F5807" s="1497">
        <v>451800</v>
      </c>
      <c r="G5807" s="305" t="s">
        <v>287</v>
      </c>
      <c r="H5807" s="5"/>
    </row>
    <row r="5808" spans="1:8">
      <c r="A5808" s="306">
        <v>45461</v>
      </c>
      <c r="B5808" s="305"/>
      <c r="C5808" s="305" t="s">
        <v>176</v>
      </c>
      <c r="D5808" s="3" t="s">
        <v>130</v>
      </c>
      <c r="E5808" s="1497">
        <v>7000</v>
      </c>
      <c r="F5808" s="1497"/>
      <c r="G5808" s="305" t="s">
        <v>27</v>
      </c>
      <c r="H5808" s="3"/>
    </row>
    <row r="5809" spans="1:8">
      <c r="A5809" s="306">
        <v>45461</v>
      </c>
      <c r="B5809" s="305"/>
      <c r="C5809" s="305" t="s">
        <v>156</v>
      </c>
      <c r="D5809" s="3" t="s">
        <v>156</v>
      </c>
      <c r="E5809" s="1497" t="s">
        <v>3064</v>
      </c>
      <c r="F5809" s="1497"/>
      <c r="G5809" s="305" t="s">
        <v>27</v>
      </c>
      <c r="H5809" s="3"/>
    </row>
    <row r="5810" spans="1:8">
      <c r="A5810" s="306">
        <v>45461</v>
      </c>
      <c r="B5810" s="305"/>
      <c r="C5810" s="305" t="s">
        <v>97</v>
      </c>
      <c r="D5810" s="3" t="s">
        <v>1268</v>
      </c>
      <c r="E5810" s="1497">
        <v>10000</v>
      </c>
      <c r="F5810" s="1497"/>
      <c r="G5810" s="305" t="s">
        <v>27</v>
      </c>
      <c r="H5810" s="3"/>
    </row>
    <row r="5811" spans="1:8">
      <c r="A5811" s="306">
        <v>45461</v>
      </c>
      <c r="B5811" s="305"/>
      <c r="C5811" s="305" t="s">
        <v>92</v>
      </c>
      <c r="D5811" s="3" t="s">
        <v>1927</v>
      </c>
      <c r="E5811" s="1497"/>
      <c r="F5811" s="1497">
        <v>69200</v>
      </c>
      <c r="G5811" s="305" t="s">
        <v>56</v>
      </c>
      <c r="H5811" s="3"/>
    </row>
    <row r="5812" spans="1:8">
      <c r="A5812" s="306">
        <v>45461</v>
      </c>
      <c r="B5812" s="305"/>
      <c r="C5812" s="305"/>
      <c r="D5812" s="3" t="s">
        <v>3065</v>
      </c>
      <c r="E5812" s="1497">
        <v>2639</v>
      </c>
      <c r="F5812" s="1497"/>
      <c r="G5812" s="305" t="s">
        <v>56</v>
      </c>
      <c r="H5812" s="3"/>
    </row>
    <row r="5813" spans="1:8">
      <c r="A5813" s="306">
        <v>45461</v>
      </c>
      <c r="B5813" s="305"/>
      <c r="C5813" s="305" t="s">
        <v>205</v>
      </c>
      <c r="D5813" s="3" t="s">
        <v>38</v>
      </c>
      <c r="E5813" s="1497">
        <v>600</v>
      </c>
      <c r="F5813" s="1497"/>
      <c r="G5813" s="305" t="s">
        <v>56</v>
      </c>
      <c r="H5813" s="3"/>
    </row>
    <row r="5814" spans="1:8">
      <c r="A5814" s="309">
        <v>45462</v>
      </c>
      <c r="B5814" s="305"/>
      <c r="C5814" s="305" t="s">
        <v>92</v>
      </c>
      <c r="D5814" s="3" t="s">
        <v>2130</v>
      </c>
      <c r="E5814" s="1497"/>
      <c r="F5814" s="1497">
        <v>70300</v>
      </c>
      <c r="G5814" s="305" t="s">
        <v>27</v>
      </c>
      <c r="H5814" s="3"/>
    </row>
    <row r="5815" spans="1:8">
      <c r="A5815" s="309">
        <v>45462</v>
      </c>
      <c r="B5815" s="305"/>
      <c r="C5815" s="305" t="s">
        <v>86</v>
      </c>
      <c r="D5815" s="3" t="s">
        <v>86</v>
      </c>
      <c r="E5815" s="1497">
        <v>20000</v>
      </c>
      <c r="F5815" s="1497"/>
      <c r="G5815" s="305" t="s">
        <v>56</v>
      </c>
      <c r="H5815" s="3"/>
    </row>
    <row r="5816" spans="1:8">
      <c r="A5816" s="309">
        <v>45462</v>
      </c>
      <c r="B5816" s="305"/>
      <c r="C5816" s="305" t="s">
        <v>79</v>
      </c>
      <c r="D5816" s="3" t="s">
        <v>3066</v>
      </c>
      <c r="E5816" s="1497">
        <v>13000</v>
      </c>
      <c r="F5816" s="1497"/>
      <c r="G5816" s="305" t="s">
        <v>56</v>
      </c>
      <c r="H5816" s="3"/>
    </row>
    <row r="5817" spans="1:8">
      <c r="A5817" s="309">
        <v>45462</v>
      </c>
      <c r="B5817" s="305"/>
      <c r="C5817" s="305" t="s">
        <v>92</v>
      </c>
      <c r="D5817" s="3" t="s">
        <v>3067</v>
      </c>
      <c r="E5817" s="1497"/>
      <c r="F5817" s="1497">
        <v>18200</v>
      </c>
      <c r="G5817" s="305" t="s">
        <v>27</v>
      </c>
      <c r="H5817" s="3"/>
    </row>
    <row r="5818" spans="1:8">
      <c r="A5818" s="309">
        <v>45462</v>
      </c>
      <c r="B5818" s="308"/>
      <c r="C5818" s="308" t="s">
        <v>1261</v>
      </c>
      <c r="D5818" s="3" t="s">
        <v>2870</v>
      </c>
      <c r="E5818" s="1497">
        <v>31200</v>
      </c>
      <c r="F5818" s="1497"/>
      <c r="G5818" s="308" t="s">
        <v>27</v>
      </c>
      <c r="H5818" s="3"/>
    </row>
    <row r="5819" spans="1:8">
      <c r="A5819" s="309">
        <v>45462</v>
      </c>
      <c r="B5819" s="308"/>
      <c r="C5819" s="308" t="s">
        <v>79</v>
      </c>
      <c r="D5819" s="3" t="s">
        <v>1951</v>
      </c>
      <c r="E5819" s="1497">
        <v>8100</v>
      </c>
      <c r="F5819" s="1497"/>
      <c r="G5819" s="308" t="s">
        <v>56</v>
      </c>
      <c r="H5819" s="3"/>
    </row>
    <row r="5820" spans="1:8">
      <c r="A5820" s="309">
        <v>45462</v>
      </c>
      <c r="B5820" s="308"/>
      <c r="C5820" s="308" t="s">
        <v>79</v>
      </c>
      <c r="D5820" s="3" t="s">
        <v>640</v>
      </c>
      <c r="E5820" s="1497">
        <v>70300</v>
      </c>
      <c r="F5820" s="1497"/>
      <c r="G5820" s="308" t="s">
        <v>27</v>
      </c>
      <c r="H5820" s="3"/>
    </row>
    <row r="5821" spans="1:8">
      <c r="A5821" s="309">
        <v>45462</v>
      </c>
      <c r="B5821" s="308"/>
      <c r="C5821" s="308" t="s">
        <v>79</v>
      </c>
      <c r="D5821" s="3" t="s">
        <v>18</v>
      </c>
      <c r="E5821" s="1497">
        <v>296000</v>
      </c>
      <c r="F5821" s="1497"/>
      <c r="G5821" s="308" t="s">
        <v>27</v>
      </c>
      <c r="H5821" s="3"/>
    </row>
    <row r="5822" spans="1:8">
      <c r="A5822" s="309">
        <v>45462</v>
      </c>
      <c r="B5822" s="308"/>
      <c r="C5822" s="308" t="s">
        <v>88</v>
      </c>
      <c r="D5822" s="3" t="s">
        <v>219</v>
      </c>
      <c r="E5822" s="1497">
        <v>147000</v>
      </c>
      <c r="F5822" s="1497"/>
      <c r="G5822" s="308" t="s">
        <v>56</v>
      </c>
      <c r="H5822" s="3"/>
    </row>
    <row r="5823" spans="1:8">
      <c r="A5823" s="309">
        <v>45462</v>
      </c>
      <c r="B5823" s="308"/>
      <c r="C5823" s="308" t="s">
        <v>88</v>
      </c>
      <c r="D5823" s="3" t="s">
        <v>208</v>
      </c>
      <c r="E5823" s="1497">
        <v>174000</v>
      </c>
      <c r="F5823" s="1497"/>
      <c r="G5823" s="308" t="s">
        <v>56</v>
      </c>
      <c r="H5823" s="3"/>
    </row>
    <row r="5824" spans="1:8">
      <c r="A5824" s="310">
        <v>45462</v>
      </c>
      <c r="B5824" s="311"/>
      <c r="C5824" s="311" t="s">
        <v>88</v>
      </c>
      <c r="D5824" s="3" t="s">
        <v>144</v>
      </c>
      <c r="E5824" s="1497">
        <v>100000</v>
      </c>
      <c r="F5824" s="1497"/>
      <c r="G5824" s="311" t="s">
        <v>27</v>
      </c>
      <c r="H5824" s="3"/>
    </row>
    <row r="5825" spans="1:8" ht="15.75" thickBot="1">
      <c r="A5825" s="119">
        <v>45462</v>
      </c>
      <c r="B5825" s="57"/>
      <c r="C5825" s="57" t="s">
        <v>88</v>
      </c>
      <c r="D5825" s="85" t="s">
        <v>144</v>
      </c>
      <c r="E5825" s="57">
        <v>107500</v>
      </c>
      <c r="F5825" s="57"/>
      <c r="G5825" s="57" t="s">
        <v>56</v>
      </c>
      <c r="H5825" s="85"/>
    </row>
    <row r="5826" spans="1:8" ht="15.75" thickBot="1">
      <c r="A5826" s="315"/>
      <c r="B5826" s="316"/>
      <c r="C5826" s="316"/>
      <c r="D5826" s="317"/>
      <c r="E5826" s="316"/>
      <c r="F5826" s="313">
        <f>SUM(F5795:F5825)</f>
        <v>12260702.18</v>
      </c>
      <c r="G5826" s="316"/>
      <c r="H5826" s="318"/>
    </row>
    <row r="5827" spans="1:8" ht="15.75" thickBot="1"/>
    <row r="5828" spans="1:8" ht="15.75" thickBot="1">
      <c r="H5828" s="201">
        <v>45462</v>
      </c>
    </row>
    <row r="5829" spans="1:8">
      <c r="H5829" s="199" t="s">
        <v>3033</v>
      </c>
    </row>
    <row r="5830" spans="1:8">
      <c r="H5830" s="137" t="s">
        <v>3069</v>
      </c>
    </row>
    <row r="5831" spans="1:8">
      <c r="H5831" s="138" t="s">
        <v>3070</v>
      </c>
    </row>
    <row r="5832" spans="1:8">
      <c r="H5832" s="138" t="s">
        <v>3071</v>
      </c>
    </row>
    <row r="5833" spans="1:8">
      <c r="H5833" s="138" t="s">
        <v>3034</v>
      </c>
    </row>
    <row r="5834" spans="1:8">
      <c r="H5834" s="138" t="s">
        <v>3059</v>
      </c>
    </row>
    <row r="5835" spans="1:8">
      <c r="H5835" s="138" t="s">
        <v>3068</v>
      </c>
    </row>
    <row r="5836" spans="1:8">
      <c r="H5836" s="138" t="s">
        <v>3072</v>
      </c>
    </row>
    <row r="5837" spans="1:8">
      <c r="H5837" s="139" t="s">
        <v>2151</v>
      </c>
    </row>
    <row r="5838" spans="1:8" ht="15.75" thickBot="1">
      <c r="H5838" s="139" t="s">
        <v>3073</v>
      </c>
    </row>
    <row r="5839" spans="1:8" ht="15.75" thickBot="1">
      <c r="H5839" s="312">
        <v>13749827.810000001</v>
      </c>
    </row>
    <row r="5840" spans="1:8">
      <c r="A5840" s="310">
        <v>45467</v>
      </c>
      <c r="B5840" s="311"/>
      <c r="C5840" s="311" t="s">
        <v>79</v>
      </c>
      <c r="D5840" s="3" t="s">
        <v>79</v>
      </c>
      <c r="E5840" s="1497">
        <v>36487.35</v>
      </c>
      <c r="F5840" s="1497"/>
      <c r="G5840" s="311" t="s">
        <v>27</v>
      </c>
      <c r="H5840" s="5"/>
    </row>
    <row r="5841" spans="1:8">
      <c r="A5841" s="310">
        <v>45467</v>
      </c>
      <c r="B5841" s="311"/>
      <c r="C5841" s="311" t="s">
        <v>79</v>
      </c>
      <c r="D5841" s="3" t="s">
        <v>79</v>
      </c>
      <c r="E5841" s="1497">
        <v>24800</v>
      </c>
      <c r="F5841" s="1497"/>
      <c r="G5841" s="311" t="s">
        <v>27</v>
      </c>
      <c r="H5841" s="3"/>
    </row>
    <row r="5842" spans="1:8">
      <c r="A5842" s="310">
        <v>45467</v>
      </c>
      <c r="B5842" s="311"/>
      <c r="C5842" s="311" t="s">
        <v>79</v>
      </c>
      <c r="D5842" s="3" t="s">
        <v>195</v>
      </c>
      <c r="E5842" s="1497" t="s">
        <v>3074</v>
      </c>
      <c r="F5842" s="1497"/>
      <c r="G5842" s="311" t="s">
        <v>27</v>
      </c>
      <c r="H5842" s="3"/>
    </row>
    <row r="5843" spans="1:8">
      <c r="A5843" s="310">
        <v>45467</v>
      </c>
      <c r="B5843" s="311"/>
      <c r="C5843" s="311" t="s">
        <v>79</v>
      </c>
      <c r="D5843" s="3" t="s">
        <v>195</v>
      </c>
      <c r="E5843" s="1497">
        <v>25000</v>
      </c>
      <c r="F5843" s="1497"/>
      <c r="G5843" s="311" t="s">
        <v>27</v>
      </c>
      <c r="H5843" s="3"/>
    </row>
    <row r="5844" spans="1:8">
      <c r="A5844" s="310">
        <v>45467</v>
      </c>
      <c r="B5844" s="311"/>
      <c r="C5844" s="311" t="s">
        <v>79</v>
      </c>
      <c r="D5844" s="3" t="s">
        <v>2375</v>
      </c>
      <c r="E5844" s="1497">
        <v>19447.5</v>
      </c>
      <c r="F5844" s="1513"/>
      <c r="G5844" s="311" t="s">
        <v>27</v>
      </c>
      <c r="H5844" s="3"/>
    </row>
    <row r="5845" spans="1:8">
      <c r="A5845" s="310">
        <v>45467</v>
      </c>
      <c r="B5845" s="311"/>
      <c r="C5845" s="311" t="s">
        <v>79</v>
      </c>
      <c r="D5845" s="3" t="s">
        <v>2375</v>
      </c>
      <c r="E5845" s="1497">
        <v>12894</v>
      </c>
      <c r="F5845" s="1497"/>
      <c r="G5845" s="311" t="s">
        <v>27</v>
      </c>
      <c r="H5845" s="3"/>
    </row>
    <row r="5846" spans="1:8">
      <c r="A5846" s="310">
        <v>45467</v>
      </c>
      <c r="B5846" s="311"/>
      <c r="C5846" s="311" t="s">
        <v>92</v>
      </c>
      <c r="D5846" s="3" t="s">
        <v>886</v>
      </c>
      <c r="E5846" s="1497"/>
      <c r="F5846" s="1497">
        <v>598900</v>
      </c>
      <c r="G5846" s="311" t="s">
        <v>27</v>
      </c>
      <c r="H5846" s="3"/>
    </row>
    <row r="5847" spans="1:8">
      <c r="A5847" s="314">
        <v>45468</v>
      </c>
      <c r="B5847" s="311"/>
      <c r="C5847" s="311" t="s">
        <v>55</v>
      </c>
      <c r="D5847" s="3" t="s">
        <v>562</v>
      </c>
      <c r="E5847" s="1497">
        <v>7520</v>
      </c>
      <c r="F5847" s="1497"/>
      <c r="G5847" s="311" t="s">
        <v>56</v>
      </c>
      <c r="H5847" s="3"/>
    </row>
    <row r="5848" spans="1:8">
      <c r="A5848" s="314">
        <v>45468</v>
      </c>
      <c r="B5848" s="311"/>
      <c r="C5848" s="311" t="s">
        <v>537</v>
      </c>
      <c r="D5848" s="3" t="s">
        <v>79</v>
      </c>
      <c r="E5848" s="1497">
        <v>80000</v>
      </c>
      <c r="F5848" s="1497"/>
      <c r="G5848" s="311" t="s">
        <v>27</v>
      </c>
      <c r="H5848" s="3"/>
    </row>
    <row r="5849" spans="1:8">
      <c r="A5849" s="314">
        <v>45468</v>
      </c>
      <c r="B5849" s="311"/>
      <c r="C5849" s="311" t="s">
        <v>831</v>
      </c>
      <c r="D5849" s="3" t="s">
        <v>3076</v>
      </c>
      <c r="E5849" s="1497">
        <v>40000</v>
      </c>
      <c r="F5849" s="1497"/>
      <c r="G5849" s="311" t="s">
        <v>56</v>
      </c>
      <c r="H5849" s="3"/>
    </row>
    <row r="5850" spans="1:8">
      <c r="A5850" s="314">
        <v>45468</v>
      </c>
      <c r="B5850" s="311"/>
      <c r="C5850" s="311" t="s">
        <v>94</v>
      </c>
      <c r="D5850" s="3" t="s">
        <v>3075</v>
      </c>
      <c r="E5850" s="1497">
        <v>90294.55</v>
      </c>
      <c r="F5850" s="1497"/>
      <c r="G5850" s="311" t="s">
        <v>27</v>
      </c>
      <c r="H5850" s="3"/>
    </row>
    <row r="5851" spans="1:8">
      <c r="A5851" s="314">
        <v>45468</v>
      </c>
      <c r="B5851" s="311"/>
      <c r="C5851" s="311" t="s">
        <v>29</v>
      </c>
      <c r="D5851" s="3" t="s">
        <v>3077</v>
      </c>
      <c r="E5851" s="1497">
        <v>8000</v>
      </c>
      <c r="F5851" s="1497"/>
      <c r="G5851" s="311" t="s">
        <v>56</v>
      </c>
      <c r="H5851" s="45" t="s">
        <v>733</v>
      </c>
    </row>
    <row r="5852" spans="1:8">
      <c r="A5852" s="319">
        <v>45468</v>
      </c>
      <c r="B5852" s="311"/>
      <c r="C5852" s="311" t="s">
        <v>831</v>
      </c>
      <c r="D5852" s="3" t="s">
        <v>2561</v>
      </c>
      <c r="E5852" s="1497">
        <v>15500</v>
      </c>
      <c r="F5852" s="1497"/>
      <c r="G5852" s="311" t="s">
        <v>56</v>
      </c>
      <c r="H5852" s="3"/>
    </row>
    <row r="5853" spans="1:8">
      <c r="A5853" s="319">
        <v>45468</v>
      </c>
      <c r="B5853" s="311"/>
      <c r="C5853" s="311" t="s">
        <v>86</v>
      </c>
      <c r="D5853" s="3" t="s">
        <v>104</v>
      </c>
      <c r="E5853" s="1497">
        <v>20000</v>
      </c>
      <c r="F5853" s="1497"/>
      <c r="G5853" s="311" t="s">
        <v>56</v>
      </c>
      <c r="H5853" s="3"/>
    </row>
    <row r="5854" spans="1:8">
      <c r="A5854" s="319">
        <v>45468</v>
      </c>
      <c r="B5854" s="311"/>
      <c r="C5854" s="311" t="s">
        <v>29</v>
      </c>
      <c r="D5854" s="3" t="s">
        <v>38</v>
      </c>
      <c r="E5854" s="1497">
        <v>1360</v>
      </c>
      <c r="F5854" s="1497"/>
      <c r="G5854" s="320" t="s">
        <v>56</v>
      </c>
      <c r="H5854" s="3"/>
    </row>
    <row r="5855" spans="1:8">
      <c r="A5855" s="319">
        <v>45469</v>
      </c>
      <c r="B5855" s="311"/>
      <c r="C5855" s="247" t="s">
        <v>77</v>
      </c>
      <c r="D5855" s="3" t="s">
        <v>3078</v>
      </c>
      <c r="E5855" s="1497"/>
      <c r="F5855" s="1497">
        <v>2304000</v>
      </c>
      <c r="G5855" s="320" t="s">
        <v>56</v>
      </c>
      <c r="H5855" s="3"/>
    </row>
    <row r="5856" spans="1:8">
      <c r="A5856" s="319">
        <v>45469</v>
      </c>
      <c r="B5856" s="320"/>
      <c r="C5856" s="311" t="s">
        <v>86</v>
      </c>
      <c r="D5856" s="3" t="s">
        <v>3079</v>
      </c>
      <c r="E5856" s="1497">
        <v>30000</v>
      </c>
      <c r="F5856" s="1497"/>
      <c r="G5856" s="320" t="s">
        <v>27</v>
      </c>
      <c r="H5856" s="3"/>
    </row>
    <row r="5857" spans="1:8">
      <c r="A5857" s="319">
        <v>45469</v>
      </c>
      <c r="B5857" s="320"/>
      <c r="C5857" s="320" t="s">
        <v>3082</v>
      </c>
      <c r="D5857" s="3" t="s">
        <v>3080</v>
      </c>
      <c r="E5857" s="1497">
        <v>44600</v>
      </c>
      <c r="F5857" s="1497"/>
      <c r="G5857" s="320" t="s">
        <v>27</v>
      </c>
      <c r="H5857" s="3"/>
    </row>
    <row r="5858" spans="1:8">
      <c r="A5858" s="319">
        <v>45469</v>
      </c>
      <c r="B5858" s="320"/>
      <c r="C5858" s="321" t="s">
        <v>3082</v>
      </c>
      <c r="D5858" s="3" t="s">
        <v>3080</v>
      </c>
      <c r="E5858" s="1497">
        <v>56000</v>
      </c>
      <c r="F5858" s="1497"/>
      <c r="G5858" s="320" t="s">
        <v>27</v>
      </c>
      <c r="H5858" s="3"/>
    </row>
    <row r="5859" spans="1:8">
      <c r="A5859" s="322">
        <v>45470</v>
      </c>
      <c r="B5859" s="320"/>
      <c r="C5859" s="320" t="s">
        <v>79</v>
      </c>
      <c r="D5859" s="3" t="s">
        <v>3081</v>
      </c>
      <c r="E5859" s="1497">
        <v>22000</v>
      </c>
      <c r="F5859" s="1497"/>
      <c r="G5859" s="320" t="s">
        <v>27</v>
      </c>
      <c r="H5859" s="3"/>
    </row>
    <row r="5860" spans="1:8">
      <c r="A5860" s="322">
        <v>45470</v>
      </c>
      <c r="B5860" s="320"/>
      <c r="C5860" s="320" t="s">
        <v>537</v>
      </c>
      <c r="D5860" s="3" t="s">
        <v>144</v>
      </c>
      <c r="E5860" s="1497">
        <v>133732.60999999999</v>
      </c>
      <c r="F5860" s="1497"/>
      <c r="G5860" s="320" t="s">
        <v>27</v>
      </c>
      <c r="H5860" s="3"/>
    </row>
    <row r="5861" spans="1:8">
      <c r="A5861" s="322">
        <v>45470</v>
      </c>
      <c r="B5861" s="320"/>
      <c r="C5861" s="320" t="s">
        <v>77</v>
      </c>
      <c r="D5861" s="3" t="s">
        <v>3083</v>
      </c>
      <c r="E5861" s="1497"/>
      <c r="F5861" s="1497">
        <v>190000</v>
      </c>
      <c r="G5861" s="320" t="s">
        <v>56</v>
      </c>
      <c r="H5861" s="3"/>
    </row>
    <row r="5862" spans="1:8">
      <c r="A5862" s="322">
        <v>45470</v>
      </c>
      <c r="B5862" s="321"/>
      <c r="C5862" s="321" t="s">
        <v>29</v>
      </c>
      <c r="D5862" s="3" t="s">
        <v>71</v>
      </c>
      <c r="E5862" s="1497">
        <v>443200</v>
      </c>
      <c r="F5862" s="1497"/>
      <c r="G5862" s="321" t="s">
        <v>72</v>
      </c>
      <c r="H5862" s="3"/>
    </row>
    <row r="5863" spans="1:8">
      <c r="A5863" s="322">
        <v>45470</v>
      </c>
      <c r="B5863" s="321"/>
      <c r="C5863" s="321" t="s">
        <v>29</v>
      </c>
      <c r="D5863" s="3" t="s">
        <v>71</v>
      </c>
      <c r="E5863" s="1497">
        <v>700000</v>
      </c>
      <c r="F5863" s="1497"/>
      <c r="G5863" s="321" t="s">
        <v>56</v>
      </c>
      <c r="H5863" s="3"/>
    </row>
    <row r="5864" spans="1:8">
      <c r="A5864" s="322">
        <v>45470</v>
      </c>
      <c r="B5864" s="321"/>
      <c r="C5864" s="321" t="s">
        <v>29</v>
      </c>
      <c r="D5864" s="3" t="s">
        <v>71</v>
      </c>
      <c r="E5864" s="1497">
        <v>30500</v>
      </c>
      <c r="F5864" s="1497"/>
      <c r="G5864" s="321" t="s">
        <v>27</v>
      </c>
      <c r="H5864" s="3"/>
    </row>
    <row r="5865" spans="1:8">
      <c r="A5865" s="322">
        <v>45470</v>
      </c>
      <c r="B5865" s="321"/>
      <c r="C5865" s="321" t="s">
        <v>55</v>
      </c>
      <c r="D5865" s="3" t="s">
        <v>2764</v>
      </c>
      <c r="E5865" s="1497">
        <v>1700</v>
      </c>
      <c r="F5865" s="1497"/>
      <c r="G5865" s="321" t="s">
        <v>56</v>
      </c>
      <c r="H5865" s="3"/>
    </row>
    <row r="5866" spans="1:8">
      <c r="A5866" s="322">
        <v>45470</v>
      </c>
      <c r="B5866" s="321"/>
      <c r="C5866" s="321" t="s">
        <v>92</v>
      </c>
      <c r="D5866" s="3" t="s">
        <v>3084</v>
      </c>
      <c r="E5866" s="1497"/>
      <c r="F5866" s="1497">
        <v>150100</v>
      </c>
      <c r="G5866" s="321" t="s">
        <v>27</v>
      </c>
      <c r="H5866" s="3"/>
    </row>
    <row r="5867" spans="1:8">
      <c r="A5867" s="322">
        <v>45470</v>
      </c>
      <c r="B5867" s="321"/>
      <c r="C5867" s="321" t="s">
        <v>86</v>
      </c>
      <c r="D5867" s="3" t="s">
        <v>104</v>
      </c>
      <c r="E5867" s="1497">
        <v>20000</v>
      </c>
      <c r="F5867" s="1497"/>
      <c r="G5867" s="321" t="s">
        <v>27</v>
      </c>
      <c r="H5867" s="3" t="s">
        <v>454</v>
      </c>
    </row>
    <row r="5868" spans="1:8">
      <c r="A5868" s="323">
        <v>45471</v>
      </c>
      <c r="B5868" s="321"/>
      <c r="C5868" s="321" t="s">
        <v>92</v>
      </c>
      <c r="D5868" s="3" t="s">
        <v>3085</v>
      </c>
      <c r="E5868" s="1497"/>
      <c r="F5868" s="1497">
        <v>539980</v>
      </c>
      <c r="G5868" s="321" t="s">
        <v>27</v>
      </c>
      <c r="H5868" s="3"/>
    </row>
    <row r="5869" spans="1:8">
      <c r="A5869" s="323">
        <v>45471</v>
      </c>
      <c r="B5869" s="324"/>
      <c r="C5869" s="324" t="s">
        <v>79</v>
      </c>
      <c r="D5869" s="3" t="s">
        <v>526</v>
      </c>
      <c r="E5869" s="1497">
        <v>33894.32</v>
      </c>
      <c r="F5869" s="1497"/>
      <c r="G5869" s="324" t="s">
        <v>27</v>
      </c>
      <c r="H5869" s="3"/>
    </row>
    <row r="5870" spans="1:8">
      <c r="A5870" s="323">
        <v>45471</v>
      </c>
      <c r="B5870" s="324"/>
      <c r="C5870" s="324" t="s">
        <v>79</v>
      </c>
      <c r="D5870" s="15" t="s">
        <v>3086</v>
      </c>
      <c r="E5870" s="1497">
        <v>7795.64</v>
      </c>
      <c r="F5870" s="1497"/>
      <c r="G5870" s="324" t="s">
        <v>27</v>
      </c>
      <c r="H5870" s="3"/>
    </row>
    <row r="5871" spans="1:8">
      <c r="A5871" s="323">
        <v>45471</v>
      </c>
      <c r="B5871" s="324"/>
      <c r="C5871" s="324" t="s">
        <v>79</v>
      </c>
      <c r="D5871" s="15" t="s">
        <v>3086</v>
      </c>
      <c r="E5871" s="1497">
        <v>8575.2199999999993</v>
      </c>
      <c r="F5871" s="1497"/>
      <c r="G5871" s="324" t="s">
        <v>27</v>
      </c>
      <c r="H5871" s="3"/>
    </row>
    <row r="5872" spans="1:8">
      <c r="A5872" s="323">
        <v>45471</v>
      </c>
      <c r="B5872" s="324"/>
      <c r="C5872" s="324" t="s">
        <v>86</v>
      </c>
      <c r="D5872" s="3" t="s">
        <v>107</v>
      </c>
      <c r="E5872" s="1497">
        <v>21800</v>
      </c>
      <c r="F5872" s="1497"/>
      <c r="G5872" s="324" t="s">
        <v>27</v>
      </c>
      <c r="H5872" s="3"/>
    </row>
    <row r="5873" spans="1:8">
      <c r="A5873" s="323">
        <v>45471</v>
      </c>
      <c r="B5873" s="324"/>
      <c r="C5873" s="324" t="s">
        <v>730</v>
      </c>
      <c r="D5873" s="3" t="s">
        <v>3087</v>
      </c>
      <c r="E5873" s="1497">
        <v>80000</v>
      </c>
      <c r="F5873" s="1497"/>
      <c r="G5873" s="324" t="s">
        <v>27</v>
      </c>
      <c r="H5873" s="3"/>
    </row>
    <row r="5874" spans="1:8">
      <c r="A5874" s="323">
        <v>45471</v>
      </c>
      <c r="B5874" s="324"/>
      <c r="C5874" s="324" t="s">
        <v>29</v>
      </c>
      <c r="D5874" s="3" t="s">
        <v>37</v>
      </c>
      <c r="E5874" s="1497">
        <v>299112</v>
      </c>
      <c r="F5874" s="1497"/>
      <c r="G5874" s="324" t="s">
        <v>27</v>
      </c>
      <c r="H5874" s="3"/>
    </row>
    <row r="5875" spans="1:8">
      <c r="A5875" s="323">
        <v>45471</v>
      </c>
      <c r="B5875" s="324"/>
      <c r="C5875" s="324" t="s">
        <v>29</v>
      </c>
      <c r="D5875" s="3" t="s">
        <v>3088</v>
      </c>
      <c r="E5875" s="1497">
        <v>238000</v>
      </c>
      <c r="F5875" s="1497"/>
      <c r="G5875" s="324" t="s">
        <v>27</v>
      </c>
      <c r="H5875" s="3"/>
    </row>
    <row r="5876" spans="1:8">
      <c r="A5876" s="323">
        <v>45471</v>
      </c>
      <c r="B5876" s="324"/>
      <c r="C5876" s="324" t="s">
        <v>90</v>
      </c>
      <c r="D5876" s="3" t="s">
        <v>2954</v>
      </c>
      <c r="E5876" s="1497">
        <v>7000</v>
      </c>
      <c r="F5876" s="1497"/>
      <c r="G5876" s="324" t="s">
        <v>56</v>
      </c>
      <c r="H5876" s="3"/>
    </row>
    <row r="5877" spans="1:8">
      <c r="A5877" s="323">
        <v>45471</v>
      </c>
      <c r="B5877" s="324"/>
      <c r="C5877" s="324" t="s">
        <v>831</v>
      </c>
      <c r="D5877" s="3" t="s">
        <v>2561</v>
      </c>
      <c r="E5877" s="1497">
        <v>17400</v>
      </c>
      <c r="F5877" s="1497"/>
      <c r="G5877" s="324" t="s">
        <v>56</v>
      </c>
      <c r="H5877" s="3" t="s">
        <v>454</v>
      </c>
    </row>
    <row r="5878" spans="1:8">
      <c r="A5878" s="323">
        <v>45471</v>
      </c>
      <c r="B5878" s="324"/>
      <c r="C5878" s="324" t="s">
        <v>537</v>
      </c>
      <c r="D5878" s="3" t="s">
        <v>219</v>
      </c>
      <c r="E5878" s="1497">
        <v>142500</v>
      </c>
      <c r="F5878" s="1497"/>
      <c r="G5878" s="324" t="s">
        <v>56</v>
      </c>
      <c r="H5878" s="3"/>
    </row>
    <row r="5879" spans="1:8">
      <c r="A5879" s="323">
        <v>45471</v>
      </c>
      <c r="B5879" s="324"/>
      <c r="C5879" s="324" t="s">
        <v>537</v>
      </c>
      <c r="D5879" s="3" t="s">
        <v>208</v>
      </c>
      <c r="E5879" s="1497">
        <v>70000</v>
      </c>
      <c r="F5879" s="1497"/>
      <c r="G5879" s="324" t="s">
        <v>56</v>
      </c>
      <c r="H5879" s="3"/>
    </row>
    <row r="5880" spans="1:8">
      <c r="A5880" s="323">
        <v>45471</v>
      </c>
      <c r="B5880" s="324"/>
      <c r="C5880" s="324" t="s">
        <v>537</v>
      </c>
      <c r="D5880" s="3" t="s">
        <v>144</v>
      </c>
      <c r="E5880" s="1497">
        <v>78267.39</v>
      </c>
      <c r="F5880" s="1497"/>
      <c r="G5880" s="324" t="s">
        <v>56</v>
      </c>
      <c r="H5880" s="3"/>
    </row>
    <row r="5881" spans="1:8">
      <c r="A5881" s="323">
        <v>45471</v>
      </c>
      <c r="B5881" s="324"/>
      <c r="C5881" s="324" t="s">
        <v>537</v>
      </c>
      <c r="D5881" s="3" t="s">
        <v>193</v>
      </c>
      <c r="E5881" s="1497">
        <v>80000</v>
      </c>
      <c r="F5881" s="1497"/>
      <c r="G5881" s="324" t="s">
        <v>56</v>
      </c>
      <c r="H5881" s="3"/>
    </row>
    <row r="5882" spans="1:8" ht="15.75" thickBot="1">
      <c r="A5882" s="323">
        <v>45471</v>
      </c>
      <c r="B5882" s="324"/>
      <c r="C5882" s="324" t="s">
        <v>537</v>
      </c>
      <c r="D5882" s="3" t="s">
        <v>1061</v>
      </c>
      <c r="E5882" s="1497">
        <v>2197.5500000000002</v>
      </c>
      <c r="F5882" s="57"/>
      <c r="G5882" s="324" t="s">
        <v>56</v>
      </c>
      <c r="H5882" s="3"/>
    </row>
    <row r="5883" spans="1:8" ht="15.75" thickBot="1">
      <c r="A5883" s="62"/>
      <c r="B5883" s="62"/>
      <c r="C5883" s="62"/>
      <c r="D5883" s="5"/>
      <c r="E5883" s="144"/>
      <c r="F5883" s="331">
        <v>16043682.18</v>
      </c>
      <c r="G5883" s="327"/>
      <c r="H5883" s="5"/>
    </row>
    <row r="5884" spans="1:8" ht="15.75" thickBot="1">
      <c r="A5884" s="324"/>
      <c r="B5884" s="324"/>
      <c r="C5884" s="324"/>
      <c r="D5884" s="3"/>
      <c r="E5884" s="1497"/>
      <c r="F5884" s="62"/>
      <c r="G5884" s="324"/>
      <c r="H5884" s="201">
        <v>45471</v>
      </c>
    </row>
    <row r="5885" spans="1:8">
      <c r="A5885" s="324"/>
      <c r="B5885" s="324"/>
      <c r="C5885" s="324"/>
      <c r="D5885" s="3"/>
      <c r="E5885" s="1497"/>
      <c r="F5885" s="1497"/>
      <c r="G5885" s="324"/>
      <c r="H5885" s="199" t="s">
        <v>3033</v>
      </c>
    </row>
    <row r="5886" spans="1:8">
      <c r="H5886" s="137" t="s">
        <v>3095</v>
      </c>
    </row>
    <row r="5887" spans="1:8">
      <c r="H5887" s="138" t="s">
        <v>3091</v>
      </c>
    </row>
    <row r="5888" spans="1:8">
      <c r="H5888" s="138" t="s">
        <v>3089</v>
      </c>
    </row>
    <row r="5889" spans="1:8">
      <c r="H5889" s="138" t="s">
        <v>3090</v>
      </c>
    </row>
    <row r="5890" spans="1:8">
      <c r="H5890" s="138" t="s">
        <v>3092</v>
      </c>
    </row>
    <row r="5891" spans="1:8">
      <c r="H5891" s="138" t="s">
        <v>1215</v>
      </c>
    </row>
    <row r="5892" spans="1:8">
      <c r="H5892" s="138" t="s">
        <v>3093</v>
      </c>
    </row>
    <row r="5893" spans="1:8">
      <c r="H5893" s="139" t="s">
        <v>2151</v>
      </c>
    </row>
    <row r="5894" spans="1:8" ht="15.75" thickBot="1">
      <c r="H5894" s="139" t="s">
        <v>3094</v>
      </c>
    </row>
    <row r="5895" spans="1:8">
      <c r="H5895" s="330">
        <v>14741207.15</v>
      </c>
    </row>
    <row r="5896" spans="1:8">
      <c r="A5896" s="337">
        <v>45474</v>
      </c>
      <c r="B5896" s="338"/>
      <c r="C5896" s="338" t="s">
        <v>176</v>
      </c>
      <c r="D5896" s="3" t="s">
        <v>175</v>
      </c>
      <c r="E5896" s="1497">
        <v>180000</v>
      </c>
      <c r="F5896" s="1497"/>
      <c r="G5896" s="338" t="s">
        <v>56</v>
      </c>
      <c r="H5896" s="341"/>
    </row>
    <row r="5897" spans="1:8">
      <c r="A5897" s="326">
        <v>45474</v>
      </c>
      <c r="B5897" s="325"/>
      <c r="C5897" s="325" t="s">
        <v>79</v>
      </c>
      <c r="D5897" s="3" t="s">
        <v>79</v>
      </c>
      <c r="E5897" s="1497">
        <v>17774</v>
      </c>
      <c r="F5897" s="1497"/>
      <c r="G5897" s="325" t="s">
        <v>27</v>
      </c>
      <c r="H5897" s="3"/>
    </row>
    <row r="5898" spans="1:8">
      <c r="A5898" s="326">
        <v>45474</v>
      </c>
      <c r="B5898" s="325"/>
      <c r="C5898" s="325" t="s">
        <v>79</v>
      </c>
      <c r="D5898" s="3" t="s">
        <v>79</v>
      </c>
      <c r="E5898" s="1497">
        <v>78191</v>
      </c>
      <c r="F5898" s="1497"/>
      <c r="G5898" s="325" t="s">
        <v>27</v>
      </c>
      <c r="H5898" s="3"/>
    </row>
    <row r="5899" spans="1:8">
      <c r="A5899" s="326">
        <v>45474</v>
      </c>
      <c r="B5899" s="325"/>
      <c r="C5899" s="325" t="s">
        <v>79</v>
      </c>
      <c r="D5899" s="3" t="s">
        <v>435</v>
      </c>
      <c r="E5899" s="1497">
        <v>31011.52</v>
      </c>
      <c r="F5899" s="1497"/>
      <c r="G5899" s="325" t="s">
        <v>27</v>
      </c>
      <c r="H5899" s="3"/>
    </row>
    <row r="5900" spans="1:8">
      <c r="A5900" s="326">
        <v>45474</v>
      </c>
      <c r="B5900" s="325"/>
      <c r="C5900" s="325" t="s">
        <v>65</v>
      </c>
      <c r="D5900" s="3" t="s">
        <v>436</v>
      </c>
      <c r="E5900" s="1497">
        <v>9200</v>
      </c>
      <c r="F5900" s="1497"/>
      <c r="G5900" s="325" t="s">
        <v>27</v>
      </c>
      <c r="H5900" s="3"/>
    </row>
    <row r="5901" spans="1:8">
      <c r="A5901" s="326">
        <v>45474</v>
      </c>
      <c r="B5901" s="325"/>
      <c r="C5901" s="325" t="s">
        <v>65</v>
      </c>
      <c r="D5901" s="3" t="s">
        <v>437</v>
      </c>
      <c r="E5901" s="1497">
        <v>9200</v>
      </c>
      <c r="F5901" s="1497"/>
      <c r="G5901" s="325" t="s">
        <v>27</v>
      </c>
      <c r="H5901" s="3"/>
    </row>
    <row r="5902" spans="1:8">
      <c r="A5902" s="326">
        <v>45474</v>
      </c>
      <c r="B5902" s="325"/>
      <c r="C5902" s="325" t="s">
        <v>86</v>
      </c>
      <c r="D5902" s="3" t="s">
        <v>104</v>
      </c>
      <c r="E5902" s="1497">
        <v>20000</v>
      </c>
      <c r="F5902" s="1497"/>
      <c r="G5902" s="325" t="s">
        <v>56</v>
      </c>
      <c r="H5902" s="3"/>
    </row>
    <row r="5903" spans="1:8">
      <c r="A5903" s="326">
        <v>45474</v>
      </c>
      <c r="B5903" s="325"/>
      <c r="C5903" s="325" t="s">
        <v>86</v>
      </c>
      <c r="D5903" s="3" t="s">
        <v>104</v>
      </c>
      <c r="E5903" s="1497">
        <v>10000</v>
      </c>
      <c r="F5903" s="1497"/>
      <c r="G5903" s="325" t="s">
        <v>56</v>
      </c>
      <c r="H5903" s="3"/>
    </row>
    <row r="5904" spans="1:8">
      <c r="A5904" s="326">
        <v>45474</v>
      </c>
      <c r="B5904" s="325"/>
      <c r="C5904" s="325" t="s">
        <v>90</v>
      </c>
      <c r="D5904" s="15" t="s">
        <v>3096</v>
      </c>
      <c r="E5904" s="1497">
        <v>37381.019999999997</v>
      </c>
      <c r="F5904" s="1497"/>
      <c r="G5904" s="325" t="s">
        <v>27</v>
      </c>
      <c r="H5904" s="3"/>
    </row>
    <row r="5905" spans="1:8">
      <c r="A5905" s="328">
        <v>45474</v>
      </c>
      <c r="B5905" s="329"/>
      <c r="C5905" s="329" t="s">
        <v>79</v>
      </c>
      <c r="D5905" s="3" t="s">
        <v>667</v>
      </c>
      <c r="E5905" s="1497">
        <v>41910</v>
      </c>
      <c r="F5905" s="1497"/>
      <c r="G5905" s="332" t="s">
        <v>27</v>
      </c>
      <c r="H5905" s="3"/>
    </row>
    <row r="5906" spans="1:8">
      <c r="A5906" s="328">
        <v>45474</v>
      </c>
      <c r="B5906" s="329"/>
      <c r="C5906" s="329" t="s">
        <v>29</v>
      </c>
      <c r="D5906" s="3" t="s">
        <v>2495</v>
      </c>
      <c r="E5906" s="1497">
        <v>151658</v>
      </c>
      <c r="F5906" s="1497"/>
      <c r="G5906" s="329"/>
      <c r="H5906" s="3"/>
    </row>
    <row r="5907" spans="1:8">
      <c r="A5907" s="328">
        <v>45475</v>
      </c>
      <c r="B5907" s="329"/>
      <c r="C5907" s="329" t="s">
        <v>77</v>
      </c>
      <c r="D5907" s="15" t="s">
        <v>3097</v>
      </c>
      <c r="E5907" s="1497"/>
      <c r="F5907" s="1497">
        <v>680000</v>
      </c>
      <c r="G5907" s="329" t="s">
        <v>56</v>
      </c>
      <c r="H5907" s="3"/>
    </row>
    <row r="5908" spans="1:8">
      <c r="A5908" s="328">
        <v>45475</v>
      </c>
      <c r="B5908" s="329"/>
      <c r="C5908" s="329" t="s">
        <v>29</v>
      </c>
      <c r="D5908" s="3" t="s">
        <v>2194</v>
      </c>
      <c r="E5908" s="1497">
        <v>9000</v>
      </c>
      <c r="F5908" s="1497"/>
      <c r="G5908" s="329" t="s">
        <v>56</v>
      </c>
      <c r="H5908" s="3"/>
    </row>
    <row r="5909" spans="1:8">
      <c r="A5909" s="328">
        <v>45475</v>
      </c>
      <c r="B5909" s="329"/>
      <c r="C5909" s="329" t="s">
        <v>29</v>
      </c>
      <c r="D5909" s="3" t="s">
        <v>3098</v>
      </c>
      <c r="E5909" s="1497">
        <v>58000</v>
      </c>
      <c r="F5909" s="1497"/>
      <c r="G5909" s="329" t="s">
        <v>56</v>
      </c>
      <c r="H5909" s="3"/>
    </row>
    <row r="5910" spans="1:8">
      <c r="A5910" s="328">
        <v>45475</v>
      </c>
      <c r="B5910" s="329"/>
      <c r="C5910" s="329" t="s">
        <v>77</v>
      </c>
      <c r="D5910" s="3" t="s">
        <v>3099</v>
      </c>
      <c r="E5910" s="1497"/>
      <c r="F5910" s="1497">
        <v>12000</v>
      </c>
      <c r="G5910" s="329" t="s">
        <v>56</v>
      </c>
      <c r="H5910" s="3"/>
    </row>
    <row r="5911" spans="1:8">
      <c r="A5911" s="333">
        <v>45475</v>
      </c>
      <c r="B5911" s="332"/>
      <c r="C5911" s="332" t="s">
        <v>537</v>
      </c>
      <c r="D5911" s="3" t="s">
        <v>208</v>
      </c>
      <c r="E5911" s="1497">
        <v>10000</v>
      </c>
      <c r="F5911" s="1497"/>
      <c r="G5911" s="332" t="s">
        <v>56</v>
      </c>
      <c r="H5911" s="3"/>
    </row>
    <row r="5912" spans="1:8">
      <c r="A5912" s="334">
        <v>45477</v>
      </c>
      <c r="B5912" s="332"/>
      <c r="C5912" s="332" t="s">
        <v>79</v>
      </c>
      <c r="D5912" s="3" t="s">
        <v>79</v>
      </c>
      <c r="E5912" s="1497" t="s">
        <v>3101</v>
      </c>
      <c r="F5912" s="1497"/>
      <c r="G5912" s="332" t="s">
        <v>27</v>
      </c>
      <c r="H5912" s="3"/>
    </row>
    <row r="5913" spans="1:8">
      <c r="A5913" s="334">
        <v>45477</v>
      </c>
      <c r="B5913" s="335"/>
      <c r="C5913" s="335" t="s">
        <v>730</v>
      </c>
      <c r="D5913" s="3" t="s">
        <v>3102</v>
      </c>
      <c r="E5913" s="1497">
        <v>30000</v>
      </c>
      <c r="F5913" s="1497"/>
      <c r="G5913" s="335" t="s">
        <v>27</v>
      </c>
      <c r="H5913" s="3"/>
    </row>
    <row r="5914" spans="1:8">
      <c r="A5914" s="334">
        <v>45477</v>
      </c>
      <c r="B5914" s="335"/>
      <c r="C5914" s="335" t="s">
        <v>55</v>
      </c>
      <c r="D5914" s="3" t="s">
        <v>1268</v>
      </c>
      <c r="E5914" s="1497">
        <v>15000</v>
      </c>
      <c r="F5914" s="1497"/>
      <c r="G5914" s="335" t="s">
        <v>27</v>
      </c>
      <c r="H5914" s="3"/>
    </row>
    <row r="5915" spans="1:8">
      <c r="A5915" s="334">
        <v>45477</v>
      </c>
      <c r="B5915" s="335"/>
      <c r="C5915" s="335" t="s">
        <v>86</v>
      </c>
      <c r="D5915" s="15" t="s">
        <v>104</v>
      </c>
      <c r="E5915" s="1497">
        <v>20000</v>
      </c>
      <c r="F5915" s="1497"/>
      <c r="G5915" s="335" t="s">
        <v>56</v>
      </c>
      <c r="H5915" s="3"/>
    </row>
    <row r="5916" spans="1:8">
      <c r="A5916" s="334">
        <v>45477</v>
      </c>
      <c r="B5916" s="335"/>
      <c r="C5916" s="335" t="s">
        <v>2482</v>
      </c>
      <c r="D5916" s="3" t="s">
        <v>3103</v>
      </c>
      <c r="E5916" s="1497">
        <v>244900</v>
      </c>
      <c r="F5916" s="1497"/>
      <c r="G5916" s="335" t="s">
        <v>56</v>
      </c>
      <c r="H5916" s="3"/>
    </row>
    <row r="5917" spans="1:8">
      <c r="A5917" s="334">
        <v>45477</v>
      </c>
      <c r="B5917" s="335"/>
      <c r="C5917" s="335" t="s">
        <v>29</v>
      </c>
      <c r="D5917" s="3" t="s">
        <v>48</v>
      </c>
      <c r="E5917" s="1497">
        <v>355000</v>
      </c>
      <c r="F5917" s="1497"/>
      <c r="G5917" s="335" t="s">
        <v>56</v>
      </c>
      <c r="H5917" s="3"/>
    </row>
    <row r="5918" spans="1:8">
      <c r="A5918" s="334">
        <v>45477</v>
      </c>
      <c r="B5918" s="335"/>
      <c r="C5918" s="335" t="s">
        <v>29</v>
      </c>
      <c r="D5918" s="3" t="s">
        <v>48</v>
      </c>
      <c r="E5918" s="1497">
        <v>196800</v>
      </c>
      <c r="F5918" s="1497"/>
      <c r="G5918" s="335" t="s">
        <v>56</v>
      </c>
      <c r="H5918" s="3"/>
    </row>
    <row r="5919" spans="1:8">
      <c r="A5919" s="334">
        <v>45477</v>
      </c>
      <c r="B5919" s="335"/>
      <c r="C5919" s="335" t="s">
        <v>79</v>
      </c>
      <c r="D5919" s="15" t="s">
        <v>3105</v>
      </c>
      <c r="E5919" s="1497">
        <v>450000</v>
      </c>
      <c r="F5919" s="1497"/>
      <c r="G5919" s="335" t="s">
        <v>56</v>
      </c>
      <c r="H5919" s="3"/>
    </row>
    <row r="5920" spans="1:8">
      <c r="A5920" s="112">
        <v>45477</v>
      </c>
      <c r="B5920" s="70"/>
      <c r="C5920" s="70" t="s">
        <v>79</v>
      </c>
      <c r="D5920" s="113" t="s">
        <v>3104</v>
      </c>
      <c r="E5920" s="70">
        <v>700</v>
      </c>
      <c r="F5920" s="70"/>
      <c r="G5920" s="70" t="s">
        <v>781</v>
      </c>
      <c r="H5920" s="3"/>
    </row>
    <row r="5921" spans="1:8">
      <c r="A5921" s="334">
        <v>45477</v>
      </c>
      <c r="B5921" s="335"/>
      <c r="C5921" s="335" t="s">
        <v>90</v>
      </c>
      <c r="D5921" s="3" t="s">
        <v>1982</v>
      </c>
      <c r="E5921" s="1497">
        <v>7000</v>
      </c>
      <c r="F5921" s="1497"/>
      <c r="G5921" s="335" t="s">
        <v>56</v>
      </c>
      <c r="H5921" s="3"/>
    </row>
    <row r="5922" spans="1:8">
      <c r="A5922" s="337">
        <v>45478</v>
      </c>
      <c r="B5922" s="338"/>
      <c r="C5922" s="338" t="s">
        <v>537</v>
      </c>
      <c r="D5922" s="3" t="s">
        <v>208</v>
      </c>
      <c r="E5922" s="1497">
        <v>197000</v>
      </c>
      <c r="F5922" s="1497"/>
      <c r="G5922" s="338" t="s">
        <v>56</v>
      </c>
      <c r="H5922" s="3"/>
    </row>
    <row r="5923" spans="1:8">
      <c r="A5923" s="337">
        <v>45478</v>
      </c>
      <c r="B5923" s="338"/>
      <c r="C5923" s="338" t="s">
        <v>537</v>
      </c>
      <c r="D5923" s="3" t="s">
        <v>193</v>
      </c>
      <c r="E5923" s="1497">
        <v>90000</v>
      </c>
      <c r="F5923" s="1497"/>
      <c r="G5923" s="338" t="s">
        <v>56</v>
      </c>
      <c r="H5923" s="3"/>
    </row>
    <row r="5924" spans="1:8">
      <c r="A5924" s="337">
        <v>45478</v>
      </c>
      <c r="B5924" s="338"/>
      <c r="C5924" s="338" t="s">
        <v>537</v>
      </c>
      <c r="D5924" s="15" t="s">
        <v>219</v>
      </c>
      <c r="E5924" s="1497">
        <v>243750</v>
      </c>
      <c r="F5924" s="1497"/>
      <c r="G5924" s="338" t="s">
        <v>56</v>
      </c>
      <c r="H5924" s="3"/>
    </row>
    <row r="5925" spans="1:8">
      <c r="A5925" s="337">
        <v>45478</v>
      </c>
      <c r="B5925" s="338"/>
      <c r="C5925" s="338" t="s">
        <v>537</v>
      </c>
      <c r="D5925" s="3" t="s">
        <v>144</v>
      </c>
      <c r="E5925" s="1497">
        <v>33000</v>
      </c>
      <c r="F5925" s="1497"/>
      <c r="G5925" s="338" t="s">
        <v>56</v>
      </c>
      <c r="H5925" s="3"/>
    </row>
    <row r="5926" spans="1:8">
      <c r="A5926" s="337">
        <v>45478</v>
      </c>
      <c r="B5926" s="338"/>
      <c r="C5926" s="338" t="s">
        <v>537</v>
      </c>
      <c r="D5926" s="3" t="s">
        <v>144</v>
      </c>
      <c r="E5926" s="1497">
        <v>10000</v>
      </c>
      <c r="F5926" s="1497"/>
      <c r="G5926" s="338" t="s">
        <v>27</v>
      </c>
      <c r="H5926" s="3"/>
    </row>
    <row r="5927" spans="1:8">
      <c r="A5927" s="1547"/>
      <c r="B5927" s="1548"/>
      <c r="C5927" s="1548"/>
      <c r="D5927" s="1548"/>
      <c r="E5927" s="1548"/>
      <c r="F5927" s="1548"/>
      <c r="G5927" s="1548"/>
      <c r="H5927" s="1549"/>
    </row>
    <row r="5928" spans="1:8">
      <c r="A5928" s="337">
        <v>45481</v>
      </c>
      <c r="B5928" s="337"/>
      <c r="C5928" s="337" t="s">
        <v>55</v>
      </c>
      <c r="D5928" s="174" t="s">
        <v>3107</v>
      </c>
      <c r="E5928" s="1497">
        <v>8200</v>
      </c>
      <c r="F5928" s="1502"/>
      <c r="G5928" s="337" t="s">
        <v>56</v>
      </c>
      <c r="H5928" s="337"/>
    </row>
    <row r="5929" spans="1:8">
      <c r="A5929" s="337">
        <v>45481</v>
      </c>
      <c r="B5929" s="338"/>
      <c r="C5929" s="338" t="s">
        <v>79</v>
      </c>
      <c r="D5929" s="3" t="s">
        <v>79</v>
      </c>
      <c r="E5929" s="1497">
        <v>24400</v>
      </c>
      <c r="F5929" s="1497"/>
      <c r="G5929" s="338" t="s">
        <v>27</v>
      </c>
      <c r="H5929" s="3"/>
    </row>
    <row r="5930" spans="1:8">
      <c r="A5930" s="337">
        <v>45481</v>
      </c>
      <c r="B5930" s="338"/>
      <c r="C5930" s="338" t="s">
        <v>122</v>
      </c>
      <c r="D5930" s="3" t="s">
        <v>1546</v>
      </c>
      <c r="E5930" s="1497">
        <v>9000</v>
      </c>
      <c r="F5930" s="1497"/>
      <c r="G5930" s="338" t="s">
        <v>27</v>
      </c>
      <c r="H5930" s="3"/>
    </row>
    <row r="5931" spans="1:8">
      <c r="A5931" s="337">
        <v>45481</v>
      </c>
      <c r="B5931" s="338"/>
      <c r="C5931" s="338" t="s">
        <v>205</v>
      </c>
      <c r="D5931" s="3" t="s">
        <v>238</v>
      </c>
      <c r="E5931" s="1497">
        <v>14594.25</v>
      </c>
      <c r="F5931" s="1497"/>
      <c r="G5931" s="338" t="s">
        <v>27</v>
      </c>
      <c r="H5931" s="3"/>
    </row>
    <row r="5932" spans="1:8">
      <c r="A5932" s="337">
        <v>45481</v>
      </c>
      <c r="B5932" s="338"/>
      <c r="C5932" s="338" t="s">
        <v>205</v>
      </c>
      <c r="D5932" s="3" t="s">
        <v>3106</v>
      </c>
      <c r="E5932" s="1497">
        <v>14326.4</v>
      </c>
      <c r="F5932" s="1497"/>
      <c r="G5932" s="338" t="s">
        <v>27</v>
      </c>
      <c r="H5932" s="3"/>
    </row>
    <row r="5933" spans="1:8">
      <c r="A5933" s="337">
        <v>45481</v>
      </c>
      <c r="B5933" s="338"/>
      <c r="C5933" s="338" t="s">
        <v>92</v>
      </c>
      <c r="D5933" s="3" t="s">
        <v>2055</v>
      </c>
      <c r="E5933" s="1497"/>
      <c r="F5933" s="1497">
        <v>250000</v>
      </c>
      <c r="G5933" s="338" t="s">
        <v>56</v>
      </c>
      <c r="H5933" s="3"/>
    </row>
    <row r="5934" spans="1:8">
      <c r="A5934" s="337">
        <v>45481</v>
      </c>
      <c r="B5934" s="338"/>
      <c r="C5934" s="338" t="s">
        <v>537</v>
      </c>
      <c r="D5934" s="3" t="s">
        <v>144</v>
      </c>
      <c r="E5934" s="1497">
        <v>57000</v>
      </c>
      <c r="F5934" s="1497"/>
      <c r="G5934" s="338" t="s">
        <v>27</v>
      </c>
      <c r="H5934" s="3"/>
    </row>
    <row r="5935" spans="1:8">
      <c r="A5935" s="337">
        <v>45481</v>
      </c>
      <c r="B5935" s="338"/>
      <c r="C5935" s="338" t="s">
        <v>205</v>
      </c>
      <c r="D5935" s="3" t="s">
        <v>63</v>
      </c>
      <c r="E5935" s="1497">
        <v>4579.55</v>
      </c>
      <c r="F5935" s="1497"/>
      <c r="G5935" s="338" t="s">
        <v>56</v>
      </c>
      <c r="H5935" s="3"/>
    </row>
    <row r="5936" spans="1:8">
      <c r="A5936" s="337">
        <v>45481</v>
      </c>
      <c r="B5936" s="338"/>
      <c r="C5936" s="338" t="s">
        <v>92</v>
      </c>
      <c r="D5936" s="3" t="s">
        <v>1701</v>
      </c>
      <c r="E5936" s="1497"/>
      <c r="F5936" s="1497">
        <v>32000</v>
      </c>
      <c r="G5936" s="338" t="s">
        <v>56</v>
      </c>
      <c r="H5936" s="3"/>
    </row>
    <row r="5937" spans="1:8">
      <c r="A5937" s="337">
        <v>45481</v>
      </c>
      <c r="B5937" s="338"/>
      <c r="C5937" s="338" t="s">
        <v>205</v>
      </c>
      <c r="D5937" s="15" t="s">
        <v>40</v>
      </c>
      <c r="E5937" s="1497">
        <v>15000</v>
      </c>
      <c r="F5937" s="1497"/>
      <c r="G5937" s="338" t="s">
        <v>56</v>
      </c>
      <c r="H5937" s="3"/>
    </row>
    <row r="5938" spans="1:8">
      <c r="A5938" s="337">
        <v>45481</v>
      </c>
      <c r="B5938" s="338"/>
      <c r="C5938" s="338" t="s">
        <v>65</v>
      </c>
      <c r="D5938" s="15" t="s">
        <v>3108</v>
      </c>
      <c r="E5938" s="1497">
        <v>17000</v>
      </c>
      <c r="F5938" s="1497"/>
      <c r="G5938" s="338" t="s">
        <v>56</v>
      </c>
      <c r="H5938" s="3"/>
    </row>
    <row r="5939" spans="1:8">
      <c r="A5939" s="337">
        <v>45481</v>
      </c>
      <c r="B5939" s="338"/>
      <c r="C5939" s="338" t="s">
        <v>537</v>
      </c>
      <c r="D5939" s="3" t="s">
        <v>144</v>
      </c>
      <c r="E5939" s="1497">
        <v>250000</v>
      </c>
      <c r="F5939" s="1497"/>
      <c r="G5939" s="338" t="s">
        <v>56</v>
      </c>
      <c r="H5939" s="167" t="s">
        <v>3109</v>
      </c>
    </row>
    <row r="5940" spans="1:8">
      <c r="A5940" s="340">
        <v>45483</v>
      </c>
      <c r="B5940" s="338"/>
      <c r="C5940" s="338" t="s">
        <v>2877</v>
      </c>
      <c r="D5940" s="3" t="s">
        <v>3110</v>
      </c>
      <c r="E5940" s="1497">
        <v>17067</v>
      </c>
      <c r="F5940" s="1497"/>
      <c r="G5940" s="338" t="s">
        <v>27</v>
      </c>
      <c r="H5940" s="3"/>
    </row>
    <row r="5941" spans="1:8">
      <c r="A5941" s="340">
        <v>45483</v>
      </c>
      <c r="B5941" s="338"/>
      <c r="C5941" s="338" t="s">
        <v>92</v>
      </c>
      <c r="D5941" s="3" t="s">
        <v>3111</v>
      </c>
      <c r="E5941" s="1497">
        <v>206270.99</v>
      </c>
      <c r="F5941" s="1497"/>
      <c r="G5941" s="339" t="s">
        <v>27</v>
      </c>
      <c r="H5941" s="3"/>
    </row>
    <row r="5942" spans="1:8">
      <c r="A5942" s="340">
        <v>45483</v>
      </c>
      <c r="B5942" s="338"/>
      <c r="C5942" s="338" t="s">
        <v>92</v>
      </c>
      <c r="D5942" s="3" t="s">
        <v>359</v>
      </c>
      <c r="E5942" s="1497"/>
      <c r="F5942" s="1497">
        <v>410000</v>
      </c>
      <c r="G5942" s="338" t="s">
        <v>27</v>
      </c>
      <c r="H5942" s="3"/>
    </row>
    <row r="5943" spans="1:8">
      <c r="A5943" s="340">
        <v>45483</v>
      </c>
      <c r="B5943" s="338"/>
      <c r="C5943" s="338" t="s">
        <v>92</v>
      </c>
      <c r="D5943" s="3" t="s">
        <v>3112</v>
      </c>
      <c r="E5943" s="1497"/>
      <c r="F5943" s="1497">
        <v>107000</v>
      </c>
      <c r="G5943" s="338" t="s">
        <v>56</v>
      </c>
      <c r="H5943" s="3"/>
    </row>
    <row r="5944" spans="1:8">
      <c r="A5944" s="340">
        <v>45483</v>
      </c>
      <c r="B5944" s="339"/>
      <c r="C5944" s="339" t="s">
        <v>86</v>
      </c>
      <c r="D5944" s="3" t="s">
        <v>104</v>
      </c>
      <c r="E5944" s="1497">
        <v>15000</v>
      </c>
      <c r="F5944" s="1497"/>
      <c r="G5944" s="339" t="s">
        <v>56</v>
      </c>
      <c r="H5944" s="3"/>
    </row>
    <row r="5945" spans="1:8">
      <c r="A5945" s="340">
        <v>45483</v>
      </c>
      <c r="B5945" s="339"/>
      <c r="C5945" s="339" t="s">
        <v>3113</v>
      </c>
      <c r="D5945" s="3" t="s">
        <v>2828</v>
      </c>
      <c r="E5945" s="1497">
        <v>1500</v>
      </c>
      <c r="F5945" s="1497"/>
      <c r="G5945" s="339" t="s">
        <v>56</v>
      </c>
      <c r="H5945" s="3"/>
    </row>
    <row r="5946" spans="1:8">
      <c r="A5946" s="342">
        <v>45484</v>
      </c>
      <c r="B5946" s="339"/>
      <c r="C5946" s="339"/>
      <c r="D5946" s="3" t="s">
        <v>3114</v>
      </c>
      <c r="E5946" s="1497">
        <v>7000</v>
      </c>
      <c r="F5946" s="1497"/>
      <c r="G5946" s="339" t="s">
        <v>56</v>
      </c>
      <c r="H5946" s="3"/>
    </row>
    <row r="5947" spans="1:8">
      <c r="A5947" s="342">
        <v>45484</v>
      </c>
      <c r="B5947" s="339"/>
      <c r="C5947" s="339" t="s">
        <v>92</v>
      </c>
      <c r="D5947" s="3" t="s">
        <v>3115</v>
      </c>
      <c r="E5947" s="1497"/>
      <c r="F5947" s="1497">
        <v>502000</v>
      </c>
      <c r="G5947" s="339" t="s">
        <v>56</v>
      </c>
      <c r="H5947" s="3"/>
    </row>
    <row r="5948" spans="1:8">
      <c r="A5948" s="342">
        <v>45484</v>
      </c>
      <c r="B5948" s="339"/>
      <c r="C5948" s="339" t="s">
        <v>92</v>
      </c>
      <c r="D5948" s="3" t="s">
        <v>1532</v>
      </c>
      <c r="E5948" s="1497"/>
      <c r="F5948" s="1497">
        <v>326000</v>
      </c>
      <c r="G5948" s="339" t="s">
        <v>72</v>
      </c>
      <c r="H5948" s="3"/>
    </row>
    <row r="5949" spans="1:8">
      <c r="A5949" s="345">
        <v>45484</v>
      </c>
      <c r="B5949" s="343"/>
      <c r="C5949" s="343"/>
      <c r="D5949" s="3" t="s">
        <v>232</v>
      </c>
      <c r="E5949" s="1497"/>
      <c r="F5949" s="1497">
        <v>26300</v>
      </c>
      <c r="G5949" s="343" t="s">
        <v>56</v>
      </c>
      <c r="H5949" s="3"/>
    </row>
    <row r="5950" spans="1:8">
      <c r="A5950" s="345">
        <v>45485</v>
      </c>
      <c r="B5950" s="343"/>
      <c r="C5950" s="343" t="s">
        <v>205</v>
      </c>
      <c r="D5950" s="3" t="s">
        <v>38</v>
      </c>
      <c r="E5950" s="1497">
        <v>4600</v>
      </c>
      <c r="F5950" s="1497"/>
      <c r="G5950" s="343" t="s">
        <v>56</v>
      </c>
      <c r="H5950" s="3"/>
    </row>
    <row r="5951" spans="1:8">
      <c r="A5951" s="112">
        <v>45485</v>
      </c>
      <c r="B5951" s="70"/>
      <c r="C5951" s="70" t="s">
        <v>86</v>
      </c>
      <c r="D5951" s="113" t="s">
        <v>104</v>
      </c>
      <c r="E5951" s="70">
        <v>30000</v>
      </c>
      <c r="F5951" s="70"/>
      <c r="G5951" s="70" t="s">
        <v>56</v>
      </c>
      <c r="H5951" s="3"/>
    </row>
    <row r="5952" spans="1:8">
      <c r="A5952" s="345">
        <v>45485</v>
      </c>
      <c r="B5952" s="343"/>
      <c r="C5952" s="343" t="s">
        <v>156</v>
      </c>
      <c r="D5952" s="3" t="s">
        <v>3116</v>
      </c>
      <c r="E5952" s="1497">
        <v>402707.31</v>
      </c>
      <c r="F5952" s="1497"/>
      <c r="G5952" s="343" t="s">
        <v>27</v>
      </c>
      <c r="H5952" s="3"/>
    </row>
    <row r="5953" spans="1:8">
      <c r="A5953" s="345">
        <v>45485</v>
      </c>
      <c r="B5953" s="344"/>
      <c r="C5953" s="344" t="s">
        <v>160</v>
      </c>
      <c r="D5953" s="3" t="s">
        <v>3117</v>
      </c>
      <c r="E5953" s="1497"/>
      <c r="F5953" s="1497">
        <v>27200</v>
      </c>
      <c r="G5953" s="344" t="s">
        <v>56</v>
      </c>
      <c r="H5953" s="3"/>
    </row>
    <row r="5954" spans="1:8">
      <c r="A5954" s="345">
        <v>45485</v>
      </c>
      <c r="B5954" s="344"/>
      <c r="C5954" s="344" t="s">
        <v>88</v>
      </c>
      <c r="D5954" s="3" t="s">
        <v>219</v>
      </c>
      <c r="E5954" s="1497">
        <v>243750</v>
      </c>
      <c r="F5954" s="1497"/>
      <c r="G5954" s="344" t="s">
        <v>56</v>
      </c>
      <c r="H5954" s="3"/>
    </row>
    <row r="5955" spans="1:8">
      <c r="A5955" s="345">
        <v>45485</v>
      </c>
      <c r="B5955" s="344"/>
      <c r="C5955" s="344" t="s">
        <v>88</v>
      </c>
      <c r="D5955" s="3" t="s">
        <v>208</v>
      </c>
      <c r="E5955" s="1497">
        <v>207000</v>
      </c>
      <c r="F5955" s="1497"/>
      <c r="G5955" s="344" t="s">
        <v>56</v>
      </c>
      <c r="H5955" s="3"/>
    </row>
    <row r="5956" spans="1:8">
      <c r="A5956" s="345">
        <v>45485</v>
      </c>
      <c r="B5956" s="344"/>
      <c r="C5956" s="344" t="s">
        <v>88</v>
      </c>
      <c r="D5956" s="3" t="s">
        <v>144</v>
      </c>
      <c r="E5956" s="1497">
        <v>30000</v>
      </c>
      <c r="F5956" s="1497"/>
      <c r="G5956" s="344" t="s">
        <v>27</v>
      </c>
      <c r="H5956" s="3"/>
    </row>
    <row r="5957" spans="1:8">
      <c r="A5957" s="345">
        <v>45485</v>
      </c>
      <c r="B5957" s="344"/>
      <c r="C5957" s="344" t="s">
        <v>88</v>
      </c>
      <c r="D5957" s="3" t="s">
        <v>144</v>
      </c>
      <c r="E5957" s="1497">
        <v>170000</v>
      </c>
      <c r="F5957" s="1497"/>
      <c r="G5957" s="344" t="s">
        <v>27</v>
      </c>
      <c r="H5957" s="3"/>
    </row>
    <row r="5958" spans="1:8">
      <c r="A5958" s="345">
        <v>45485</v>
      </c>
      <c r="B5958" s="344"/>
      <c r="C5958" s="344" t="s">
        <v>88</v>
      </c>
      <c r="D5958" s="3" t="s">
        <v>144</v>
      </c>
      <c r="E5958" s="1497">
        <v>200000</v>
      </c>
      <c r="F5958" s="1497"/>
      <c r="G5958" s="344" t="s">
        <v>56</v>
      </c>
      <c r="H5958" s="3"/>
    </row>
    <row r="5959" spans="1:8" ht="15.75" thickBot="1">
      <c r="A5959" s="112">
        <v>45485</v>
      </c>
      <c r="B5959" s="70"/>
      <c r="C5959" s="70" t="s">
        <v>86</v>
      </c>
      <c r="D5959" s="113" t="s">
        <v>107</v>
      </c>
      <c r="E5959" s="70">
        <v>30000</v>
      </c>
      <c r="F5959" s="70"/>
      <c r="G5959" s="70" t="s">
        <v>56</v>
      </c>
      <c r="H5959" s="3"/>
    </row>
    <row r="5960" spans="1:8" ht="15.75" thickBot="1">
      <c r="H5960" s="201">
        <v>45485</v>
      </c>
    </row>
    <row r="5961" spans="1:8">
      <c r="H5961" s="199" t="s">
        <v>3124</v>
      </c>
    </row>
    <row r="5962" spans="1:8">
      <c r="H5962" s="137" t="s">
        <v>3120</v>
      </c>
    </row>
    <row r="5963" spans="1:8">
      <c r="H5963" s="138" t="s">
        <v>3123</v>
      </c>
    </row>
    <row r="5964" spans="1:8">
      <c r="H5964" s="138" t="s">
        <v>3122</v>
      </c>
    </row>
    <row r="5965" spans="1:8">
      <c r="H5965" s="138" t="s">
        <v>3119</v>
      </c>
    </row>
    <row r="5966" spans="1:8">
      <c r="H5966" s="138" t="s">
        <v>3121</v>
      </c>
    </row>
    <row r="5967" spans="1:8">
      <c r="H5967" s="138" t="s">
        <v>1215</v>
      </c>
    </row>
    <row r="5968" spans="1:8">
      <c r="H5968" s="138" t="s">
        <v>3118</v>
      </c>
    </row>
    <row r="5969" spans="1:8">
      <c r="H5969" s="139" t="s">
        <v>2151</v>
      </c>
    </row>
    <row r="5970" spans="1:8" ht="15.75" thickBot="1">
      <c r="H5970" s="139" t="s">
        <v>2599</v>
      </c>
    </row>
    <row r="5971" spans="1:8">
      <c r="H5971" s="330" t="s">
        <v>3125</v>
      </c>
    </row>
    <row r="5972" spans="1:8">
      <c r="A5972" s="351">
        <v>45488</v>
      </c>
      <c r="B5972" s="350"/>
      <c r="C5972" s="350" t="s">
        <v>205</v>
      </c>
      <c r="D5972" s="3" t="s">
        <v>859</v>
      </c>
      <c r="E5972" s="1497">
        <v>100000</v>
      </c>
      <c r="F5972" s="1497"/>
      <c r="G5972" s="350" t="s">
        <v>287</v>
      </c>
      <c r="H5972" s="341"/>
    </row>
    <row r="5973" spans="1:8">
      <c r="A5973" s="351">
        <v>45488</v>
      </c>
      <c r="B5973" s="350"/>
      <c r="C5973" s="350" t="s">
        <v>92</v>
      </c>
      <c r="D5973" s="3" t="s">
        <v>3131</v>
      </c>
      <c r="E5973" s="1497"/>
      <c r="F5973" s="1497">
        <v>170000</v>
      </c>
      <c r="G5973" s="350" t="s">
        <v>27</v>
      </c>
      <c r="H5973" s="341"/>
    </row>
    <row r="5974" spans="1:8">
      <c r="A5974" s="347">
        <v>45489</v>
      </c>
      <c r="B5974" s="346"/>
      <c r="C5974" s="346" t="s">
        <v>77</v>
      </c>
      <c r="D5974" s="3" t="s">
        <v>2033</v>
      </c>
      <c r="E5974" s="1497"/>
      <c r="F5974" s="1497">
        <v>590000</v>
      </c>
      <c r="G5974" s="346" t="s">
        <v>56</v>
      </c>
      <c r="H5974" s="3"/>
    </row>
    <row r="5975" spans="1:8">
      <c r="A5975" s="347">
        <v>45489</v>
      </c>
      <c r="B5975" s="346"/>
      <c r="C5975" s="346" t="s">
        <v>1098</v>
      </c>
      <c r="D5975" s="3" t="s">
        <v>859</v>
      </c>
      <c r="E5975" s="1497">
        <v>150000</v>
      </c>
      <c r="F5975" s="1497"/>
      <c r="G5975" s="346" t="s">
        <v>56</v>
      </c>
      <c r="H5975" s="3"/>
    </row>
    <row r="5976" spans="1:8">
      <c r="A5976" s="347">
        <v>45489</v>
      </c>
      <c r="B5976" s="346"/>
      <c r="C5976" s="346" t="s">
        <v>1098</v>
      </c>
      <c r="D5976" s="3" t="s">
        <v>859</v>
      </c>
      <c r="E5976" s="1497">
        <v>326000</v>
      </c>
      <c r="F5976" s="1497"/>
      <c r="G5976" s="346" t="s">
        <v>72</v>
      </c>
      <c r="H5976" s="3"/>
    </row>
    <row r="5977" spans="1:8">
      <c r="A5977" s="347">
        <v>45489</v>
      </c>
      <c r="B5977" s="346"/>
      <c r="C5977" s="346" t="s">
        <v>79</v>
      </c>
      <c r="D5977" s="3" t="s">
        <v>234</v>
      </c>
      <c r="E5977" s="1497">
        <v>90000</v>
      </c>
      <c r="F5977" s="1497"/>
      <c r="G5977" s="346" t="s">
        <v>56</v>
      </c>
      <c r="H5977" s="3"/>
    </row>
    <row r="5978" spans="1:8">
      <c r="A5978" s="347">
        <v>45489</v>
      </c>
      <c r="B5978" s="346"/>
      <c r="C5978" s="346" t="s">
        <v>55</v>
      </c>
      <c r="D5978" s="3" t="s">
        <v>3127</v>
      </c>
      <c r="E5978" s="1497">
        <v>10000</v>
      </c>
      <c r="F5978" s="1497"/>
      <c r="G5978" s="346" t="s">
        <v>56</v>
      </c>
      <c r="H5978" s="3"/>
    </row>
    <row r="5979" spans="1:8">
      <c r="A5979" s="347">
        <v>45489</v>
      </c>
      <c r="B5979" s="346"/>
      <c r="C5979" s="346" t="s">
        <v>55</v>
      </c>
      <c r="D5979" s="3" t="s">
        <v>3126</v>
      </c>
      <c r="E5979" s="1497">
        <v>3000</v>
      </c>
      <c r="F5979" s="1497"/>
      <c r="G5979" s="346" t="s">
        <v>56</v>
      </c>
      <c r="H5979" s="3"/>
    </row>
    <row r="5980" spans="1:8">
      <c r="A5980" s="351">
        <v>45489</v>
      </c>
      <c r="B5980" s="350"/>
      <c r="C5980" s="350" t="s">
        <v>55</v>
      </c>
      <c r="D5980" s="3" t="s">
        <v>3100</v>
      </c>
      <c r="E5980" s="1497">
        <v>30000</v>
      </c>
      <c r="F5980" s="1497"/>
      <c r="G5980" s="350" t="s">
        <v>27</v>
      </c>
      <c r="H5980" s="3"/>
    </row>
    <row r="5981" spans="1:8">
      <c r="A5981" s="348">
        <v>45490</v>
      </c>
      <c r="B5981" s="346"/>
      <c r="C5981" s="346" t="s">
        <v>94</v>
      </c>
      <c r="D5981" s="3" t="s">
        <v>3128</v>
      </c>
      <c r="E5981" s="1497">
        <v>92700</v>
      </c>
      <c r="F5981" s="1497"/>
      <c r="G5981" s="346" t="s">
        <v>27</v>
      </c>
      <c r="H5981" s="3"/>
    </row>
    <row r="5982" spans="1:8">
      <c r="A5982" s="348">
        <v>45490</v>
      </c>
      <c r="B5982" s="346"/>
      <c r="C5982" s="346" t="s">
        <v>79</v>
      </c>
      <c r="D5982" s="3" t="s">
        <v>3129</v>
      </c>
      <c r="E5982" s="1497">
        <v>20500</v>
      </c>
      <c r="F5982" s="1497"/>
      <c r="G5982" s="346" t="s">
        <v>27</v>
      </c>
      <c r="H5982" s="3"/>
    </row>
    <row r="5983" spans="1:8">
      <c r="A5983" s="348">
        <v>45490</v>
      </c>
      <c r="B5983" s="346"/>
      <c r="C5983" s="346" t="s">
        <v>205</v>
      </c>
      <c r="D5983" s="3" t="s">
        <v>859</v>
      </c>
      <c r="E5983" s="1497">
        <v>215622</v>
      </c>
      <c r="F5983" s="1497"/>
      <c r="G5983" s="346" t="s">
        <v>27</v>
      </c>
      <c r="H5983" s="3"/>
    </row>
    <row r="5984" spans="1:8">
      <c r="A5984" s="348">
        <v>45490</v>
      </c>
      <c r="B5984" s="349"/>
      <c r="C5984" s="349" t="s">
        <v>77</v>
      </c>
      <c r="D5984" s="3" t="s">
        <v>3130</v>
      </c>
      <c r="E5984" s="1497"/>
      <c r="F5984" s="1497">
        <v>230000</v>
      </c>
      <c r="G5984" s="349" t="s">
        <v>56</v>
      </c>
      <c r="H5984" s="3"/>
    </row>
    <row r="5985" spans="1:8">
      <c r="A5985" s="348">
        <v>45490</v>
      </c>
      <c r="B5985" s="349"/>
      <c r="C5985" s="349" t="s">
        <v>205</v>
      </c>
      <c r="D5985" s="3" t="s">
        <v>1314</v>
      </c>
      <c r="E5985" s="1497">
        <v>2200</v>
      </c>
      <c r="F5985" s="1497"/>
      <c r="G5985" s="349" t="s">
        <v>56</v>
      </c>
      <c r="H5985" s="3"/>
    </row>
    <row r="5986" spans="1:8">
      <c r="A5986" s="351">
        <v>45490</v>
      </c>
      <c r="B5986" s="349"/>
      <c r="C5986" s="349" t="s">
        <v>156</v>
      </c>
      <c r="D5986" s="3" t="s">
        <v>156</v>
      </c>
      <c r="E5986" s="1497">
        <v>40058.26</v>
      </c>
      <c r="F5986" s="1497"/>
      <c r="G5986" s="349" t="s">
        <v>27</v>
      </c>
      <c r="H5986" s="3"/>
    </row>
    <row r="5987" spans="1:8">
      <c r="A5987" s="351">
        <v>45490</v>
      </c>
      <c r="B5987" s="350"/>
      <c r="C5987" s="350" t="s">
        <v>86</v>
      </c>
      <c r="D5987" s="3" t="s">
        <v>195</v>
      </c>
      <c r="E5987" s="1497">
        <v>30000</v>
      </c>
      <c r="F5987" s="1497"/>
      <c r="G5987" s="350" t="s">
        <v>27</v>
      </c>
      <c r="H5987" s="3"/>
    </row>
    <row r="5988" spans="1:8">
      <c r="A5988" s="351">
        <v>45491</v>
      </c>
      <c r="B5988" s="349"/>
      <c r="C5988" s="350" t="s">
        <v>55</v>
      </c>
      <c r="D5988" s="3" t="s">
        <v>3133</v>
      </c>
      <c r="E5988" s="1497">
        <v>10000</v>
      </c>
      <c r="F5988" s="1497"/>
      <c r="G5988" s="349" t="s">
        <v>56</v>
      </c>
      <c r="H5988" s="167" t="s">
        <v>3132</v>
      </c>
    </row>
    <row r="5989" spans="1:8">
      <c r="A5989" s="351">
        <v>45491</v>
      </c>
      <c r="B5989" s="349"/>
      <c r="C5989" s="349" t="s">
        <v>205</v>
      </c>
      <c r="D5989" s="3" t="s">
        <v>38</v>
      </c>
      <c r="E5989" s="1497">
        <v>1200</v>
      </c>
      <c r="F5989" s="1497"/>
      <c r="G5989" s="349" t="s">
        <v>56</v>
      </c>
      <c r="H5989" s="3"/>
    </row>
    <row r="5990" spans="1:8">
      <c r="A5990" s="351">
        <v>45491</v>
      </c>
      <c r="B5990" s="349"/>
      <c r="C5990" s="349" t="s">
        <v>68</v>
      </c>
      <c r="D5990" s="3" t="s">
        <v>1951</v>
      </c>
      <c r="E5990" s="1497">
        <v>7000</v>
      </c>
      <c r="F5990" s="1497"/>
      <c r="G5990" s="349" t="s">
        <v>56</v>
      </c>
      <c r="H5990" s="3"/>
    </row>
    <row r="5991" spans="1:8">
      <c r="A5991" s="351">
        <v>45491</v>
      </c>
      <c r="B5991" s="350"/>
      <c r="C5991" s="350" t="s">
        <v>77</v>
      </c>
      <c r="D5991" s="3" t="s">
        <v>2055</v>
      </c>
      <c r="E5991" s="1497"/>
      <c r="F5991" s="1497">
        <v>1395000</v>
      </c>
      <c r="G5991" s="350" t="s">
        <v>287</v>
      </c>
      <c r="H5991" s="3"/>
    </row>
    <row r="5992" spans="1:8">
      <c r="A5992" s="351">
        <v>45491</v>
      </c>
      <c r="B5992" s="350"/>
      <c r="C5992" s="350" t="s">
        <v>205</v>
      </c>
      <c r="D5992" s="3" t="s">
        <v>859</v>
      </c>
      <c r="E5992" s="1497">
        <v>872000</v>
      </c>
      <c r="F5992" s="1497"/>
      <c r="G5992" s="350" t="s">
        <v>287</v>
      </c>
      <c r="H5992" s="3"/>
    </row>
    <row r="5993" spans="1:8">
      <c r="A5993" s="351">
        <v>45491</v>
      </c>
      <c r="B5993" s="350"/>
      <c r="C5993" s="350" t="s">
        <v>92</v>
      </c>
      <c r="D5993" s="3" t="s">
        <v>3134</v>
      </c>
      <c r="E5993" s="1497"/>
      <c r="F5993" s="1497">
        <v>228700</v>
      </c>
      <c r="G5993" s="350" t="s">
        <v>27</v>
      </c>
      <c r="H5993" s="3"/>
    </row>
    <row r="5994" spans="1:8">
      <c r="A5994" s="352">
        <v>45492</v>
      </c>
      <c r="B5994" s="350"/>
      <c r="C5994" s="350" t="s">
        <v>86</v>
      </c>
      <c r="D5994" s="3" t="s">
        <v>104</v>
      </c>
      <c r="E5994" s="1497">
        <v>15000</v>
      </c>
      <c r="F5994" s="1497"/>
      <c r="G5994" s="350" t="s">
        <v>56</v>
      </c>
      <c r="H5994" s="3"/>
    </row>
    <row r="5995" spans="1:8">
      <c r="A5995" s="355">
        <v>45492</v>
      </c>
      <c r="B5995" s="350"/>
      <c r="C5995" s="350" t="s">
        <v>88</v>
      </c>
      <c r="D5995" s="3" t="s">
        <v>219</v>
      </c>
      <c r="E5995" s="1497">
        <v>253500</v>
      </c>
      <c r="F5995" s="1497"/>
      <c r="G5995" s="354" t="s">
        <v>56</v>
      </c>
      <c r="H5995" s="3"/>
    </row>
    <row r="5996" spans="1:8">
      <c r="A5996" s="355">
        <v>45492</v>
      </c>
      <c r="B5996" s="350"/>
      <c r="C5996" s="354" t="s">
        <v>88</v>
      </c>
      <c r="D5996" s="3" t="s">
        <v>208</v>
      </c>
      <c r="E5996" s="1497">
        <v>207000</v>
      </c>
      <c r="F5996" s="1497"/>
      <c r="G5996" s="354" t="s">
        <v>56</v>
      </c>
      <c r="H5996" s="3"/>
    </row>
    <row r="5997" spans="1:8">
      <c r="A5997" s="355">
        <v>45492</v>
      </c>
      <c r="B5997" s="350"/>
      <c r="C5997" s="354" t="s">
        <v>88</v>
      </c>
      <c r="D5997" s="3" t="s">
        <v>193</v>
      </c>
      <c r="E5997" s="1497">
        <v>90000</v>
      </c>
      <c r="F5997" s="1497"/>
      <c r="G5997" s="354" t="s">
        <v>56</v>
      </c>
      <c r="H5997" s="3"/>
    </row>
    <row r="5998" spans="1:8">
      <c r="A5998" s="355">
        <v>45492</v>
      </c>
      <c r="B5998" s="350"/>
      <c r="C5998" s="354" t="s">
        <v>88</v>
      </c>
      <c r="D5998" s="3" t="s">
        <v>144</v>
      </c>
      <c r="E5998" s="1497">
        <v>100000</v>
      </c>
      <c r="F5998" s="1497"/>
      <c r="G5998" s="354" t="s">
        <v>27</v>
      </c>
      <c r="H5998" s="3"/>
    </row>
    <row r="5999" spans="1:8">
      <c r="A5999" s="355">
        <v>45492</v>
      </c>
      <c r="B5999" s="350"/>
      <c r="C5999" s="350" t="s">
        <v>205</v>
      </c>
      <c r="D5999" s="3" t="s">
        <v>38</v>
      </c>
      <c r="E5999" s="1497">
        <v>2450</v>
      </c>
      <c r="F5999" s="1497"/>
      <c r="G5999" s="350" t="s">
        <v>56</v>
      </c>
      <c r="H5999" s="3"/>
    </row>
    <row r="6000" spans="1:8">
      <c r="A6000" s="355">
        <v>45492</v>
      </c>
      <c r="B6000" s="350"/>
      <c r="C6000" s="350" t="s">
        <v>79</v>
      </c>
      <c r="D6000" s="3" t="s">
        <v>166</v>
      </c>
      <c r="E6000" s="1497">
        <v>336000</v>
      </c>
      <c r="F6000" s="1497"/>
      <c r="G6000" s="350" t="s">
        <v>27</v>
      </c>
      <c r="H6000" s="3"/>
    </row>
    <row r="6001" spans="1:8">
      <c r="A6001" s="355">
        <v>45492</v>
      </c>
      <c r="B6001" s="350"/>
      <c r="C6001" s="354" t="s">
        <v>205</v>
      </c>
      <c r="D6001" s="3" t="s">
        <v>246</v>
      </c>
      <c r="E6001" s="1497">
        <v>23410.69</v>
      </c>
      <c r="F6001" s="1497"/>
      <c r="G6001" s="350" t="s">
        <v>27</v>
      </c>
      <c r="H6001" s="3"/>
    </row>
    <row r="6002" spans="1:8">
      <c r="A6002" s="355">
        <v>45492</v>
      </c>
      <c r="B6002" s="354"/>
      <c r="C6002" s="350" t="s">
        <v>205</v>
      </c>
      <c r="D6002" s="3" t="s">
        <v>1852</v>
      </c>
      <c r="E6002" s="1497">
        <v>40000</v>
      </c>
      <c r="F6002" s="1497"/>
      <c r="G6002" s="354" t="s">
        <v>56</v>
      </c>
      <c r="H6002" s="45" t="s">
        <v>3135</v>
      </c>
    </row>
    <row r="6003" spans="1:8" ht="15.75" thickBot="1">
      <c r="A6003" s="355">
        <v>45492</v>
      </c>
      <c r="B6003" s="354"/>
      <c r="C6003" s="354" t="s">
        <v>537</v>
      </c>
      <c r="D6003" s="3" t="s">
        <v>144</v>
      </c>
      <c r="E6003" s="1497">
        <v>300000</v>
      </c>
      <c r="F6003" s="1497"/>
      <c r="G6003" s="354" t="s">
        <v>56</v>
      </c>
      <c r="H6003" s="3"/>
    </row>
    <row r="6004" spans="1:8" ht="15.75" thickBot="1">
      <c r="A6004" s="62"/>
      <c r="B6004" s="62"/>
      <c r="C6004" s="62"/>
      <c r="D6004" s="5"/>
      <c r="E6004" s="62"/>
      <c r="F6004" s="62"/>
      <c r="G6004" s="62"/>
      <c r="H6004" s="201">
        <v>45492</v>
      </c>
    </row>
    <row r="6005" spans="1:8">
      <c r="H6005" s="199" t="s">
        <v>3124</v>
      </c>
    </row>
    <row r="6006" spans="1:8">
      <c r="H6006" s="137" t="s">
        <v>3136</v>
      </c>
    </row>
    <row r="6007" spans="1:8">
      <c r="H6007" s="138" t="s">
        <v>3140</v>
      </c>
    </row>
    <row r="6008" spans="1:8">
      <c r="H6008" s="138" t="s">
        <v>3139</v>
      </c>
    </row>
    <row r="6009" spans="1:8">
      <c r="H6009" s="138" t="s">
        <v>3119</v>
      </c>
    </row>
    <row r="6010" spans="1:8">
      <c r="H6010" s="138" t="s">
        <v>3138</v>
      </c>
    </row>
    <row r="6011" spans="1:8">
      <c r="H6011" s="138" t="s">
        <v>3158</v>
      </c>
    </row>
    <row r="6012" spans="1:8">
      <c r="H6012" s="138" t="s">
        <v>3137</v>
      </c>
    </row>
    <row r="6013" spans="1:8">
      <c r="H6013" s="139" t="s">
        <v>2151</v>
      </c>
    </row>
    <row r="6014" spans="1:8" ht="15.75" thickBot="1">
      <c r="H6014" s="139" t="s">
        <v>2599</v>
      </c>
    </row>
    <row r="6015" spans="1:8" ht="15.75" thickBot="1">
      <c r="H6015" s="359"/>
    </row>
    <row r="6016" spans="1:8">
      <c r="A6016" s="356">
        <v>45495</v>
      </c>
      <c r="B6016" s="354"/>
      <c r="C6016" s="354" t="s">
        <v>79</v>
      </c>
      <c r="D6016" s="3" t="s">
        <v>2784</v>
      </c>
      <c r="E6016" s="1497">
        <v>34249.980000000003</v>
      </c>
      <c r="F6016" s="1497"/>
      <c r="G6016" s="354" t="s">
        <v>27</v>
      </c>
      <c r="H6016" s="5"/>
    </row>
    <row r="6017" spans="1:8">
      <c r="A6017" s="356">
        <v>45495</v>
      </c>
      <c r="B6017" s="354"/>
      <c r="C6017" s="354" t="s">
        <v>150</v>
      </c>
      <c r="D6017" s="3" t="s">
        <v>3141</v>
      </c>
      <c r="E6017" s="1497">
        <v>4800</v>
      </c>
      <c r="F6017" s="1497"/>
      <c r="G6017" s="354" t="s">
        <v>56</v>
      </c>
      <c r="H6017" s="3"/>
    </row>
    <row r="6018" spans="1:8">
      <c r="A6018" s="356">
        <v>45495</v>
      </c>
      <c r="B6018" s="354"/>
      <c r="C6018" s="354" t="s">
        <v>3046</v>
      </c>
      <c r="D6018" s="3" t="s">
        <v>369</v>
      </c>
      <c r="E6018" s="1497">
        <v>1000</v>
      </c>
      <c r="F6018" s="1497"/>
      <c r="G6018" s="354" t="s">
        <v>56</v>
      </c>
      <c r="H6018" s="3"/>
    </row>
    <row r="6019" spans="1:8">
      <c r="A6019" s="356">
        <v>45495</v>
      </c>
      <c r="B6019" s="354"/>
      <c r="C6019" s="354" t="s">
        <v>55</v>
      </c>
      <c r="D6019" s="3" t="s">
        <v>232</v>
      </c>
      <c r="E6019" s="1497">
        <v>50000</v>
      </c>
      <c r="F6019" s="1497"/>
      <c r="G6019" s="354" t="s">
        <v>27</v>
      </c>
      <c r="H6019" s="3"/>
    </row>
    <row r="6020" spans="1:8">
      <c r="A6020" s="356">
        <v>45495</v>
      </c>
      <c r="B6020" s="354"/>
      <c r="C6020" s="354" t="s">
        <v>65</v>
      </c>
      <c r="D6020" s="3" t="s">
        <v>3142</v>
      </c>
      <c r="E6020" s="1497">
        <v>120468</v>
      </c>
      <c r="F6020" s="1497"/>
      <c r="G6020" s="354" t="s">
        <v>27</v>
      </c>
      <c r="H6020" s="3"/>
    </row>
    <row r="6021" spans="1:8">
      <c r="A6021" s="360">
        <v>45495</v>
      </c>
      <c r="B6021" s="361"/>
      <c r="C6021" s="361" t="s">
        <v>86</v>
      </c>
      <c r="D6021" s="3" t="s">
        <v>86</v>
      </c>
      <c r="E6021" s="1497">
        <v>20000</v>
      </c>
      <c r="F6021" s="1497"/>
      <c r="G6021" s="361" t="s">
        <v>56</v>
      </c>
      <c r="H6021" s="3" t="s">
        <v>3029</v>
      </c>
    </row>
    <row r="6022" spans="1:8">
      <c r="A6022" s="360">
        <v>45495</v>
      </c>
      <c r="B6022" s="361"/>
      <c r="C6022" s="361" t="s">
        <v>1177</v>
      </c>
      <c r="D6022" s="3" t="s">
        <v>2561</v>
      </c>
      <c r="E6022" s="1497">
        <v>17898.29</v>
      </c>
      <c r="F6022" s="1497"/>
      <c r="G6022" s="361" t="s">
        <v>56</v>
      </c>
      <c r="H6022" s="3" t="s">
        <v>3029</v>
      </c>
    </row>
    <row r="6023" spans="1:8">
      <c r="A6023" s="360">
        <v>45495</v>
      </c>
      <c r="B6023" s="361"/>
      <c r="C6023" s="361" t="s">
        <v>205</v>
      </c>
      <c r="D6023" s="3" t="s">
        <v>3149</v>
      </c>
      <c r="E6023" s="1497">
        <v>4930</v>
      </c>
      <c r="F6023" s="1497"/>
      <c r="G6023" s="361" t="s">
        <v>56</v>
      </c>
      <c r="H6023" s="3" t="s">
        <v>3029</v>
      </c>
    </row>
    <row r="6024" spans="1:8">
      <c r="A6024" s="358">
        <v>45496</v>
      </c>
      <c r="B6024" s="354"/>
      <c r="C6024" s="354" t="s">
        <v>205</v>
      </c>
      <c r="D6024" s="3" t="s">
        <v>3143</v>
      </c>
      <c r="E6024" s="1497">
        <v>240000</v>
      </c>
      <c r="F6024" s="1497"/>
      <c r="G6024" s="354" t="s">
        <v>27</v>
      </c>
      <c r="H6024" s="45" t="s">
        <v>3144</v>
      </c>
    </row>
    <row r="6025" spans="1:8">
      <c r="A6025" s="358">
        <v>45496</v>
      </c>
      <c r="B6025" s="357"/>
      <c r="C6025" s="357" t="s">
        <v>79</v>
      </c>
      <c r="D6025" s="3" t="s">
        <v>17</v>
      </c>
      <c r="E6025" s="1497">
        <v>44031.39</v>
      </c>
      <c r="F6025" s="1497"/>
      <c r="G6025" s="357" t="s">
        <v>27</v>
      </c>
      <c r="H6025" s="3"/>
    </row>
    <row r="6026" spans="1:8">
      <c r="A6026" s="358">
        <v>45496</v>
      </c>
      <c r="B6026" s="357"/>
      <c r="C6026" s="357" t="s">
        <v>92</v>
      </c>
      <c r="D6026" s="3" t="s">
        <v>3145</v>
      </c>
      <c r="E6026" s="1497"/>
      <c r="F6026" s="1497">
        <v>210000</v>
      </c>
      <c r="G6026" s="357" t="s">
        <v>27</v>
      </c>
      <c r="H6026" s="3"/>
    </row>
    <row r="6027" spans="1:8">
      <c r="A6027" s="358">
        <v>45496</v>
      </c>
      <c r="B6027" s="357"/>
      <c r="C6027" s="357" t="s">
        <v>205</v>
      </c>
      <c r="D6027" s="3" t="s">
        <v>238</v>
      </c>
      <c r="E6027" s="1497">
        <v>1267.5</v>
      </c>
      <c r="F6027" s="1497"/>
      <c r="G6027" s="357" t="s">
        <v>27</v>
      </c>
      <c r="H6027" s="45" t="s">
        <v>3029</v>
      </c>
    </row>
    <row r="6028" spans="1:8">
      <c r="A6028" s="360">
        <v>45496</v>
      </c>
      <c r="B6028" s="361"/>
      <c r="C6028" s="361" t="s">
        <v>205</v>
      </c>
      <c r="D6028" s="3" t="s">
        <v>38</v>
      </c>
      <c r="E6028" s="1497">
        <v>14350</v>
      </c>
      <c r="F6028" s="1497"/>
      <c r="G6028" s="361" t="s">
        <v>56</v>
      </c>
      <c r="H6028" s="45" t="s">
        <v>3029</v>
      </c>
    </row>
    <row r="6029" spans="1:8">
      <c r="A6029" s="360">
        <v>45496</v>
      </c>
      <c r="B6029" s="361"/>
      <c r="C6029" s="361" t="s">
        <v>86</v>
      </c>
      <c r="D6029" s="3" t="s">
        <v>86</v>
      </c>
      <c r="E6029" s="1497">
        <v>20000</v>
      </c>
      <c r="F6029" s="1497"/>
      <c r="G6029" s="361" t="s">
        <v>56</v>
      </c>
      <c r="H6029" s="45" t="s">
        <v>3029</v>
      </c>
    </row>
    <row r="6030" spans="1:8">
      <c r="A6030" s="360">
        <v>45496</v>
      </c>
      <c r="B6030" s="361"/>
      <c r="C6030" s="361" t="s">
        <v>831</v>
      </c>
      <c r="D6030" s="3" t="s">
        <v>2561</v>
      </c>
      <c r="E6030" s="1497">
        <v>16797.96</v>
      </c>
      <c r="F6030" s="1497"/>
      <c r="G6030" s="361" t="s">
        <v>56</v>
      </c>
      <c r="H6030" s="45" t="s">
        <v>3029</v>
      </c>
    </row>
    <row r="6031" spans="1:8">
      <c r="A6031" s="360">
        <v>45497</v>
      </c>
      <c r="B6031" s="357"/>
      <c r="C6031" s="357" t="s">
        <v>92</v>
      </c>
      <c r="D6031" s="3" t="s">
        <v>3146</v>
      </c>
      <c r="E6031" s="1497"/>
      <c r="F6031" s="1497">
        <v>150000</v>
      </c>
      <c r="G6031" s="357" t="s">
        <v>72</v>
      </c>
      <c r="H6031" s="3" t="s">
        <v>3147</v>
      </c>
    </row>
    <row r="6032" spans="1:8">
      <c r="A6032" s="360">
        <v>45497</v>
      </c>
      <c r="B6032" s="357"/>
      <c r="C6032" s="357" t="s">
        <v>92</v>
      </c>
      <c r="D6032" s="3" t="s">
        <v>3148</v>
      </c>
      <c r="E6032" s="1497"/>
      <c r="F6032" s="1497">
        <v>72500</v>
      </c>
      <c r="G6032" s="357" t="s">
        <v>56</v>
      </c>
      <c r="H6032" s="3"/>
    </row>
    <row r="6033" spans="1:8">
      <c r="A6033" s="360">
        <v>45497</v>
      </c>
      <c r="B6033" s="357"/>
      <c r="C6033" s="357" t="s">
        <v>205</v>
      </c>
      <c r="D6033" s="3" t="s">
        <v>70</v>
      </c>
      <c r="E6033" s="1497">
        <v>3825</v>
      </c>
      <c r="F6033" s="1497"/>
      <c r="G6033" s="357" t="s">
        <v>27</v>
      </c>
      <c r="H6033" s="3"/>
    </row>
    <row r="6034" spans="1:8">
      <c r="A6034" s="363">
        <v>45497</v>
      </c>
      <c r="B6034" s="362"/>
      <c r="C6034" s="362" t="s">
        <v>77</v>
      </c>
      <c r="D6034" s="3" t="s">
        <v>2824</v>
      </c>
      <c r="E6034" s="1497"/>
      <c r="F6034" s="1497">
        <v>340000</v>
      </c>
      <c r="G6034" s="362" t="s">
        <v>56</v>
      </c>
      <c r="H6034" s="3"/>
    </row>
    <row r="6035" spans="1:8">
      <c r="A6035" s="363">
        <v>45497</v>
      </c>
      <c r="B6035" s="362"/>
      <c r="C6035" s="362" t="s">
        <v>92</v>
      </c>
      <c r="D6035" s="3" t="s">
        <v>3151</v>
      </c>
      <c r="E6035" s="1497"/>
      <c r="F6035" s="1497">
        <v>63000</v>
      </c>
      <c r="G6035" s="362" t="s">
        <v>56</v>
      </c>
      <c r="H6035" s="3"/>
    </row>
    <row r="6036" spans="1:8">
      <c r="A6036" s="363">
        <v>45498</v>
      </c>
      <c r="B6036" s="357"/>
      <c r="C6036" s="357" t="s">
        <v>77</v>
      </c>
      <c r="D6036" s="3" t="s">
        <v>3150</v>
      </c>
      <c r="E6036" s="1497"/>
      <c r="F6036" s="1497">
        <v>280000</v>
      </c>
      <c r="G6036" s="357" t="s">
        <v>27</v>
      </c>
      <c r="H6036" s="3"/>
    </row>
    <row r="6037" spans="1:8">
      <c r="A6037" s="363">
        <v>45498</v>
      </c>
      <c r="B6037" s="357"/>
      <c r="C6037" s="362" t="s">
        <v>77</v>
      </c>
      <c r="D6037" s="3" t="s">
        <v>3150</v>
      </c>
      <c r="E6037" s="1497"/>
      <c r="F6037" s="1497">
        <v>268000</v>
      </c>
      <c r="G6037" s="357" t="s">
        <v>287</v>
      </c>
      <c r="H6037" s="3"/>
    </row>
    <row r="6038" spans="1:8">
      <c r="A6038" s="363">
        <v>45498</v>
      </c>
      <c r="B6038" s="362"/>
      <c r="C6038" s="362" t="s">
        <v>77</v>
      </c>
      <c r="D6038" s="3" t="s">
        <v>3152</v>
      </c>
      <c r="E6038" s="1497"/>
      <c r="F6038" s="1497">
        <v>98640.79</v>
      </c>
      <c r="G6038" s="362" t="s">
        <v>27</v>
      </c>
      <c r="H6038" s="3"/>
    </row>
    <row r="6039" spans="1:8">
      <c r="A6039" s="363">
        <v>45498</v>
      </c>
      <c r="B6039" s="362"/>
      <c r="C6039" s="362" t="s">
        <v>205</v>
      </c>
      <c r="D6039" s="15" t="s">
        <v>859</v>
      </c>
      <c r="E6039" s="1497">
        <v>100000</v>
      </c>
      <c r="F6039" s="1497"/>
      <c r="G6039" s="362" t="s">
        <v>27</v>
      </c>
      <c r="H6039" s="3"/>
    </row>
    <row r="6040" spans="1:8">
      <c r="A6040" s="363">
        <v>45498</v>
      </c>
      <c r="B6040" s="362"/>
      <c r="C6040" s="362" t="s">
        <v>205</v>
      </c>
      <c r="D6040" s="15" t="s">
        <v>859</v>
      </c>
      <c r="E6040" s="1497">
        <v>268000</v>
      </c>
      <c r="F6040" s="1497"/>
      <c r="G6040" s="362" t="s">
        <v>287</v>
      </c>
      <c r="H6040" s="3"/>
    </row>
    <row r="6041" spans="1:8">
      <c r="A6041" s="363">
        <v>45498</v>
      </c>
      <c r="B6041" s="362"/>
      <c r="C6041" s="362" t="s">
        <v>90</v>
      </c>
      <c r="D6041" s="3" t="s">
        <v>1951</v>
      </c>
      <c r="E6041" s="1497">
        <v>8400</v>
      </c>
      <c r="F6041" s="1497"/>
      <c r="G6041" s="362" t="s">
        <v>56</v>
      </c>
      <c r="H6041" s="3"/>
    </row>
    <row r="6042" spans="1:8">
      <c r="A6042" s="363">
        <v>45498</v>
      </c>
      <c r="B6042" s="362"/>
      <c r="C6042" s="362" t="s">
        <v>55</v>
      </c>
      <c r="D6042" s="3" t="s">
        <v>70</v>
      </c>
      <c r="E6042" s="1497">
        <v>8100</v>
      </c>
      <c r="F6042" s="1497"/>
      <c r="G6042" s="362" t="s">
        <v>56</v>
      </c>
      <c r="H6042" s="3"/>
    </row>
    <row r="6043" spans="1:8">
      <c r="A6043" s="363">
        <v>45498</v>
      </c>
      <c r="B6043" s="362"/>
      <c r="C6043" s="362" t="s">
        <v>205</v>
      </c>
      <c r="D6043" s="3" t="s">
        <v>846</v>
      </c>
      <c r="E6043" s="1497">
        <v>146614.48000000001</v>
      </c>
      <c r="F6043" s="1497"/>
      <c r="G6043" s="362" t="s">
        <v>27</v>
      </c>
      <c r="H6043" s="3"/>
    </row>
    <row r="6044" spans="1:8">
      <c r="A6044" s="364">
        <v>45498</v>
      </c>
      <c r="B6044" s="362"/>
      <c r="C6044" s="362" t="s">
        <v>77</v>
      </c>
      <c r="D6044" s="3" t="s">
        <v>271</v>
      </c>
      <c r="E6044" s="1497" t="s">
        <v>3153</v>
      </c>
      <c r="F6044" s="1497"/>
      <c r="G6044" s="365" t="s">
        <v>27</v>
      </c>
      <c r="H6044" s="3"/>
    </row>
    <row r="6045" spans="1:8">
      <c r="A6045" s="364">
        <v>45498</v>
      </c>
      <c r="B6045" s="362"/>
      <c r="C6045" s="365" t="s">
        <v>77</v>
      </c>
      <c r="D6045" s="3" t="s">
        <v>271</v>
      </c>
      <c r="E6045" s="1497">
        <v>8965</v>
      </c>
      <c r="F6045" s="1497"/>
      <c r="G6045" s="365" t="s">
        <v>27</v>
      </c>
      <c r="H6045" s="3"/>
    </row>
    <row r="6046" spans="1:8">
      <c r="A6046" s="364">
        <v>45498</v>
      </c>
      <c r="B6046" s="362"/>
      <c r="C6046" s="365" t="s">
        <v>77</v>
      </c>
      <c r="D6046" s="3" t="s">
        <v>181</v>
      </c>
      <c r="E6046" s="1497">
        <v>38979.71</v>
      </c>
      <c r="F6046" s="1497"/>
      <c r="G6046" s="365" t="s">
        <v>27</v>
      </c>
      <c r="H6046" s="3"/>
    </row>
    <row r="6047" spans="1:8">
      <c r="A6047" s="364">
        <v>45498</v>
      </c>
      <c r="B6047" s="365"/>
      <c r="C6047" s="365" t="s">
        <v>79</v>
      </c>
      <c r="D6047" s="3" t="s">
        <v>1210</v>
      </c>
      <c r="E6047" s="1497">
        <v>20550</v>
      </c>
      <c r="F6047" s="1497"/>
      <c r="G6047" s="365" t="s">
        <v>27</v>
      </c>
      <c r="H6047" s="3"/>
    </row>
    <row r="6048" spans="1:8">
      <c r="A6048" s="364">
        <v>45499</v>
      </c>
      <c r="B6048" s="362"/>
      <c r="C6048" s="362" t="s">
        <v>77</v>
      </c>
      <c r="D6048" s="3" t="s">
        <v>3154</v>
      </c>
      <c r="E6048" s="1497"/>
      <c r="F6048" s="1497">
        <v>103291.7</v>
      </c>
      <c r="G6048" s="362" t="s">
        <v>27</v>
      </c>
      <c r="H6048" s="3"/>
    </row>
    <row r="6049" spans="1:8">
      <c r="A6049" s="364">
        <v>45499</v>
      </c>
      <c r="B6049" s="365"/>
      <c r="C6049" s="365" t="s">
        <v>55</v>
      </c>
      <c r="D6049" s="3" t="s">
        <v>2823</v>
      </c>
      <c r="E6049" s="1497">
        <v>8500</v>
      </c>
      <c r="F6049" s="1497"/>
      <c r="G6049" s="365" t="s">
        <v>56</v>
      </c>
      <c r="H6049" s="3"/>
    </row>
    <row r="6050" spans="1:8">
      <c r="A6050" s="364">
        <v>45499</v>
      </c>
      <c r="B6050" s="365"/>
      <c r="C6050" s="365" t="s">
        <v>77</v>
      </c>
      <c r="D6050" s="3" t="s">
        <v>3155</v>
      </c>
      <c r="E6050" s="1497"/>
      <c r="F6050" s="1497">
        <v>430000</v>
      </c>
      <c r="G6050" s="365" t="s">
        <v>27</v>
      </c>
      <c r="H6050" s="3"/>
    </row>
    <row r="6051" spans="1:8">
      <c r="A6051" s="364">
        <v>45499</v>
      </c>
      <c r="B6051" s="365"/>
      <c r="C6051" s="365" t="s">
        <v>205</v>
      </c>
      <c r="D6051" s="3" t="s">
        <v>1592</v>
      </c>
      <c r="E6051" s="1497">
        <v>237000</v>
      </c>
      <c r="F6051" s="1497"/>
      <c r="G6051" s="365" t="s">
        <v>27</v>
      </c>
      <c r="H6051" s="3"/>
    </row>
    <row r="6052" spans="1:8">
      <c r="A6052" s="364">
        <v>45499</v>
      </c>
      <c r="B6052" s="365"/>
      <c r="C6052" s="365" t="s">
        <v>205</v>
      </c>
      <c r="D6052" s="3" t="s">
        <v>43</v>
      </c>
      <c r="E6052" s="1497">
        <v>134076</v>
      </c>
      <c r="F6052" s="1497"/>
      <c r="G6052" s="365" t="s">
        <v>27</v>
      </c>
      <c r="H6052" s="3"/>
    </row>
    <row r="6053" spans="1:8">
      <c r="A6053" s="364">
        <v>45499</v>
      </c>
      <c r="B6053" s="365"/>
      <c r="C6053" s="365" t="s">
        <v>537</v>
      </c>
      <c r="D6053" s="3" t="s">
        <v>144</v>
      </c>
      <c r="E6053" s="1497">
        <v>90000</v>
      </c>
      <c r="F6053" s="1497"/>
      <c r="G6053" s="365" t="s">
        <v>27</v>
      </c>
      <c r="H6053" s="3" t="s">
        <v>3156</v>
      </c>
    </row>
    <row r="6054" spans="1:8">
      <c r="A6054" s="364">
        <v>45499</v>
      </c>
      <c r="B6054" s="365"/>
      <c r="C6054" s="365" t="s">
        <v>92</v>
      </c>
      <c r="D6054" s="15" t="s">
        <v>3157</v>
      </c>
      <c r="E6054" s="1497"/>
      <c r="F6054" s="1497">
        <v>150000</v>
      </c>
      <c r="G6054" s="365" t="s">
        <v>56</v>
      </c>
      <c r="H6054" s="3"/>
    </row>
    <row r="6055" spans="1:8">
      <c r="A6055" s="364">
        <v>45499</v>
      </c>
      <c r="B6055" s="365"/>
      <c r="C6055" s="365" t="s">
        <v>92</v>
      </c>
      <c r="D6055" s="15" t="s">
        <v>3157</v>
      </c>
      <c r="E6055" s="1497"/>
      <c r="F6055" s="1497">
        <v>47000</v>
      </c>
      <c r="G6055" s="365" t="s">
        <v>27</v>
      </c>
      <c r="H6055" s="3"/>
    </row>
    <row r="6056" spans="1:8">
      <c r="A6056" s="364">
        <v>45499</v>
      </c>
      <c r="B6056" s="365"/>
      <c r="C6056" s="365" t="s">
        <v>537</v>
      </c>
      <c r="D6056" s="3" t="s">
        <v>208</v>
      </c>
      <c r="E6056" s="1497">
        <v>207000</v>
      </c>
      <c r="F6056" s="1497"/>
      <c r="G6056" s="365" t="s">
        <v>537</v>
      </c>
      <c r="H6056" s="3"/>
    </row>
    <row r="6057" spans="1:8">
      <c r="A6057" s="364">
        <v>45499</v>
      </c>
      <c r="B6057" s="365"/>
      <c r="C6057" s="365" t="s">
        <v>537</v>
      </c>
      <c r="D6057" s="3" t="s">
        <v>219</v>
      </c>
      <c r="E6057" s="1497">
        <v>244000</v>
      </c>
      <c r="F6057" s="1497"/>
      <c r="G6057" s="365" t="s">
        <v>537</v>
      </c>
      <c r="H6057" s="3"/>
    </row>
    <row r="6058" spans="1:8">
      <c r="A6058" s="364">
        <v>45499</v>
      </c>
      <c r="B6058" s="365"/>
      <c r="C6058" s="365" t="s">
        <v>537</v>
      </c>
      <c r="D6058" s="3" t="s">
        <v>144</v>
      </c>
      <c r="E6058" s="1497">
        <v>90000</v>
      </c>
      <c r="F6058" s="1497"/>
      <c r="G6058" s="365" t="s">
        <v>27</v>
      </c>
      <c r="H6058" s="167" t="s">
        <v>3156</v>
      </c>
    </row>
    <row r="6059" spans="1:8">
      <c r="A6059" s="364">
        <v>45499</v>
      </c>
      <c r="B6059" s="365"/>
      <c r="C6059" s="365" t="s">
        <v>537</v>
      </c>
      <c r="D6059" s="3" t="s">
        <v>144</v>
      </c>
      <c r="E6059" s="1497">
        <v>40000</v>
      </c>
      <c r="F6059" s="1497"/>
      <c r="G6059" s="365" t="s">
        <v>27</v>
      </c>
      <c r="H6059" s="3"/>
    </row>
    <row r="6060" spans="1:8">
      <c r="A6060" s="364">
        <v>45499</v>
      </c>
      <c r="B6060" s="365"/>
      <c r="C6060" s="365" t="s">
        <v>537</v>
      </c>
      <c r="D6060" s="3" t="s">
        <v>144</v>
      </c>
      <c r="E6060" s="1497">
        <v>280000</v>
      </c>
      <c r="F6060" s="1497"/>
      <c r="G6060" s="365" t="s">
        <v>56</v>
      </c>
      <c r="H6060" s="3"/>
    </row>
    <row r="6061" spans="1:8">
      <c r="A6061" s="364">
        <v>45499</v>
      </c>
      <c r="B6061" s="365"/>
      <c r="C6061" s="365" t="s">
        <v>537</v>
      </c>
      <c r="D6061" s="15" t="s">
        <v>193</v>
      </c>
      <c r="E6061" s="1497">
        <v>90000</v>
      </c>
      <c r="F6061" s="1497"/>
      <c r="G6061" s="365" t="s">
        <v>56</v>
      </c>
      <c r="H6061" s="3"/>
    </row>
    <row r="6062" spans="1:8" ht="15.75" thickBot="1">
      <c r="A6062" s="364">
        <v>45499</v>
      </c>
      <c r="B6062" s="365"/>
      <c r="C6062" s="365" t="s">
        <v>308</v>
      </c>
      <c r="D6062" s="3" t="s">
        <v>232</v>
      </c>
      <c r="E6062" s="1497">
        <v>100000</v>
      </c>
      <c r="F6062" s="1497"/>
      <c r="G6062" s="365" t="s">
        <v>27</v>
      </c>
      <c r="H6062" s="3"/>
    </row>
    <row r="6063" spans="1:8">
      <c r="H6063" s="373">
        <v>45499</v>
      </c>
    </row>
    <row r="6064" spans="1:8">
      <c r="H6064" s="137" t="s">
        <v>3124</v>
      </c>
    </row>
    <row r="6065" spans="1:8">
      <c r="H6065" s="137" t="s">
        <v>3159</v>
      </c>
    </row>
    <row r="6066" spans="1:8">
      <c r="H6066" s="138" t="s">
        <v>3163</v>
      </c>
    </row>
    <row r="6067" spans="1:8">
      <c r="H6067" s="138" t="s">
        <v>3160</v>
      </c>
    </row>
    <row r="6068" spans="1:8">
      <c r="H6068" s="138" t="s">
        <v>3119</v>
      </c>
    </row>
    <row r="6069" spans="1:8">
      <c r="H6069" s="138" t="s">
        <v>3162</v>
      </c>
    </row>
    <row r="6070" spans="1:8">
      <c r="H6070" s="138" t="s">
        <v>3158</v>
      </c>
    </row>
    <row r="6071" spans="1:8">
      <c r="H6071" s="138" t="s">
        <v>3161</v>
      </c>
    </row>
    <row r="6072" spans="1:8">
      <c r="H6072" s="138" t="s">
        <v>2151</v>
      </c>
    </row>
    <row r="6073" spans="1:8">
      <c r="H6073" s="138" t="s">
        <v>2599</v>
      </c>
    </row>
    <row r="6074" spans="1:8" ht="15.75" thickBot="1">
      <c r="H6074" s="374" t="s">
        <v>3164</v>
      </c>
    </row>
    <row r="6075" spans="1:8">
      <c r="A6075" s="367">
        <v>45502</v>
      </c>
      <c r="B6075" s="366"/>
      <c r="C6075" s="366" t="s">
        <v>79</v>
      </c>
      <c r="D6075" s="3" t="s">
        <v>79</v>
      </c>
      <c r="E6075" s="1497">
        <v>29400</v>
      </c>
      <c r="F6075" s="1497"/>
      <c r="G6075" s="366" t="s">
        <v>27</v>
      </c>
      <c r="H6075" s="5"/>
    </row>
    <row r="6076" spans="1:8">
      <c r="A6076" s="367">
        <v>45502</v>
      </c>
      <c r="B6076" s="366"/>
      <c r="C6076" s="366" t="s">
        <v>79</v>
      </c>
      <c r="D6076" s="3" t="s">
        <v>195</v>
      </c>
      <c r="E6076" s="1497">
        <v>51025</v>
      </c>
      <c r="F6076" s="1497"/>
      <c r="G6076" s="366" t="s">
        <v>27</v>
      </c>
      <c r="H6076" s="3"/>
    </row>
    <row r="6077" spans="1:8">
      <c r="A6077" s="367">
        <v>45502</v>
      </c>
      <c r="B6077" s="366"/>
      <c r="C6077" s="366" t="s">
        <v>79</v>
      </c>
      <c r="D6077" s="3" t="s">
        <v>79</v>
      </c>
      <c r="E6077" s="1497">
        <v>92800</v>
      </c>
      <c r="F6077" s="1497"/>
      <c r="G6077" s="366" t="s">
        <v>27</v>
      </c>
      <c r="H6077" s="3"/>
    </row>
    <row r="6078" spans="1:8">
      <c r="A6078" s="367">
        <v>45502</v>
      </c>
      <c r="B6078" s="366"/>
      <c r="C6078" s="366" t="s">
        <v>79</v>
      </c>
      <c r="D6078" s="3" t="s">
        <v>79</v>
      </c>
      <c r="E6078" s="1497">
        <v>17600</v>
      </c>
      <c r="F6078" s="1497"/>
      <c r="G6078" s="366" t="s">
        <v>27</v>
      </c>
      <c r="H6078" s="3"/>
    </row>
    <row r="6079" spans="1:8">
      <c r="A6079" s="367">
        <v>45502</v>
      </c>
      <c r="B6079" s="366"/>
      <c r="C6079" s="366" t="s">
        <v>79</v>
      </c>
      <c r="D6079" s="3" t="s">
        <v>79</v>
      </c>
      <c r="E6079" s="1497">
        <v>24100</v>
      </c>
      <c r="F6079" s="1497"/>
      <c r="G6079" s="366" t="s">
        <v>27</v>
      </c>
      <c r="H6079" s="3"/>
    </row>
    <row r="6080" spans="1:8">
      <c r="A6080" s="367">
        <v>45502</v>
      </c>
      <c r="B6080" s="366"/>
      <c r="C6080" s="366" t="s">
        <v>55</v>
      </c>
      <c r="D6080" s="3" t="s">
        <v>3165</v>
      </c>
      <c r="E6080" s="1497">
        <v>6000</v>
      </c>
      <c r="F6080" s="1497"/>
      <c r="G6080" s="366" t="s">
        <v>56</v>
      </c>
      <c r="H6080" s="3"/>
    </row>
    <row r="6081" spans="1:8">
      <c r="A6081" s="369">
        <v>45502</v>
      </c>
      <c r="B6081" s="366"/>
      <c r="C6081" s="366" t="s">
        <v>150</v>
      </c>
      <c r="D6081" s="3" t="s">
        <v>650</v>
      </c>
      <c r="E6081" s="1497">
        <v>17395</v>
      </c>
      <c r="F6081" s="1497"/>
      <c r="G6081" s="366" t="s">
        <v>27</v>
      </c>
      <c r="H6081" s="3"/>
    </row>
    <row r="6082" spans="1:8">
      <c r="A6082" s="369">
        <v>45502</v>
      </c>
      <c r="B6082" s="370"/>
      <c r="C6082" s="370" t="s">
        <v>205</v>
      </c>
      <c r="D6082" s="3" t="s">
        <v>3168</v>
      </c>
      <c r="E6082" s="1497">
        <v>8500</v>
      </c>
      <c r="F6082" s="1497"/>
      <c r="G6082" s="370" t="s">
        <v>56</v>
      </c>
      <c r="H6082" s="45" t="s">
        <v>242</v>
      </c>
    </row>
    <row r="6083" spans="1:8">
      <c r="A6083" s="369">
        <v>45503</v>
      </c>
      <c r="B6083" s="366"/>
      <c r="C6083" s="370" t="s">
        <v>150</v>
      </c>
      <c r="D6083" s="3" t="s">
        <v>1080</v>
      </c>
      <c r="E6083" s="1497">
        <v>3780</v>
      </c>
      <c r="F6083" s="1497"/>
      <c r="G6083" s="366" t="s">
        <v>27</v>
      </c>
      <c r="H6083" s="3"/>
    </row>
    <row r="6084" spans="1:8">
      <c r="A6084" s="369">
        <v>45503</v>
      </c>
      <c r="B6084" s="370"/>
      <c r="C6084" s="370" t="s">
        <v>86</v>
      </c>
      <c r="D6084" s="3" t="s">
        <v>104</v>
      </c>
      <c r="E6084" s="1497">
        <v>15000</v>
      </c>
      <c r="F6084" s="1497"/>
      <c r="G6084" s="370" t="s">
        <v>56</v>
      </c>
      <c r="H6084" s="3"/>
    </row>
    <row r="6085" spans="1:8">
      <c r="A6085" s="369">
        <v>45503</v>
      </c>
      <c r="B6085" s="370"/>
      <c r="C6085" s="370" t="s">
        <v>55</v>
      </c>
      <c r="D6085" s="15" t="s">
        <v>64</v>
      </c>
      <c r="E6085" s="1497">
        <v>3484</v>
      </c>
      <c r="F6085" s="1497"/>
      <c r="G6085" s="370" t="s">
        <v>56</v>
      </c>
      <c r="H6085" s="3"/>
    </row>
    <row r="6086" spans="1:8">
      <c r="A6086" s="369">
        <v>45503</v>
      </c>
      <c r="B6086" s="370"/>
      <c r="C6086" s="370" t="s">
        <v>92</v>
      </c>
      <c r="D6086" s="3" t="s">
        <v>2840</v>
      </c>
      <c r="E6086" s="1497"/>
      <c r="F6086" s="1497">
        <v>448900</v>
      </c>
      <c r="G6086" s="370" t="s">
        <v>27</v>
      </c>
      <c r="H6086" s="3"/>
    </row>
    <row r="6087" spans="1:8">
      <c r="A6087" s="369">
        <v>45503</v>
      </c>
      <c r="B6087" s="370"/>
      <c r="C6087" s="370" t="s">
        <v>77</v>
      </c>
      <c r="D6087" s="3" t="s">
        <v>3166</v>
      </c>
      <c r="E6087" s="1497"/>
      <c r="F6087" s="1497">
        <v>46500</v>
      </c>
      <c r="G6087" s="370" t="s">
        <v>27</v>
      </c>
      <c r="H6087" s="3" t="s">
        <v>3167</v>
      </c>
    </row>
    <row r="6088" spans="1:8">
      <c r="A6088" s="369">
        <v>45503</v>
      </c>
      <c r="B6088" s="370"/>
      <c r="C6088" s="370" t="s">
        <v>94</v>
      </c>
      <c r="D6088" s="3" t="s">
        <v>13</v>
      </c>
      <c r="E6088" s="1497">
        <v>124103.26</v>
      </c>
      <c r="F6088" s="1497"/>
      <c r="G6088" s="370" t="s">
        <v>27</v>
      </c>
      <c r="H6088" s="3"/>
    </row>
    <row r="6089" spans="1:8">
      <c r="A6089" s="369">
        <v>45503</v>
      </c>
      <c r="B6089" s="370"/>
      <c r="C6089" s="370" t="s">
        <v>205</v>
      </c>
      <c r="D6089" s="15" t="s">
        <v>246</v>
      </c>
      <c r="E6089" s="1497">
        <v>14680</v>
      </c>
      <c r="F6089" s="1497"/>
      <c r="G6089" s="370" t="s">
        <v>27</v>
      </c>
      <c r="H6089" s="45" t="s">
        <v>3157</v>
      </c>
    </row>
    <row r="6090" spans="1:8">
      <c r="A6090" s="369">
        <v>45503</v>
      </c>
      <c r="B6090" s="370"/>
      <c r="C6090" s="370" t="s">
        <v>92</v>
      </c>
      <c r="D6090" s="3" t="s">
        <v>3169</v>
      </c>
      <c r="E6090" s="1497"/>
      <c r="F6090" s="1497">
        <v>48980</v>
      </c>
      <c r="G6090" s="370" t="s">
        <v>27</v>
      </c>
      <c r="H6090" s="3"/>
    </row>
    <row r="6091" spans="1:8">
      <c r="A6091" s="112">
        <v>45503</v>
      </c>
      <c r="B6091" s="70"/>
      <c r="C6091" s="70" t="s">
        <v>3171</v>
      </c>
      <c r="D6091" s="113" t="s">
        <v>3170</v>
      </c>
      <c r="E6091" s="70"/>
      <c r="F6091" s="70">
        <v>1000</v>
      </c>
      <c r="G6091" s="70" t="s">
        <v>781</v>
      </c>
      <c r="H6091" s="3"/>
    </row>
    <row r="6092" spans="1:8">
      <c r="A6092" s="369">
        <v>45503</v>
      </c>
      <c r="B6092" s="370"/>
      <c r="C6092" s="370" t="s">
        <v>3171</v>
      </c>
      <c r="D6092" s="3" t="s">
        <v>3170</v>
      </c>
      <c r="E6092" s="1497"/>
      <c r="F6092" s="1497">
        <v>140000</v>
      </c>
      <c r="G6092" s="370" t="s">
        <v>56</v>
      </c>
      <c r="H6092" s="3"/>
    </row>
    <row r="6093" spans="1:8">
      <c r="A6093" s="369">
        <v>45503</v>
      </c>
      <c r="B6093" s="370"/>
      <c r="C6093" s="370" t="s">
        <v>3171</v>
      </c>
      <c r="D6093" s="3" t="s">
        <v>3170</v>
      </c>
      <c r="E6093" s="1497"/>
      <c r="F6093" s="1497">
        <v>50000</v>
      </c>
      <c r="G6093" s="370" t="s">
        <v>72</v>
      </c>
      <c r="H6093" s="45" t="s">
        <v>3172</v>
      </c>
    </row>
    <row r="6094" spans="1:8">
      <c r="A6094" s="371">
        <v>45504</v>
      </c>
      <c r="B6094" s="370"/>
      <c r="C6094" s="370" t="s">
        <v>77</v>
      </c>
      <c r="D6094" s="3" t="s">
        <v>1736</v>
      </c>
      <c r="E6094" s="1497"/>
      <c r="F6094" s="1497">
        <v>716475</v>
      </c>
      <c r="G6094" s="370" t="s">
        <v>27</v>
      </c>
      <c r="H6094" s="3"/>
    </row>
    <row r="6095" spans="1:8">
      <c r="A6095" s="371">
        <v>45503</v>
      </c>
      <c r="B6095" s="370"/>
      <c r="C6095" s="370" t="s">
        <v>79</v>
      </c>
      <c r="D6095" s="3" t="s">
        <v>1736</v>
      </c>
      <c r="E6095" s="1497"/>
      <c r="F6095" s="1497">
        <v>2149425</v>
      </c>
      <c r="G6095" s="370" t="s">
        <v>287</v>
      </c>
      <c r="H6095" s="3" t="s">
        <v>3173</v>
      </c>
    </row>
    <row r="6096" spans="1:8">
      <c r="A6096" s="371">
        <v>45503</v>
      </c>
      <c r="B6096" s="370"/>
      <c r="C6096" s="370" t="s">
        <v>205</v>
      </c>
      <c r="D6096" s="3" t="s">
        <v>190</v>
      </c>
      <c r="E6096" s="1497">
        <v>100000</v>
      </c>
      <c r="F6096" s="1497"/>
      <c r="G6096" s="370" t="s">
        <v>56</v>
      </c>
      <c r="H6096" s="3"/>
    </row>
    <row r="6097" spans="1:8">
      <c r="A6097" s="371">
        <v>45504</v>
      </c>
      <c r="B6097" s="370"/>
      <c r="C6097" s="372" t="s">
        <v>205</v>
      </c>
      <c r="D6097" s="3" t="s">
        <v>190</v>
      </c>
      <c r="E6097" s="1497">
        <v>50000</v>
      </c>
      <c r="F6097" s="1497"/>
      <c r="G6097" s="372" t="s">
        <v>72</v>
      </c>
      <c r="H6097" s="3"/>
    </row>
    <row r="6098" spans="1:8">
      <c r="A6098" s="371">
        <v>45504</v>
      </c>
      <c r="B6098" s="370"/>
      <c r="C6098" s="372" t="s">
        <v>205</v>
      </c>
      <c r="D6098" s="3" t="s">
        <v>190</v>
      </c>
      <c r="E6098" s="1497">
        <v>150000</v>
      </c>
      <c r="F6098" s="1497"/>
      <c r="G6098" s="372" t="s">
        <v>72</v>
      </c>
      <c r="H6098" s="3"/>
    </row>
    <row r="6099" spans="1:8">
      <c r="A6099" s="375">
        <v>45504</v>
      </c>
      <c r="B6099" s="370"/>
      <c r="C6099" s="370" t="s">
        <v>92</v>
      </c>
      <c r="D6099" s="3" t="s">
        <v>1318</v>
      </c>
      <c r="E6099" s="1497">
        <v>624100.55000000005</v>
      </c>
      <c r="F6099" s="1497"/>
      <c r="G6099" s="370" t="s">
        <v>27</v>
      </c>
      <c r="H6099" s="3"/>
    </row>
    <row r="6100" spans="1:8">
      <c r="A6100" s="375">
        <v>45503</v>
      </c>
      <c r="B6100" s="376"/>
      <c r="C6100" s="376" t="s">
        <v>79</v>
      </c>
      <c r="D6100" s="3" t="s">
        <v>2711</v>
      </c>
      <c r="E6100" s="1497">
        <v>100000</v>
      </c>
      <c r="F6100" s="1497"/>
      <c r="G6100" s="376" t="s">
        <v>56</v>
      </c>
      <c r="H6100" s="3"/>
    </row>
    <row r="6101" spans="1:8">
      <c r="A6101" s="375">
        <v>45504</v>
      </c>
      <c r="B6101" s="376"/>
      <c r="C6101" s="376" t="s">
        <v>79</v>
      </c>
      <c r="D6101" s="3" t="s">
        <v>3016</v>
      </c>
      <c r="E6101" s="1497">
        <v>255000</v>
      </c>
      <c r="F6101" s="1497"/>
      <c r="G6101" s="376" t="s">
        <v>56</v>
      </c>
      <c r="H6101" s="3"/>
    </row>
    <row r="6102" spans="1:8">
      <c r="A6102" s="375">
        <v>45504</v>
      </c>
      <c r="B6102" s="376"/>
      <c r="C6102" s="376" t="s">
        <v>55</v>
      </c>
      <c r="D6102" s="3" t="s">
        <v>478</v>
      </c>
      <c r="E6102" s="1497">
        <v>12000</v>
      </c>
      <c r="F6102" s="1497"/>
      <c r="G6102" s="376" t="s">
        <v>56</v>
      </c>
      <c r="H6102" s="3"/>
    </row>
    <row r="6103" spans="1:8">
      <c r="A6103" s="375">
        <v>45504</v>
      </c>
      <c r="B6103" s="376"/>
      <c r="C6103" s="376" t="s">
        <v>55</v>
      </c>
      <c r="D6103" s="3" t="s">
        <v>60</v>
      </c>
      <c r="E6103" s="1497">
        <v>8550</v>
      </c>
      <c r="F6103" s="1497"/>
      <c r="G6103" s="376" t="s">
        <v>56</v>
      </c>
      <c r="H6103" s="3"/>
    </row>
    <row r="6104" spans="1:8">
      <c r="A6104" s="375">
        <v>45503</v>
      </c>
      <c r="B6104" s="376"/>
      <c r="C6104" s="376" t="s">
        <v>55</v>
      </c>
      <c r="D6104" s="3" t="s">
        <v>2074</v>
      </c>
      <c r="E6104" s="1497">
        <v>150</v>
      </c>
      <c r="F6104" s="1497"/>
      <c r="G6104" s="376" t="s">
        <v>56</v>
      </c>
      <c r="H6104" s="3"/>
    </row>
    <row r="6105" spans="1:8">
      <c r="A6105" s="375">
        <v>45504</v>
      </c>
      <c r="B6105" s="376"/>
      <c r="C6105" s="376"/>
      <c r="D6105" s="3"/>
      <c r="E6105" s="1497">
        <v>1500</v>
      </c>
      <c r="F6105" s="1497"/>
      <c r="G6105" s="376" t="s">
        <v>56</v>
      </c>
      <c r="H6105" s="3"/>
    </row>
    <row r="6106" spans="1:8">
      <c r="A6106" s="375"/>
      <c r="B6106" s="376"/>
      <c r="C6106" s="376"/>
      <c r="D6106" s="3"/>
      <c r="E6106" s="1497"/>
      <c r="F6106" s="1497"/>
      <c r="G6106" s="376"/>
      <c r="H6106" s="3"/>
    </row>
    <row r="6107" spans="1:8" ht="15.75" thickBot="1">
      <c r="H6107" s="209">
        <v>45504</v>
      </c>
    </row>
    <row r="6108" spans="1:8">
      <c r="H6108" s="199" t="s">
        <v>3124</v>
      </c>
    </row>
    <row r="6109" spans="1:8">
      <c r="H6109" s="137" t="s">
        <v>3174</v>
      </c>
    </row>
    <row r="6110" spans="1:8">
      <c r="H6110" s="138" t="s">
        <v>3181</v>
      </c>
    </row>
    <row r="6111" spans="1:8">
      <c r="H6111" s="138" t="s">
        <v>3179</v>
      </c>
    </row>
    <row r="6112" spans="1:8">
      <c r="H6112" s="138" t="s">
        <v>3176</v>
      </c>
    </row>
    <row r="6113" spans="1:8">
      <c r="H6113" s="138" t="s">
        <v>3138</v>
      </c>
    </row>
    <row r="6114" spans="1:8">
      <c r="H6114" s="138" t="s">
        <v>3177</v>
      </c>
    </row>
    <row r="6115" spans="1:8">
      <c r="H6115" s="138" t="s">
        <v>3175</v>
      </c>
    </row>
    <row r="6116" spans="1:8">
      <c r="H6116" s="138" t="s">
        <v>2151</v>
      </c>
    </row>
    <row r="6117" spans="1:8">
      <c r="H6117" s="138" t="s">
        <v>3180</v>
      </c>
    </row>
    <row r="6118" spans="1:8">
      <c r="H6118" s="379" t="s">
        <v>3178</v>
      </c>
    </row>
    <row r="6119" spans="1:8">
      <c r="A6119" s="375">
        <v>45505</v>
      </c>
      <c r="B6119" s="376"/>
      <c r="C6119" s="376" t="s">
        <v>65</v>
      </c>
      <c r="D6119" s="3" t="s">
        <v>436</v>
      </c>
      <c r="E6119" s="1497">
        <v>9650</v>
      </c>
      <c r="F6119" s="1497"/>
      <c r="G6119" s="376" t="s">
        <v>27</v>
      </c>
      <c r="H6119" s="3"/>
    </row>
    <row r="6120" spans="1:8">
      <c r="A6120" s="375">
        <v>45505</v>
      </c>
      <c r="B6120" s="376"/>
      <c r="C6120" s="376" t="s">
        <v>65</v>
      </c>
      <c r="D6120" s="3" t="s">
        <v>437</v>
      </c>
      <c r="E6120" s="1497">
        <v>9650</v>
      </c>
      <c r="F6120" s="1497"/>
      <c r="G6120" s="376" t="s">
        <v>27</v>
      </c>
      <c r="H6120" s="3"/>
    </row>
    <row r="6121" spans="1:8">
      <c r="A6121" s="375">
        <v>45505</v>
      </c>
      <c r="B6121" s="376"/>
      <c r="C6121" s="376" t="s">
        <v>65</v>
      </c>
      <c r="D6121" s="3" t="s">
        <v>435</v>
      </c>
      <c r="E6121" s="1497">
        <v>33394.21</v>
      </c>
      <c r="F6121" s="1497"/>
      <c r="G6121" s="376" t="s">
        <v>27</v>
      </c>
      <c r="H6121" s="3"/>
    </row>
    <row r="6122" spans="1:8">
      <c r="A6122" s="375">
        <v>45505</v>
      </c>
      <c r="B6122" s="376"/>
      <c r="C6122" s="376" t="s">
        <v>730</v>
      </c>
      <c r="D6122" s="3" t="s">
        <v>1479</v>
      </c>
      <c r="E6122" s="1497">
        <v>80000</v>
      </c>
      <c r="F6122" s="1497"/>
      <c r="G6122" s="376" t="s">
        <v>27</v>
      </c>
      <c r="H6122" s="3"/>
    </row>
    <row r="6123" spans="1:8">
      <c r="A6123" s="375">
        <v>45505</v>
      </c>
      <c r="B6123" s="376"/>
      <c r="C6123" s="376" t="s">
        <v>90</v>
      </c>
      <c r="D6123" s="3" t="s">
        <v>1951</v>
      </c>
      <c r="E6123" s="1497">
        <v>7500</v>
      </c>
      <c r="F6123" s="1497"/>
      <c r="G6123" s="376" t="s">
        <v>1866</v>
      </c>
      <c r="H6123" s="3"/>
    </row>
    <row r="6124" spans="1:8">
      <c r="A6124" s="377">
        <v>45505</v>
      </c>
      <c r="B6124" s="376"/>
      <c r="C6124" s="376" t="s">
        <v>94</v>
      </c>
      <c r="D6124" s="3" t="s">
        <v>13</v>
      </c>
      <c r="E6124" s="1497">
        <v>102301.11</v>
      </c>
      <c r="F6124" s="1497"/>
      <c r="G6124" s="376" t="s">
        <v>27</v>
      </c>
      <c r="H6124" s="3"/>
    </row>
    <row r="6125" spans="1:8">
      <c r="A6125" s="377">
        <v>45505</v>
      </c>
      <c r="B6125" s="378"/>
      <c r="C6125" s="378" t="s">
        <v>205</v>
      </c>
      <c r="D6125" s="3" t="s">
        <v>3182</v>
      </c>
      <c r="E6125" s="1497">
        <v>45840</v>
      </c>
      <c r="F6125" s="1497"/>
      <c r="G6125" s="378" t="s">
        <v>27</v>
      </c>
      <c r="H6125" s="3"/>
    </row>
    <row r="6126" spans="1:8">
      <c r="A6126" s="377">
        <v>45505</v>
      </c>
      <c r="B6126" s="378"/>
      <c r="C6126" s="378" t="s">
        <v>205</v>
      </c>
      <c r="D6126" s="3" t="s">
        <v>3183</v>
      </c>
      <c r="E6126" s="1497">
        <v>173148</v>
      </c>
      <c r="F6126" s="1497"/>
      <c r="G6126" s="378" t="s">
        <v>27</v>
      </c>
      <c r="H6126" s="3"/>
    </row>
    <row r="6127" spans="1:8">
      <c r="A6127" s="380">
        <v>45505</v>
      </c>
      <c r="B6127" s="381"/>
      <c r="C6127" s="381" t="s">
        <v>205</v>
      </c>
      <c r="D6127" s="3" t="s">
        <v>113</v>
      </c>
      <c r="E6127" s="1497">
        <v>122353</v>
      </c>
      <c r="F6127" s="1497"/>
      <c r="G6127" s="381" t="s">
        <v>27</v>
      </c>
      <c r="H6127" s="3"/>
    </row>
    <row r="6128" spans="1:8">
      <c r="A6128" s="380">
        <v>45506</v>
      </c>
      <c r="B6128" s="381"/>
      <c r="C6128" s="381" t="s">
        <v>86</v>
      </c>
      <c r="D6128" s="3" t="s">
        <v>104</v>
      </c>
      <c r="E6128" s="1497">
        <v>15000</v>
      </c>
      <c r="F6128" s="1497"/>
      <c r="G6128" s="381" t="s">
        <v>27</v>
      </c>
      <c r="H6128" s="3"/>
    </row>
    <row r="6129" spans="1:8">
      <c r="A6129" s="380">
        <v>45506</v>
      </c>
      <c r="B6129" s="381"/>
      <c r="C6129" s="381" t="s">
        <v>90</v>
      </c>
      <c r="D6129" s="3" t="s">
        <v>334</v>
      </c>
      <c r="E6129" s="1497">
        <v>18690.509999999998</v>
      </c>
      <c r="F6129" s="1497"/>
      <c r="G6129" s="381" t="s">
        <v>27</v>
      </c>
      <c r="H6129" s="3"/>
    </row>
    <row r="6130" spans="1:8">
      <c r="A6130" s="380">
        <v>45506</v>
      </c>
      <c r="B6130" s="381"/>
      <c r="C6130" s="381" t="s">
        <v>205</v>
      </c>
      <c r="D6130" s="3" t="s">
        <v>859</v>
      </c>
      <c r="E6130" s="1497">
        <v>85896.2</v>
      </c>
      <c r="F6130" s="1497"/>
      <c r="G6130" s="381" t="s">
        <v>27</v>
      </c>
      <c r="H6130" s="3" t="s">
        <v>3184</v>
      </c>
    </row>
    <row r="6131" spans="1:8">
      <c r="A6131" s="380">
        <v>45506</v>
      </c>
      <c r="B6131" s="381"/>
      <c r="C6131" s="381" t="s">
        <v>205</v>
      </c>
      <c r="D6131" s="3" t="s">
        <v>859</v>
      </c>
      <c r="E6131" s="1497">
        <v>35000</v>
      </c>
      <c r="F6131" s="1497"/>
      <c r="G6131" s="381" t="s">
        <v>27</v>
      </c>
      <c r="H6131" s="3" t="s">
        <v>27</v>
      </c>
    </row>
    <row r="6132" spans="1:8">
      <c r="A6132" s="380">
        <v>45506</v>
      </c>
      <c r="B6132" s="381"/>
      <c r="C6132" s="381" t="s">
        <v>205</v>
      </c>
      <c r="D6132" s="3" t="s">
        <v>38</v>
      </c>
      <c r="E6132" s="1497">
        <v>3000</v>
      </c>
      <c r="F6132" s="1497"/>
      <c r="G6132" s="381" t="s">
        <v>1866</v>
      </c>
      <c r="H6132" s="3"/>
    </row>
    <row r="6133" spans="1:8">
      <c r="A6133" s="380">
        <v>45506</v>
      </c>
      <c r="B6133" s="381"/>
      <c r="C6133" s="381" t="s">
        <v>537</v>
      </c>
      <c r="D6133" s="15" t="s">
        <v>219</v>
      </c>
      <c r="E6133" s="1497">
        <v>177500</v>
      </c>
      <c r="F6133" s="1497"/>
      <c r="G6133" s="381" t="s">
        <v>1866</v>
      </c>
      <c r="H6133" s="3"/>
    </row>
    <row r="6134" spans="1:8">
      <c r="A6134" s="380">
        <v>45506</v>
      </c>
      <c r="B6134" s="381"/>
      <c r="C6134" s="381" t="s">
        <v>537</v>
      </c>
      <c r="D6134" s="15" t="s">
        <v>208</v>
      </c>
      <c r="E6134" s="1497">
        <v>154000</v>
      </c>
      <c r="F6134" s="1497"/>
      <c r="G6134" s="381" t="s">
        <v>1866</v>
      </c>
      <c r="H6134" s="3"/>
    </row>
    <row r="6135" spans="1:8">
      <c r="A6135" s="380">
        <v>45506</v>
      </c>
      <c r="B6135" s="381"/>
      <c r="C6135" s="381" t="s">
        <v>537</v>
      </c>
      <c r="D6135" s="3" t="s">
        <v>144</v>
      </c>
      <c r="E6135" s="1497">
        <v>35000</v>
      </c>
      <c r="F6135" s="1497"/>
      <c r="G6135" s="381" t="s">
        <v>27</v>
      </c>
      <c r="H6135" s="3"/>
    </row>
    <row r="6136" spans="1:8">
      <c r="A6136" s="380">
        <v>45506</v>
      </c>
      <c r="B6136" s="381"/>
      <c r="C6136" s="381" t="s">
        <v>537</v>
      </c>
      <c r="D6136" s="3" t="s">
        <v>144</v>
      </c>
      <c r="E6136" s="1497">
        <v>300000</v>
      </c>
      <c r="F6136" s="1497"/>
      <c r="G6136" s="381" t="s">
        <v>1866</v>
      </c>
      <c r="H6136" s="3"/>
    </row>
    <row r="6137" spans="1:8" ht="15.75" thickBot="1">
      <c r="A6137" s="380">
        <v>45506</v>
      </c>
      <c r="B6137" s="381"/>
      <c r="C6137" s="381" t="s">
        <v>537</v>
      </c>
      <c r="D6137" s="3" t="s">
        <v>193</v>
      </c>
      <c r="E6137" s="1497">
        <v>90000</v>
      </c>
      <c r="F6137" s="1497"/>
      <c r="G6137" s="381" t="s">
        <v>1866</v>
      </c>
      <c r="H6137" s="85"/>
    </row>
    <row r="6138" spans="1:8" ht="15.75" thickBot="1">
      <c r="A6138" s="380"/>
      <c r="B6138" s="381"/>
      <c r="C6138" s="381"/>
      <c r="D6138" s="3"/>
      <c r="E6138" s="1497"/>
      <c r="F6138" s="1497"/>
      <c r="G6138" s="381"/>
      <c r="H6138" s="201">
        <v>45506</v>
      </c>
    </row>
    <row r="6139" spans="1:8">
      <c r="A6139" s="381"/>
      <c r="B6139" s="381"/>
      <c r="C6139" s="381"/>
      <c r="D6139" s="3"/>
      <c r="E6139" s="1497"/>
      <c r="F6139" s="1497"/>
      <c r="G6139" s="381"/>
      <c r="H6139" s="199" t="s">
        <v>3124</v>
      </c>
    </row>
    <row r="6140" spans="1:8">
      <c r="A6140" s="381"/>
      <c r="B6140" s="381"/>
      <c r="C6140" s="381"/>
      <c r="D6140" s="3"/>
      <c r="E6140" s="1497"/>
      <c r="F6140" s="1497"/>
      <c r="G6140" s="381"/>
      <c r="H6140" s="137" t="s">
        <v>3185</v>
      </c>
    </row>
    <row r="6141" spans="1:8">
      <c r="H6141" s="138" t="s">
        <v>2704</v>
      </c>
    </row>
    <row r="6142" spans="1:8">
      <c r="H6142" s="138" t="s">
        <v>2894</v>
      </c>
    </row>
    <row r="6143" spans="1:8">
      <c r="H6143" s="138" t="s">
        <v>3176</v>
      </c>
    </row>
    <row r="6144" spans="1:8">
      <c r="H6144" s="138" t="s">
        <v>3138</v>
      </c>
    </row>
    <row r="6145" spans="1:8">
      <c r="H6145" s="138" t="s">
        <v>3177</v>
      </c>
    </row>
    <row r="6146" spans="1:8">
      <c r="H6146" s="138" t="s">
        <v>3186</v>
      </c>
    </row>
    <row r="6147" spans="1:8">
      <c r="H6147" s="138" t="s">
        <v>2151</v>
      </c>
    </row>
    <row r="6148" spans="1:8" ht="15.75" thickBot="1">
      <c r="H6148" s="139" t="s">
        <v>3180</v>
      </c>
    </row>
    <row r="6149" spans="1:8">
      <c r="H6149" s="384" t="s">
        <v>3187</v>
      </c>
    </row>
    <row r="6150" spans="1:8">
      <c r="A6150" s="382">
        <v>45509</v>
      </c>
      <c r="B6150" s="383"/>
      <c r="C6150" s="383" t="s">
        <v>68</v>
      </c>
      <c r="D6150" s="3" t="s">
        <v>2232</v>
      </c>
      <c r="E6150" s="1497">
        <v>11000</v>
      </c>
      <c r="F6150" s="1497"/>
      <c r="G6150" s="383" t="s">
        <v>1866</v>
      </c>
      <c r="H6150" s="3"/>
    </row>
    <row r="6151" spans="1:8">
      <c r="A6151" s="382">
        <v>45509</v>
      </c>
      <c r="B6151" s="383"/>
      <c r="C6151" s="383" t="s">
        <v>29</v>
      </c>
      <c r="D6151" s="3" t="s">
        <v>913</v>
      </c>
      <c r="E6151" s="1497">
        <v>35000</v>
      </c>
      <c r="F6151" s="1497"/>
      <c r="G6151" s="383" t="s">
        <v>27</v>
      </c>
      <c r="H6151" s="3"/>
    </row>
    <row r="6152" spans="1:8">
      <c r="A6152" s="382">
        <v>45509</v>
      </c>
      <c r="B6152" s="383"/>
      <c r="C6152" s="383" t="s">
        <v>29</v>
      </c>
      <c r="D6152" s="3" t="s">
        <v>499</v>
      </c>
      <c r="E6152" s="1497">
        <v>220000</v>
      </c>
      <c r="F6152" s="1497"/>
      <c r="G6152" s="383" t="s">
        <v>27</v>
      </c>
      <c r="H6152" s="3"/>
    </row>
    <row r="6153" spans="1:8">
      <c r="A6153" s="382">
        <v>45509</v>
      </c>
      <c r="B6153" s="383"/>
      <c r="C6153" s="383" t="s">
        <v>29</v>
      </c>
      <c r="D6153" s="3" t="s">
        <v>3188</v>
      </c>
      <c r="E6153" s="1497">
        <v>25000</v>
      </c>
      <c r="F6153" s="1497"/>
      <c r="G6153" s="383" t="s">
        <v>27</v>
      </c>
      <c r="H6153" s="3"/>
    </row>
    <row r="6154" spans="1:8">
      <c r="A6154" s="382">
        <v>45509</v>
      </c>
      <c r="B6154" s="383"/>
      <c r="C6154" s="383" t="s">
        <v>29</v>
      </c>
      <c r="D6154" s="3" t="s">
        <v>246</v>
      </c>
      <c r="E6154" s="1497">
        <v>19400</v>
      </c>
      <c r="F6154" s="1497"/>
      <c r="G6154" s="383" t="s">
        <v>27</v>
      </c>
      <c r="H6154" s="3"/>
    </row>
    <row r="6155" spans="1:8">
      <c r="A6155" s="382">
        <v>45509</v>
      </c>
      <c r="B6155" s="383"/>
      <c r="C6155" s="383" t="s">
        <v>849</v>
      </c>
      <c r="D6155" s="3" t="s">
        <v>1795</v>
      </c>
      <c r="E6155" s="1497">
        <v>465000</v>
      </c>
      <c r="F6155" s="1497"/>
      <c r="G6155" s="383" t="s">
        <v>287</v>
      </c>
      <c r="H6155" s="3"/>
    </row>
    <row r="6156" spans="1:8">
      <c r="A6156" s="385">
        <v>45510</v>
      </c>
      <c r="B6156" s="383"/>
      <c r="C6156" s="383" t="s">
        <v>77</v>
      </c>
      <c r="D6156" s="3" t="s">
        <v>3190</v>
      </c>
      <c r="E6156" s="1497"/>
      <c r="F6156" s="1497" t="s">
        <v>3189</v>
      </c>
      <c r="G6156" s="383" t="s">
        <v>27</v>
      </c>
      <c r="H6156" s="3"/>
    </row>
    <row r="6157" spans="1:8">
      <c r="A6157" s="385">
        <v>45510</v>
      </c>
      <c r="B6157" s="383"/>
      <c r="C6157" s="383" t="s">
        <v>205</v>
      </c>
      <c r="D6157" s="3" t="s">
        <v>821</v>
      </c>
      <c r="E6157" s="1497">
        <v>1800</v>
      </c>
      <c r="F6157" s="1497"/>
      <c r="G6157" s="383" t="s">
        <v>1866</v>
      </c>
      <c r="H6157" s="3"/>
    </row>
    <row r="6158" spans="1:8">
      <c r="A6158" s="385">
        <v>45510</v>
      </c>
      <c r="B6158" s="383"/>
      <c r="C6158" s="383" t="s">
        <v>55</v>
      </c>
      <c r="D6158" s="3" t="s">
        <v>61</v>
      </c>
      <c r="E6158" s="1497">
        <v>2000</v>
      </c>
      <c r="F6158" s="1497"/>
      <c r="G6158" s="383" t="s">
        <v>1866</v>
      </c>
      <c r="H6158" s="3"/>
    </row>
    <row r="6159" spans="1:8">
      <c r="A6159" s="385">
        <v>45511</v>
      </c>
      <c r="B6159" s="383"/>
      <c r="C6159" s="383" t="s">
        <v>205</v>
      </c>
      <c r="D6159" s="3" t="s">
        <v>2777</v>
      </c>
      <c r="E6159" s="1497">
        <v>760282.95</v>
      </c>
      <c r="F6159" s="1497"/>
      <c r="G6159" s="383" t="s">
        <v>27</v>
      </c>
      <c r="H6159" s="3"/>
    </row>
    <row r="6160" spans="1:8">
      <c r="A6160" s="385">
        <v>45511</v>
      </c>
      <c r="B6160" s="383"/>
      <c r="C6160" s="386" t="s">
        <v>205</v>
      </c>
      <c r="D6160" s="3" t="s">
        <v>792</v>
      </c>
      <c r="E6160" s="1497">
        <v>127159.44</v>
      </c>
      <c r="F6160" s="1497"/>
      <c r="G6160" s="386" t="s">
        <v>27</v>
      </c>
      <c r="H6160" s="3"/>
    </row>
    <row r="6161" spans="1:8">
      <c r="A6161" s="385">
        <v>45511</v>
      </c>
      <c r="B6161" s="383"/>
      <c r="C6161" s="386" t="s">
        <v>205</v>
      </c>
      <c r="D6161" s="3" t="s">
        <v>38</v>
      </c>
      <c r="E6161" s="1497">
        <v>1700</v>
      </c>
      <c r="F6161" s="1497"/>
      <c r="G6161" s="386" t="s">
        <v>27</v>
      </c>
      <c r="H6161" s="3"/>
    </row>
    <row r="6162" spans="1:8">
      <c r="A6162" s="385">
        <v>45511</v>
      </c>
      <c r="B6162" s="386"/>
      <c r="C6162" s="386" t="s">
        <v>92</v>
      </c>
      <c r="D6162" s="3" t="s">
        <v>377</v>
      </c>
      <c r="E6162" s="1497"/>
      <c r="F6162" s="1497">
        <v>124000</v>
      </c>
      <c r="G6162" s="386" t="s">
        <v>1866</v>
      </c>
      <c r="H6162" s="3"/>
    </row>
    <row r="6163" spans="1:8">
      <c r="A6163" s="387">
        <v>45512</v>
      </c>
      <c r="B6163" s="386"/>
      <c r="C6163" s="386" t="s">
        <v>77</v>
      </c>
      <c r="D6163" s="3" t="s">
        <v>1889</v>
      </c>
      <c r="E6163" s="1497"/>
      <c r="F6163" s="1497">
        <v>875000</v>
      </c>
      <c r="G6163" s="386" t="s">
        <v>287</v>
      </c>
      <c r="H6163" s="3"/>
    </row>
    <row r="6164" spans="1:8">
      <c r="A6164" s="388">
        <v>45512</v>
      </c>
      <c r="B6164" s="386"/>
      <c r="C6164" s="386" t="s">
        <v>90</v>
      </c>
      <c r="D6164" s="3" t="s">
        <v>334</v>
      </c>
      <c r="E6164" s="1497">
        <v>18690.509999999998</v>
      </c>
      <c r="F6164" s="1497"/>
      <c r="G6164" s="386" t="s">
        <v>27</v>
      </c>
      <c r="H6164" s="3"/>
    </row>
    <row r="6165" spans="1:8">
      <c r="A6165" s="388">
        <v>45512</v>
      </c>
      <c r="B6165" s="386"/>
      <c r="C6165" s="386" t="s">
        <v>90</v>
      </c>
      <c r="D6165" s="3" t="s">
        <v>1951</v>
      </c>
      <c r="E6165" s="1497">
        <v>7500</v>
      </c>
      <c r="F6165" s="1497"/>
      <c r="G6165" s="386" t="s">
        <v>1866</v>
      </c>
      <c r="H6165" s="3"/>
    </row>
    <row r="6166" spans="1:8">
      <c r="A6166" s="388">
        <v>45512</v>
      </c>
      <c r="B6166" s="389"/>
      <c r="C6166" s="389" t="s">
        <v>92</v>
      </c>
      <c r="D6166" s="3" t="s">
        <v>377</v>
      </c>
      <c r="E6166" s="1497"/>
      <c r="F6166" s="1497">
        <v>260000</v>
      </c>
      <c r="G6166" s="389" t="s">
        <v>1866</v>
      </c>
      <c r="H6166" s="3"/>
    </row>
    <row r="6167" spans="1:8">
      <c r="A6167" s="391">
        <v>45513</v>
      </c>
      <c r="B6167" s="389"/>
      <c r="C6167" s="389" t="s">
        <v>205</v>
      </c>
      <c r="D6167" s="3" t="s">
        <v>2946</v>
      </c>
      <c r="E6167" s="1497">
        <v>68000</v>
      </c>
      <c r="F6167" s="1497"/>
      <c r="G6167" s="389" t="s">
        <v>1866</v>
      </c>
      <c r="H6167" s="3" t="s">
        <v>3191</v>
      </c>
    </row>
    <row r="6168" spans="1:8">
      <c r="A6168" s="391">
        <v>45513</v>
      </c>
      <c r="B6168" s="389"/>
      <c r="C6168" s="389" t="s">
        <v>205</v>
      </c>
      <c r="D6168" s="3" t="s">
        <v>238</v>
      </c>
      <c r="E6168" s="1497">
        <v>17485</v>
      </c>
      <c r="F6168" s="1497"/>
      <c r="G6168" s="389" t="s">
        <v>27</v>
      </c>
      <c r="H6168" s="3"/>
    </row>
    <row r="6169" spans="1:8">
      <c r="A6169" s="391">
        <v>45513</v>
      </c>
      <c r="B6169" s="390"/>
      <c r="C6169" s="390" t="s">
        <v>92</v>
      </c>
      <c r="D6169" s="3" t="s">
        <v>3192</v>
      </c>
      <c r="E6169" s="1497"/>
      <c r="F6169" s="1497">
        <v>38000</v>
      </c>
      <c r="G6169" s="390" t="s">
        <v>1866</v>
      </c>
      <c r="H6169" s="3"/>
    </row>
    <row r="6170" spans="1:8">
      <c r="A6170" s="391">
        <v>45513</v>
      </c>
      <c r="B6170" s="390"/>
      <c r="C6170" s="390" t="s">
        <v>537</v>
      </c>
      <c r="D6170" s="3" t="s">
        <v>144</v>
      </c>
      <c r="E6170" s="1497">
        <v>150000</v>
      </c>
      <c r="F6170" s="1497"/>
      <c r="G6170" s="390" t="s">
        <v>27</v>
      </c>
      <c r="H6170" s="3"/>
    </row>
    <row r="6171" spans="1:8">
      <c r="A6171" s="391">
        <v>45513</v>
      </c>
      <c r="B6171" s="390"/>
      <c r="C6171" s="390" t="s">
        <v>537</v>
      </c>
      <c r="D6171" s="3" t="s">
        <v>144</v>
      </c>
      <c r="E6171" s="1497">
        <v>185000</v>
      </c>
      <c r="F6171" s="1497"/>
      <c r="G6171" s="390" t="s">
        <v>1866</v>
      </c>
      <c r="H6171" s="3"/>
    </row>
    <row r="6172" spans="1:8">
      <c r="A6172" s="391">
        <v>45513</v>
      </c>
      <c r="B6172" s="390"/>
      <c r="C6172" s="390" t="s">
        <v>537</v>
      </c>
      <c r="D6172" s="3" t="s">
        <v>208</v>
      </c>
      <c r="E6172" s="1497">
        <v>154000</v>
      </c>
      <c r="F6172" s="1497"/>
      <c r="G6172" s="390" t="s">
        <v>1866</v>
      </c>
      <c r="H6172" s="3"/>
    </row>
    <row r="6173" spans="1:8">
      <c r="A6173" s="391">
        <v>45513</v>
      </c>
      <c r="B6173" s="390"/>
      <c r="C6173" s="390" t="s">
        <v>537</v>
      </c>
      <c r="D6173" s="3" t="s">
        <v>219</v>
      </c>
      <c r="E6173" s="1497">
        <v>177500</v>
      </c>
      <c r="F6173" s="1497"/>
      <c r="G6173" s="390" t="s">
        <v>1866</v>
      </c>
      <c r="H6173" s="3"/>
    </row>
    <row r="6174" spans="1:8">
      <c r="A6174" s="391">
        <v>45513</v>
      </c>
      <c r="B6174" s="390"/>
      <c r="C6174" s="390" t="s">
        <v>537</v>
      </c>
      <c r="D6174" s="3" t="s">
        <v>193</v>
      </c>
      <c r="E6174" s="1497">
        <v>90000</v>
      </c>
      <c r="F6174" s="1497"/>
      <c r="G6174" s="390" t="s">
        <v>1866</v>
      </c>
      <c r="H6174" s="85"/>
    </row>
    <row r="6175" spans="1:8" ht="15.75" thickBot="1">
      <c r="A6175" s="391">
        <v>45513</v>
      </c>
      <c r="B6175" s="390"/>
      <c r="C6175" s="390" t="s">
        <v>308</v>
      </c>
      <c r="D6175" s="3" t="s">
        <v>232</v>
      </c>
      <c r="E6175" s="1497">
        <v>100000</v>
      </c>
      <c r="F6175" s="1497"/>
      <c r="G6175" s="390" t="s">
        <v>27</v>
      </c>
      <c r="H6175" s="85"/>
    </row>
    <row r="6176" spans="1:8" ht="15.75" thickBot="1">
      <c r="H6176" s="201">
        <v>45513</v>
      </c>
    </row>
    <row r="6177" spans="1:8">
      <c r="H6177" s="199" t="s">
        <v>3124</v>
      </c>
    </row>
    <row r="6178" spans="1:8">
      <c r="H6178" s="137" t="s">
        <v>3197</v>
      </c>
    </row>
    <row r="6179" spans="1:8">
      <c r="H6179" s="138" t="s">
        <v>3193</v>
      </c>
    </row>
    <row r="6180" spans="1:8">
      <c r="H6180" s="138" t="s">
        <v>3194</v>
      </c>
    </row>
    <row r="6181" spans="1:8">
      <c r="H6181" s="138" t="s">
        <v>3176</v>
      </c>
    </row>
    <row r="6182" spans="1:8">
      <c r="H6182" s="138" t="s">
        <v>3138</v>
      </c>
    </row>
    <row r="6183" spans="1:8">
      <c r="H6183" s="138" t="s">
        <v>3195</v>
      </c>
    </row>
    <row r="6184" spans="1:8">
      <c r="H6184" s="138" t="s">
        <v>3196</v>
      </c>
    </row>
    <row r="6185" spans="1:8">
      <c r="H6185" s="138" t="s">
        <v>2151</v>
      </c>
    </row>
    <row r="6186" spans="1:8" ht="15.75" thickBot="1">
      <c r="H6186" s="139" t="s">
        <v>3198</v>
      </c>
    </row>
    <row r="6187" spans="1:8">
      <c r="H6187" s="384">
        <v>12064431.59</v>
      </c>
    </row>
    <row r="6188" spans="1:8">
      <c r="A6188" s="393">
        <v>45516</v>
      </c>
      <c r="B6188" s="390"/>
      <c r="C6188" s="390" t="s">
        <v>92</v>
      </c>
      <c r="D6188" s="3" t="s">
        <v>582</v>
      </c>
      <c r="E6188" s="1497"/>
      <c r="F6188" s="1497">
        <v>242235.5</v>
      </c>
      <c r="G6188" s="390" t="s">
        <v>27</v>
      </c>
      <c r="H6188" s="3"/>
    </row>
    <row r="6189" spans="1:8">
      <c r="A6189" s="393">
        <v>45516</v>
      </c>
      <c r="B6189" s="390"/>
      <c r="C6189" s="390" t="s">
        <v>79</v>
      </c>
      <c r="D6189" s="3" t="s">
        <v>79</v>
      </c>
      <c r="E6189" s="1497">
        <v>73451.45</v>
      </c>
      <c r="F6189" s="1497"/>
      <c r="G6189" s="392" t="s">
        <v>27</v>
      </c>
      <c r="H6189" s="3"/>
    </row>
    <row r="6190" spans="1:8">
      <c r="A6190" s="393">
        <v>45516</v>
      </c>
      <c r="B6190" s="390"/>
      <c r="C6190" s="390" t="s">
        <v>3082</v>
      </c>
      <c r="D6190" s="3" t="s">
        <v>2630</v>
      </c>
      <c r="E6190" s="1497">
        <v>24935</v>
      </c>
      <c r="F6190" s="1497"/>
      <c r="G6190" s="390" t="s">
        <v>27</v>
      </c>
      <c r="H6190" s="3"/>
    </row>
    <row r="6191" spans="1:8">
      <c r="A6191" s="393">
        <v>45516</v>
      </c>
      <c r="B6191" s="390"/>
      <c r="C6191" s="390" t="s">
        <v>205</v>
      </c>
      <c r="D6191" s="71" t="s">
        <v>3201</v>
      </c>
      <c r="E6191" s="1497">
        <v>100000</v>
      </c>
      <c r="F6191" s="1497"/>
      <c r="G6191" s="392" t="s">
        <v>27</v>
      </c>
      <c r="H6191" s="3"/>
    </row>
    <row r="6192" spans="1:8">
      <c r="A6192" s="393">
        <v>45516</v>
      </c>
      <c r="B6192" s="390"/>
      <c r="C6192" s="392" t="s">
        <v>205</v>
      </c>
      <c r="D6192" s="71" t="s">
        <v>3201</v>
      </c>
      <c r="E6192" s="1497">
        <v>100000</v>
      </c>
      <c r="F6192" s="1497"/>
      <c r="G6192" s="392" t="s">
        <v>27</v>
      </c>
      <c r="H6192" s="3"/>
    </row>
    <row r="6193" spans="1:8">
      <c r="A6193" s="393">
        <v>45516</v>
      </c>
      <c r="B6193" s="390"/>
      <c r="C6193" s="390" t="s">
        <v>90</v>
      </c>
      <c r="D6193" s="3" t="s">
        <v>3200</v>
      </c>
      <c r="E6193" s="1497" t="s">
        <v>3199</v>
      </c>
      <c r="F6193" s="1497"/>
      <c r="G6193" s="390" t="s">
        <v>27</v>
      </c>
      <c r="H6193" s="3"/>
    </row>
    <row r="6194" spans="1:8">
      <c r="A6194" s="393">
        <v>45516</v>
      </c>
      <c r="B6194" s="392"/>
      <c r="C6194" s="392" t="s">
        <v>79</v>
      </c>
      <c r="D6194" s="3" t="s">
        <v>3016</v>
      </c>
      <c r="E6194" s="1497">
        <v>11009.25</v>
      </c>
      <c r="F6194" s="1497"/>
      <c r="G6194" s="392" t="s">
        <v>27</v>
      </c>
      <c r="H6194" s="3"/>
    </row>
    <row r="6195" spans="1:8">
      <c r="A6195" s="393">
        <v>45516</v>
      </c>
      <c r="B6195" s="392"/>
      <c r="C6195" s="392" t="s">
        <v>79</v>
      </c>
      <c r="D6195" s="3" t="s">
        <v>2355</v>
      </c>
      <c r="E6195" s="1497">
        <v>20000</v>
      </c>
      <c r="F6195" s="1497"/>
      <c r="G6195" s="392" t="s">
        <v>27</v>
      </c>
      <c r="H6195" s="3"/>
    </row>
    <row r="6196" spans="1:8">
      <c r="A6196" s="393">
        <v>45516</v>
      </c>
      <c r="B6196" s="392"/>
      <c r="C6196" s="392" t="s">
        <v>94</v>
      </c>
      <c r="D6196" s="3" t="s">
        <v>245</v>
      </c>
      <c r="E6196" s="1497">
        <v>87687.01</v>
      </c>
      <c r="F6196" s="1497"/>
      <c r="G6196" s="392" t="s">
        <v>27</v>
      </c>
      <c r="H6196" s="3"/>
    </row>
    <row r="6197" spans="1:8">
      <c r="A6197" s="393">
        <v>45516</v>
      </c>
      <c r="B6197" s="392"/>
      <c r="C6197" s="392" t="s">
        <v>205</v>
      </c>
      <c r="D6197" s="3" t="s">
        <v>2764</v>
      </c>
      <c r="E6197" s="1497">
        <v>1500</v>
      </c>
      <c r="F6197" s="1497"/>
      <c r="G6197" s="392" t="s">
        <v>1866</v>
      </c>
      <c r="H6197" s="3"/>
    </row>
    <row r="6198" spans="1:8">
      <c r="A6198" s="393">
        <v>45516</v>
      </c>
      <c r="B6198" s="392"/>
      <c r="C6198" s="392" t="s">
        <v>92</v>
      </c>
      <c r="D6198" s="3" t="s">
        <v>3202</v>
      </c>
      <c r="E6198" s="1497"/>
      <c r="F6198" s="1497">
        <v>30000</v>
      </c>
      <c r="G6198" s="398" t="s">
        <v>1866</v>
      </c>
      <c r="H6198" s="3"/>
    </row>
    <row r="6199" spans="1:8">
      <c r="A6199" s="393">
        <v>45516</v>
      </c>
      <c r="B6199" s="392"/>
      <c r="C6199" s="392" t="s">
        <v>205</v>
      </c>
      <c r="D6199" s="3" t="s">
        <v>2764</v>
      </c>
      <c r="E6199" s="1497">
        <v>14347</v>
      </c>
      <c r="F6199" s="1497"/>
      <c r="G6199" s="392" t="s">
        <v>1866</v>
      </c>
      <c r="H6199" s="3"/>
    </row>
    <row r="6200" spans="1:8">
      <c r="A6200" s="393">
        <v>45516</v>
      </c>
      <c r="B6200" s="392"/>
      <c r="C6200" s="392" t="s">
        <v>86</v>
      </c>
      <c r="D6200" s="3" t="s">
        <v>107</v>
      </c>
      <c r="E6200" s="1497">
        <v>20000</v>
      </c>
      <c r="F6200" s="1497"/>
      <c r="G6200" s="392" t="s">
        <v>27</v>
      </c>
      <c r="H6200" s="3"/>
    </row>
    <row r="6201" spans="1:8">
      <c r="A6201" s="393">
        <v>45516</v>
      </c>
      <c r="B6201" s="392"/>
      <c r="C6201" s="392" t="s">
        <v>92</v>
      </c>
      <c r="D6201" s="3" t="s">
        <v>3203</v>
      </c>
      <c r="E6201" s="1497"/>
      <c r="F6201" s="1497">
        <v>1200000</v>
      </c>
      <c r="G6201" s="392" t="s">
        <v>1866</v>
      </c>
      <c r="H6201" s="3"/>
    </row>
    <row r="6202" spans="1:8">
      <c r="A6202" s="393">
        <v>45516</v>
      </c>
      <c r="B6202" s="392"/>
      <c r="C6202" s="392" t="s">
        <v>77</v>
      </c>
      <c r="D6202" s="3" t="s">
        <v>3204</v>
      </c>
      <c r="E6202" s="1497"/>
      <c r="F6202" s="1497">
        <v>269000</v>
      </c>
      <c r="G6202" s="392" t="s">
        <v>1866</v>
      </c>
      <c r="H6202" s="3"/>
    </row>
    <row r="6203" spans="1:8">
      <c r="A6203" s="395">
        <v>45517</v>
      </c>
      <c r="B6203" s="392"/>
      <c r="C6203" s="392" t="s">
        <v>92</v>
      </c>
      <c r="D6203" s="3" t="s">
        <v>3205</v>
      </c>
      <c r="E6203" s="1497"/>
      <c r="F6203" s="1497">
        <v>28500</v>
      </c>
      <c r="G6203" s="392" t="s">
        <v>27</v>
      </c>
      <c r="H6203" s="3"/>
    </row>
    <row r="6204" spans="1:8">
      <c r="A6204" s="395">
        <v>45517</v>
      </c>
      <c r="B6204" s="392"/>
      <c r="C6204" s="392" t="s">
        <v>1495</v>
      </c>
      <c r="D6204" s="3" t="s">
        <v>36</v>
      </c>
      <c r="E6204" s="1497">
        <v>78200</v>
      </c>
      <c r="F6204" s="1497"/>
      <c r="G6204" s="392" t="s">
        <v>1866</v>
      </c>
      <c r="H6204" s="3"/>
    </row>
    <row r="6205" spans="1:8">
      <c r="A6205" s="395">
        <v>45517</v>
      </c>
      <c r="B6205" s="394"/>
      <c r="C6205" s="394" t="s">
        <v>77</v>
      </c>
      <c r="D6205" s="3" t="s">
        <v>3206</v>
      </c>
      <c r="E6205" s="1497"/>
      <c r="F6205" s="1497">
        <v>750000</v>
      </c>
      <c r="G6205" s="394" t="s">
        <v>1866</v>
      </c>
      <c r="H6205" s="3"/>
    </row>
    <row r="6206" spans="1:8">
      <c r="A6206" s="397">
        <v>45517</v>
      </c>
      <c r="B6206" s="394"/>
      <c r="C6206" s="394" t="s">
        <v>831</v>
      </c>
      <c r="D6206" s="3" t="s">
        <v>2561</v>
      </c>
      <c r="E6206" s="1497">
        <v>17400</v>
      </c>
      <c r="F6206" s="1497"/>
      <c r="G6206" s="396" t="s">
        <v>1866</v>
      </c>
      <c r="H6206" s="45" t="s">
        <v>1616</v>
      </c>
    </row>
    <row r="6207" spans="1:8">
      <c r="A6207" s="397">
        <v>45517</v>
      </c>
      <c r="B6207" s="394"/>
      <c r="C6207" s="394" t="s">
        <v>86</v>
      </c>
      <c r="D6207" s="3" t="s">
        <v>104</v>
      </c>
      <c r="E6207" s="1497">
        <v>30000</v>
      </c>
      <c r="F6207" s="1497"/>
      <c r="G6207" s="396" t="s">
        <v>1866</v>
      </c>
      <c r="H6207" s="45" t="s">
        <v>1616</v>
      </c>
    </row>
    <row r="6208" spans="1:8">
      <c r="A6208" s="397">
        <v>45518</v>
      </c>
      <c r="B6208" s="394"/>
      <c r="C6208" s="394" t="s">
        <v>55</v>
      </c>
      <c r="D6208" s="3" t="s">
        <v>3102</v>
      </c>
      <c r="E6208" s="1497">
        <v>30000</v>
      </c>
      <c r="F6208" s="1497"/>
      <c r="G6208" s="394" t="s">
        <v>27</v>
      </c>
      <c r="H6208" s="3"/>
    </row>
    <row r="6209" spans="1:8">
      <c r="A6209" s="397">
        <v>45518</v>
      </c>
      <c r="B6209" s="394"/>
      <c r="C6209" s="398" t="s">
        <v>55</v>
      </c>
      <c r="D6209" s="3" t="s">
        <v>225</v>
      </c>
      <c r="E6209" s="1497">
        <v>2400</v>
      </c>
      <c r="F6209" s="1497"/>
      <c r="G6209" s="394" t="s">
        <v>1866</v>
      </c>
      <c r="H6209" s="3"/>
    </row>
    <row r="6210" spans="1:8">
      <c r="A6210" s="401">
        <v>45518</v>
      </c>
      <c r="B6210" s="400"/>
      <c r="C6210" s="400" t="s">
        <v>55</v>
      </c>
      <c r="D6210" s="3" t="s">
        <v>1546</v>
      </c>
      <c r="E6210" s="1497">
        <v>30000</v>
      </c>
      <c r="F6210" s="1497"/>
      <c r="G6210" s="400" t="s">
        <v>27</v>
      </c>
      <c r="H6210" s="3"/>
    </row>
    <row r="6211" spans="1:8">
      <c r="A6211" s="399">
        <v>45519</v>
      </c>
      <c r="B6211" s="394"/>
      <c r="C6211" s="394" t="s">
        <v>2190</v>
      </c>
      <c r="D6211" s="3" t="s">
        <v>3207</v>
      </c>
      <c r="E6211" s="1497"/>
      <c r="F6211" s="1497">
        <v>2805675</v>
      </c>
      <c r="G6211" s="394" t="s">
        <v>287</v>
      </c>
      <c r="H6211" s="3"/>
    </row>
    <row r="6212" spans="1:8">
      <c r="A6212" s="399">
        <v>45519</v>
      </c>
      <c r="B6212" s="394"/>
      <c r="C6212" s="398" t="s">
        <v>2190</v>
      </c>
      <c r="D6212" s="3" t="s">
        <v>3207</v>
      </c>
      <c r="E6212" s="1497"/>
      <c r="F6212" s="1497">
        <v>784320</v>
      </c>
      <c r="G6212" s="394" t="s">
        <v>3209</v>
      </c>
      <c r="H6212" s="45" t="s">
        <v>3208</v>
      </c>
    </row>
    <row r="6213" spans="1:8">
      <c r="A6213" s="399">
        <v>45519</v>
      </c>
      <c r="B6213" s="394"/>
      <c r="C6213" s="394" t="s">
        <v>730</v>
      </c>
      <c r="D6213" s="3" t="s">
        <v>3024</v>
      </c>
      <c r="E6213" s="1497">
        <v>6600</v>
      </c>
      <c r="F6213" s="1497"/>
      <c r="G6213" s="394" t="s">
        <v>27</v>
      </c>
      <c r="H6213" s="3"/>
    </row>
    <row r="6214" spans="1:8">
      <c r="A6214" s="401">
        <v>45520</v>
      </c>
      <c r="B6214" s="398"/>
      <c r="C6214" s="398" t="s">
        <v>156</v>
      </c>
      <c r="D6214" s="3" t="s">
        <v>156</v>
      </c>
      <c r="E6214" s="1497">
        <v>34959.379999999997</v>
      </c>
      <c r="F6214" s="1497"/>
      <c r="G6214" s="398" t="s">
        <v>27</v>
      </c>
      <c r="H6214" s="3"/>
    </row>
    <row r="6215" spans="1:8">
      <c r="A6215" s="401">
        <v>45520</v>
      </c>
      <c r="B6215" s="398"/>
      <c r="C6215" s="398" t="s">
        <v>205</v>
      </c>
      <c r="D6215" s="3" t="s">
        <v>789</v>
      </c>
      <c r="E6215" s="1497">
        <v>57075</v>
      </c>
      <c r="F6215" s="1497"/>
      <c r="G6215" s="398" t="s">
        <v>27</v>
      </c>
      <c r="H6215" s="3"/>
    </row>
    <row r="6216" spans="1:8">
      <c r="A6216" s="401">
        <v>45520</v>
      </c>
      <c r="B6216" s="400"/>
      <c r="C6216" s="400" t="s">
        <v>537</v>
      </c>
      <c r="D6216" s="3" t="s">
        <v>144</v>
      </c>
      <c r="E6216" s="1497">
        <v>130000</v>
      </c>
      <c r="F6216" s="1497"/>
      <c r="G6216" s="400" t="s">
        <v>27</v>
      </c>
      <c r="H6216" s="3"/>
    </row>
    <row r="6217" spans="1:8">
      <c r="A6217" s="401">
        <v>45520</v>
      </c>
      <c r="B6217" s="400"/>
      <c r="C6217" s="400" t="s">
        <v>537</v>
      </c>
      <c r="D6217" s="3" t="s">
        <v>144</v>
      </c>
      <c r="E6217" s="1497">
        <v>130000</v>
      </c>
      <c r="F6217" s="1497"/>
      <c r="G6217" s="400" t="s">
        <v>1866</v>
      </c>
      <c r="H6217" s="3"/>
    </row>
    <row r="6218" spans="1:8">
      <c r="A6218" s="401">
        <v>45520</v>
      </c>
      <c r="B6218" s="400"/>
      <c r="C6218" s="400" t="s">
        <v>537</v>
      </c>
      <c r="D6218" s="15" t="s">
        <v>219</v>
      </c>
      <c r="E6218" s="1497">
        <v>130000</v>
      </c>
      <c r="F6218" s="1497"/>
      <c r="G6218" s="400" t="s">
        <v>1866</v>
      </c>
      <c r="H6218" s="3"/>
    </row>
    <row r="6219" spans="1:8">
      <c r="A6219" s="401">
        <v>45520</v>
      </c>
      <c r="B6219" s="400"/>
      <c r="C6219" s="400" t="s">
        <v>537</v>
      </c>
      <c r="D6219" s="15" t="s">
        <v>208</v>
      </c>
      <c r="E6219" s="1497">
        <v>114000</v>
      </c>
      <c r="F6219" s="1497"/>
      <c r="G6219" s="400" t="s">
        <v>1866</v>
      </c>
      <c r="H6219" s="3"/>
    </row>
    <row r="6220" spans="1:8">
      <c r="A6220" s="401">
        <v>45520</v>
      </c>
      <c r="B6220" s="400"/>
      <c r="C6220" s="400" t="s">
        <v>537</v>
      </c>
      <c r="D6220" s="15" t="s">
        <v>193</v>
      </c>
      <c r="E6220" s="1497">
        <v>90000</v>
      </c>
      <c r="F6220" s="1497"/>
      <c r="G6220" s="400" t="s">
        <v>56</v>
      </c>
      <c r="H6220" s="3"/>
    </row>
    <row r="6221" spans="1:8" ht="15.75" thickBot="1">
      <c r="A6221" s="401">
        <v>45520</v>
      </c>
      <c r="B6221" s="400"/>
      <c r="C6221" s="400" t="s">
        <v>79</v>
      </c>
      <c r="D6221" s="3" t="s">
        <v>79</v>
      </c>
      <c r="E6221" s="1497">
        <v>25000</v>
      </c>
      <c r="F6221" s="1497"/>
      <c r="G6221" s="400" t="s">
        <v>27</v>
      </c>
      <c r="H6221" s="3"/>
    </row>
    <row r="6222" spans="1:8" ht="15.75" thickBot="1">
      <c r="H6222" s="201">
        <v>45513</v>
      </c>
    </row>
    <row r="6223" spans="1:8">
      <c r="H6223" s="199" t="s">
        <v>3124</v>
      </c>
    </row>
    <row r="6224" spans="1:8">
      <c r="H6224" s="137" t="s">
        <v>3210</v>
      </c>
    </row>
    <row r="6225" spans="1:8">
      <c r="H6225" s="138" t="s">
        <v>3193</v>
      </c>
    </row>
    <row r="6226" spans="1:8">
      <c r="H6226" s="138" t="s">
        <v>3211</v>
      </c>
    </row>
    <row r="6227" spans="1:8">
      <c r="H6227" s="138" t="s">
        <v>3176</v>
      </c>
    </row>
    <row r="6228" spans="1:8">
      <c r="H6228" s="138" t="s">
        <v>3138</v>
      </c>
    </row>
    <row r="6229" spans="1:8">
      <c r="H6229" s="138" t="s">
        <v>3212</v>
      </c>
    </row>
    <row r="6230" spans="1:8">
      <c r="H6230" s="138" t="s">
        <v>3213</v>
      </c>
    </row>
    <row r="6231" spans="1:8">
      <c r="H6231" s="138" t="s">
        <v>2151</v>
      </c>
    </row>
    <row r="6232" spans="1:8" ht="15.75" thickBot="1">
      <c r="H6232" s="139" t="s">
        <v>3214</v>
      </c>
    </row>
    <row r="6233" spans="1:8" ht="15.75" thickBot="1">
      <c r="H6233" s="359"/>
    </row>
    <row r="6234" spans="1:8">
      <c r="A6234" s="403">
        <v>45523</v>
      </c>
      <c r="B6234" s="402"/>
      <c r="C6234" s="402" t="s">
        <v>79</v>
      </c>
      <c r="D6234" s="3" t="s">
        <v>79</v>
      </c>
      <c r="E6234" s="1497">
        <v>9900</v>
      </c>
      <c r="F6234" s="1497"/>
      <c r="G6234" s="402" t="s">
        <v>27</v>
      </c>
      <c r="H6234" s="5"/>
    </row>
    <row r="6235" spans="1:8">
      <c r="A6235" s="403">
        <v>45523</v>
      </c>
      <c r="B6235" s="402"/>
      <c r="C6235" s="402" t="s">
        <v>1261</v>
      </c>
      <c r="D6235" s="3" t="s">
        <v>3215</v>
      </c>
      <c r="E6235" s="1497">
        <v>254700</v>
      </c>
      <c r="F6235" s="1497"/>
      <c r="G6235" s="402" t="s">
        <v>27</v>
      </c>
      <c r="H6235" s="3"/>
    </row>
    <row r="6236" spans="1:8">
      <c r="A6236" s="403">
        <v>45523</v>
      </c>
      <c r="B6236" s="402"/>
      <c r="C6236" s="402" t="s">
        <v>55</v>
      </c>
      <c r="D6236" s="3" t="s">
        <v>3216</v>
      </c>
      <c r="E6236" s="1497">
        <v>3500</v>
      </c>
      <c r="F6236" s="1497"/>
      <c r="G6236" s="402" t="s">
        <v>56</v>
      </c>
      <c r="H6236" s="3"/>
    </row>
    <row r="6237" spans="1:8">
      <c r="A6237" s="222">
        <v>45523</v>
      </c>
      <c r="B6237" s="184"/>
      <c r="C6237" s="184" t="s">
        <v>3218</v>
      </c>
      <c r="D6237" s="223" t="s">
        <v>3217</v>
      </c>
      <c r="E6237" s="184">
        <v>3855000</v>
      </c>
      <c r="F6237" s="184"/>
      <c r="G6237" s="184" t="s">
        <v>27</v>
      </c>
      <c r="H6237" s="223" t="s">
        <v>3223</v>
      </c>
    </row>
    <row r="6238" spans="1:8">
      <c r="A6238" s="403">
        <v>45523</v>
      </c>
      <c r="B6238" s="402"/>
      <c r="C6238" s="402" t="s">
        <v>79</v>
      </c>
      <c r="D6238" s="3" t="s">
        <v>2711</v>
      </c>
      <c r="E6238" s="1497">
        <v>500000</v>
      </c>
      <c r="F6238" s="1497"/>
      <c r="G6238" s="402" t="s">
        <v>56</v>
      </c>
      <c r="H6238" s="3"/>
    </row>
    <row r="6239" spans="1:8">
      <c r="A6239" s="405">
        <v>45523</v>
      </c>
      <c r="B6239" s="404"/>
      <c r="C6239" s="404" t="s">
        <v>3220</v>
      </c>
      <c r="D6239" s="3" t="s">
        <v>232</v>
      </c>
      <c r="E6239" s="1497">
        <v>50000</v>
      </c>
      <c r="F6239" s="1497"/>
      <c r="G6239" s="404" t="s">
        <v>27</v>
      </c>
      <c r="H6239" s="3"/>
    </row>
    <row r="6240" spans="1:8">
      <c r="A6240" s="405">
        <v>45524</v>
      </c>
      <c r="B6240" s="402"/>
      <c r="C6240" s="402" t="s">
        <v>94</v>
      </c>
      <c r="D6240" s="3" t="s">
        <v>17</v>
      </c>
      <c r="E6240" s="1497">
        <v>51986.83</v>
      </c>
      <c r="F6240" s="1497"/>
      <c r="G6240" s="402" t="s">
        <v>27</v>
      </c>
      <c r="H6240" s="3"/>
    </row>
    <row r="6241" spans="1:8">
      <c r="A6241" s="405">
        <v>45524</v>
      </c>
      <c r="B6241" s="404"/>
      <c r="C6241" s="404" t="s">
        <v>55</v>
      </c>
      <c r="D6241" s="3" t="s">
        <v>3102</v>
      </c>
      <c r="E6241" s="1497">
        <v>30000</v>
      </c>
      <c r="F6241" s="1497"/>
      <c r="G6241" s="404" t="s">
        <v>27</v>
      </c>
      <c r="H6241" s="3"/>
    </row>
    <row r="6242" spans="1:8">
      <c r="A6242" s="405">
        <v>45524</v>
      </c>
      <c r="B6242" s="404"/>
      <c r="C6242" s="404" t="s">
        <v>77</v>
      </c>
      <c r="D6242" s="15" t="s">
        <v>3219</v>
      </c>
      <c r="E6242" s="1497"/>
      <c r="F6242" s="1497">
        <v>215400</v>
      </c>
      <c r="G6242" s="404" t="s">
        <v>27</v>
      </c>
      <c r="H6242" s="3"/>
    </row>
    <row r="6243" spans="1:8">
      <c r="A6243" s="405">
        <v>45524</v>
      </c>
      <c r="B6243" s="404"/>
      <c r="C6243" s="404" t="s">
        <v>205</v>
      </c>
      <c r="D6243" s="3" t="s">
        <v>432</v>
      </c>
      <c r="E6243" s="1497">
        <v>130506</v>
      </c>
      <c r="F6243" s="1497"/>
      <c r="G6243" s="404" t="s">
        <v>27</v>
      </c>
      <c r="H6243" s="3"/>
    </row>
    <row r="6244" spans="1:8">
      <c r="A6244" s="222">
        <v>45524</v>
      </c>
      <c r="B6244" s="184"/>
      <c r="C6244" s="184" t="s">
        <v>3218</v>
      </c>
      <c r="D6244" s="223" t="s">
        <v>3217</v>
      </c>
      <c r="E6244" s="184">
        <v>2025600</v>
      </c>
      <c r="F6244" s="184"/>
      <c r="G6244" s="184" t="s">
        <v>27</v>
      </c>
      <c r="H6244" s="223" t="s">
        <v>3224</v>
      </c>
    </row>
    <row r="6245" spans="1:8">
      <c r="A6245" s="405">
        <v>45524</v>
      </c>
      <c r="B6245" s="404"/>
      <c r="C6245" s="404" t="s">
        <v>79</v>
      </c>
      <c r="D6245" s="3" t="s">
        <v>185</v>
      </c>
      <c r="E6245" s="1497"/>
      <c r="F6245" s="1497">
        <v>66000</v>
      </c>
      <c r="G6245" s="404" t="s">
        <v>56</v>
      </c>
      <c r="H6245" s="113" t="s">
        <v>3222</v>
      </c>
    </row>
    <row r="6246" spans="1:8">
      <c r="A6246" s="405">
        <v>45524</v>
      </c>
      <c r="B6246" s="404"/>
      <c r="C6246" s="404" t="s">
        <v>92</v>
      </c>
      <c r="D6246" s="3" t="s">
        <v>317</v>
      </c>
      <c r="E6246" s="1497"/>
      <c r="F6246" s="1497">
        <v>35000</v>
      </c>
      <c r="G6246" s="404" t="s">
        <v>56</v>
      </c>
      <c r="H6246" s="3"/>
    </row>
    <row r="6247" spans="1:8">
      <c r="A6247" s="405">
        <v>45524</v>
      </c>
      <c r="B6247" s="404"/>
      <c r="C6247" s="404" t="s">
        <v>55</v>
      </c>
      <c r="D6247" s="3" t="s">
        <v>2828</v>
      </c>
      <c r="E6247" s="1497">
        <v>1500</v>
      </c>
      <c r="F6247" s="1497"/>
      <c r="G6247" s="404" t="s">
        <v>56</v>
      </c>
      <c r="H6247" s="3"/>
    </row>
    <row r="6248" spans="1:8">
      <c r="A6248" s="405">
        <v>45524</v>
      </c>
      <c r="B6248" s="404"/>
      <c r="C6248" s="404" t="s">
        <v>86</v>
      </c>
      <c r="D6248" s="3" t="s">
        <v>3221</v>
      </c>
      <c r="E6248" s="1497">
        <v>25000</v>
      </c>
      <c r="F6248" s="1497"/>
      <c r="G6248" s="404" t="s">
        <v>27</v>
      </c>
      <c r="H6248" s="3"/>
    </row>
    <row r="6249" spans="1:8">
      <c r="A6249" s="409">
        <v>45524</v>
      </c>
      <c r="B6249" s="408"/>
      <c r="C6249" s="408"/>
      <c r="D6249" s="3" t="s">
        <v>2033</v>
      </c>
      <c r="E6249" s="1497"/>
      <c r="F6249" s="1497">
        <v>160000</v>
      </c>
      <c r="G6249" s="408" t="s">
        <v>56</v>
      </c>
      <c r="H6249" s="3"/>
    </row>
    <row r="6250" spans="1:8">
      <c r="A6250" s="407">
        <v>45525</v>
      </c>
      <c r="B6250" s="404"/>
      <c r="C6250" s="406" t="s">
        <v>55</v>
      </c>
      <c r="D6250" s="3" t="s">
        <v>1546</v>
      </c>
      <c r="E6250" s="1497">
        <v>9000</v>
      </c>
      <c r="F6250" s="1497"/>
      <c r="G6250" s="406" t="s">
        <v>27</v>
      </c>
      <c r="H6250" s="3"/>
    </row>
    <row r="6251" spans="1:8">
      <c r="A6251" s="407">
        <v>45525</v>
      </c>
      <c r="B6251" s="404"/>
      <c r="C6251" s="406" t="s">
        <v>55</v>
      </c>
      <c r="D6251" s="3" t="s">
        <v>1546</v>
      </c>
      <c r="E6251" s="1497">
        <v>9000</v>
      </c>
      <c r="F6251" s="1497"/>
      <c r="G6251" s="406" t="s">
        <v>27</v>
      </c>
      <c r="H6251" s="3"/>
    </row>
    <row r="6252" spans="1:8">
      <c r="A6252" s="407">
        <v>45525</v>
      </c>
      <c r="B6252" s="404"/>
      <c r="C6252" s="406" t="s">
        <v>55</v>
      </c>
      <c r="D6252" s="3" t="s">
        <v>3225</v>
      </c>
      <c r="E6252" s="1497">
        <v>1100</v>
      </c>
      <c r="F6252" s="1497"/>
      <c r="G6252" s="404" t="s">
        <v>56</v>
      </c>
      <c r="H6252" s="3"/>
    </row>
    <row r="6253" spans="1:8">
      <c r="A6253" s="407">
        <v>45525</v>
      </c>
      <c r="B6253" s="404"/>
      <c r="C6253" s="404" t="s">
        <v>3218</v>
      </c>
      <c r="D6253" s="3" t="s">
        <v>63</v>
      </c>
      <c r="E6253" s="1497">
        <v>39600</v>
      </c>
      <c r="F6253" s="1497"/>
      <c r="G6253" s="404" t="s">
        <v>27</v>
      </c>
      <c r="H6253" s="3"/>
    </row>
    <row r="6254" spans="1:8">
      <c r="A6254" s="407">
        <v>45525</v>
      </c>
      <c r="B6254" s="406"/>
      <c r="C6254" s="406" t="s">
        <v>94</v>
      </c>
      <c r="D6254" s="3" t="s">
        <v>13</v>
      </c>
      <c r="E6254" s="1497">
        <v>155501.1</v>
      </c>
      <c r="F6254" s="1497"/>
      <c r="G6254" s="406" t="s">
        <v>27</v>
      </c>
      <c r="H6254" s="3"/>
    </row>
    <row r="6255" spans="1:8">
      <c r="A6255" s="407">
        <v>45525</v>
      </c>
      <c r="B6255" s="406"/>
      <c r="C6255" s="406" t="s">
        <v>205</v>
      </c>
      <c r="D6255" s="15" t="s">
        <v>2372</v>
      </c>
      <c r="E6255" s="1497">
        <v>218750</v>
      </c>
      <c r="F6255" s="1497"/>
      <c r="G6255" s="406" t="s">
        <v>287</v>
      </c>
      <c r="H6255" s="3"/>
    </row>
    <row r="6256" spans="1:8">
      <c r="A6256" s="407">
        <v>45525</v>
      </c>
      <c r="B6256" s="406"/>
      <c r="C6256" s="406" t="s">
        <v>205</v>
      </c>
      <c r="D6256" s="15" t="s">
        <v>2372</v>
      </c>
      <c r="E6256" s="1497">
        <v>352250</v>
      </c>
      <c r="F6256" s="1497"/>
      <c r="G6256" s="406" t="s">
        <v>287</v>
      </c>
      <c r="H6256" s="3"/>
    </row>
    <row r="6257" spans="1:8">
      <c r="A6257" s="409">
        <v>45526</v>
      </c>
      <c r="B6257" s="406"/>
      <c r="C6257" s="408" t="s">
        <v>55</v>
      </c>
      <c r="D6257" s="3" t="s">
        <v>70</v>
      </c>
      <c r="E6257" s="1497">
        <v>13100</v>
      </c>
      <c r="F6257" s="1497"/>
      <c r="G6257" s="406" t="s">
        <v>56</v>
      </c>
      <c r="H6257" s="3"/>
    </row>
    <row r="6258" spans="1:8">
      <c r="A6258" s="409">
        <v>45526</v>
      </c>
      <c r="B6258" s="406"/>
      <c r="C6258" s="406" t="s">
        <v>86</v>
      </c>
      <c r="D6258" s="3" t="s">
        <v>104</v>
      </c>
      <c r="E6258" s="1497">
        <v>15000</v>
      </c>
      <c r="F6258" s="1497"/>
      <c r="G6258" s="406" t="s">
        <v>56</v>
      </c>
      <c r="H6258" s="3"/>
    </row>
    <row r="6259" spans="1:8">
      <c r="A6259" s="409">
        <v>45526</v>
      </c>
      <c r="B6259" s="406"/>
      <c r="C6259" s="406" t="s">
        <v>79</v>
      </c>
      <c r="D6259" s="3" t="s">
        <v>2466</v>
      </c>
      <c r="E6259" s="1497">
        <v>36077.49</v>
      </c>
      <c r="F6259" s="1497"/>
      <c r="G6259" s="406" t="s">
        <v>27</v>
      </c>
      <c r="H6259" s="3"/>
    </row>
    <row r="6260" spans="1:8">
      <c r="A6260" s="409">
        <v>45526</v>
      </c>
      <c r="B6260" s="406"/>
      <c r="C6260" s="406" t="s">
        <v>92</v>
      </c>
      <c r="D6260" s="3" t="s">
        <v>582</v>
      </c>
      <c r="E6260" s="1497"/>
      <c r="F6260" s="1497">
        <v>26420.3</v>
      </c>
      <c r="G6260" s="406" t="s">
        <v>27</v>
      </c>
      <c r="H6260" s="3"/>
    </row>
    <row r="6261" spans="1:8">
      <c r="A6261" s="409">
        <v>45526</v>
      </c>
      <c r="B6261" s="406"/>
      <c r="C6261" s="406" t="s">
        <v>68</v>
      </c>
      <c r="D6261" s="3" t="s">
        <v>1951</v>
      </c>
      <c r="E6261" s="1497">
        <v>7500</v>
      </c>
      <c r="F6261" s="1497"/>
      <c r="G6261" s="406" t="s">
        <v>56</v>
      </c>
      <c r="H6261" s="3"/>
    </row>
    <row r="6262" spans="1:8">
      <c r="A6262" s="409">
        <v>45526</v>
      </c>
      <c r="B6262" s="406"/>
      <c r="C6262" s="410" t="s">
        <v>55</v>
      </c>
      <c r="D6262" s="3" t="s">
        <v>38</v>
      </c>
      <c r="E6262" s="1497">
        <v>1300</v>
      </c>
      <c r="F6262" s="1497"/>
      <c r="G6262" s="408" t="s">
        <v>56</v>
      </c>
      <c r="H6262" s="3" t="s">
        <v>3226</v>
      </c>
    </row>
    <row r="6263" spans="1:8">
      <c r="A6263" s="409">
        <v>45526</v>
      </c>
      <c r="B6263" s="406"/>
      <c r="C6263" s="406" t="s">
        <v>86</v>
      </c>
      <c r="D6263" s="3" t="s">
        <v>104</v>
      </c>
      <c r="E6263" s="1497">
        <v>15000</v>
      </c>
      <c r="F6263" s="1497"/>
      <c r="G6263" s="406" t="s">
        <v>27</v>
      </c>
      <c r="H6263" s="3"/>
    </row>
    <row r="6264" spans="1:8">
      <c r="A6264" s="409">
        <v>45526</v>
      </c>
      <c r="B6264" s="406"/>
      <c r="C6264" s="406" t="s">
        <v>77</v>
      </c>
      <c r="D6264" s="3" t="s">
        <v>296</v>
      </c>
      <c r="E6264" s="1497"/>
      <c r="F6264" s="1497">
        <v>875000</v>
      </c>
      <c r="G6264" s="406" t="s">
        <v>287</v>
      </c>
      <c r="H6264" s="3"/>
    </row>
    <row r="6265" spans="1:8">
      <c r="A6265" s="409">
        <v>45526</v>
      </c>
      <c r="B6265" s="408"/>
      <c r="C6265" s="408" t="s">
        <v>205</v>
      </c>
      <c r="D6265" s="15" t="s">
        <v>238</v>
      </c>
      <c r="E6265" s="1497">
        <v>218750</v>
      </c>
      <c r="F6265" s="1497"/>
      <c r="G6265" s="408" t="s">
        <v>287</v>
      </c>
      <c r="H6265" s="3" t="s">
        <v>3227</v>
      </c>
    </row>
    <row r="6266" spans="1:8">
      <c r="A6266" s="409">
        <v>45526</v>
      </c>
      <c r="B6266" s="408"/>
      <c r="C6266" s="408" t="s">
        <v>205</v>
      </c>
      <c r="D6266" s="15" t="s">
        <v>238</v>
      </c>
      <c r="E6266" s="1497">
        <v>31500</v>
      </c>
      <c r="F6266" s="1497"/>
      <c r="G6266" s="408" t="s">
        <v>56</v>
      </c>
      <c r="H6266" s="3"/>
    </row>
    <row r="6267" spans="1:8">
      <c r="A6267" s="409">
        <v>45526</v>
      </c>
      <c r="B6267" s="408"/>
      <c r="C6267" s="408" t="s">
        <v>77</v>
      </c>
      <c r="D6267" s="3" t="s">
        <v>1889</v>
      </c>
      <c r="E6267" s="1497"/>
      <c r="F6267" s="1497">
        <v>376000</v>
      </c>
      <c r="G6267" s="408" t="s">
        <v>27</v>
      </c>
      <c r="H6267" s="3"/>
    </row>
    <row r="6268" spans="1:8">
      <c r="A6268" s="409">
        <v>45526</v>
      </c>
      <c r="B6268" s="408"/>
      <c r="C6268" s="408" t="s">
        <v>77</v>
      </c>
      <c r="D6268" s="3" t="s">
        <v>3228</v>
      </c>
      <c r="E6268" s="1497"/>
      <c r="F6268" s="1497">
        <v>80000</v>
      </c>
      <c r="G6268" s="408" t="s">
        <v>56</v>
      </c>
      <c r="H6268" s="3"/>
    </row>
    <row r="6269" spans="1:8">
      <c r="A6269" s="409">
        <v>45526</v>
      </c>
      <c r="B6269" s="408"/>
      <c r="C6269" s="408" t="s">
        <v>79</v>
      </c>
      <c r="D6269" s="3" t="s">
        <v>18</v>
      </c>
      <c r="E6269" s="1497">
        <v>336000</v>
      </c>
      <c r="F6269" s="1497"/>
      <c r="G6269" s="408" t="s">
        <v>27</v>
      </c>
      <c r="H6269" s="3"/>
    </row>
    <row r="6270" spans="1:8">
      <c r="A6270" s="409">
        <v>45526</v>
      </c>
      <c r="B6270" s="408"/>
      <c r="C6270" s="408" t="s">
        <v>537</v>
      </c>
      <c r="D6270" s="3" t="s">
        <v>208</v>
      </c>
      <c r="E6270" s="1497">
        <v>20000</v>
      </c>
      <c r="F6270" s="1497"/>
      <c r="G6270" s="408" t="s">
        <v>27</v>
      </c>
      <c r="H6270" s="3"/>
    </row>
    <row r="6271" spans="1:8">
      <c r="A6271" s="411">
        <v>45526</v>
      </c>
      <c r="B6271" s="410"/>
      <c r="C6271" s="410" t="s">
        <v>3220</v>
      </c>
      <c r="D6271" s="3" t="s">
        <v>232</v>
      </c>
      <c r="E6271" s="1497">
        <v>130000</v>
      </c>
      <c r="F6271" s="1497"/>
      <c r="G6271" s="410" t="s">
        <v>27</v>
      </c>
      <c r="H6271" s="3"/>
    </row>
    <row r="6272" spans="1:8">
      <c r="A6272" s="411">
        <v>45526</v>
      </c>
      <c r="B6272" s="410"/>
      <c r="C6272" s="410" t="s">
        <v>92</v>
      </c>
      <c r="D6272" s="3" t="s">
        <v>904</v>
      </c>
      <c r="E6272" s="1497"/>
      <c r="F6272" s="1497">
        <v>97000</v>
      </c>
      <c r="G6272" s="410" t="s">
        <v>56</v>
      </c>
      <c r="H6272" s="3"/>
    </row>
    <row r="6273" spans="1:8">
      <c r="A6273" s="417">
        <v>45526</v>
      </c>
      <c r="B6273" s="416"/>
      <c r="C6273" s="416" t="s">
        <v>92</v>
      </c>
      <c r="D6273" s="3" t="s">
        <v>3237</v>
      </c>
      <c r="E6273" s="1497"/>
      <c r="F6273" s="1497">
        <v>1297948.8400000001</v>
      </c>
      <c r="G6273" s="416" t="s">
        <v>27</v>
      </c>
      <c r="H6273" s="3"/>
    </row>
    <row r="6274" spans="1:8">
      <c r="A6274" s="411">
        <v>45527</v>
      </c>
      <c r="B6274" s="410"/>
      <c r="C6274" s="410" t="s">
        <v>79</v>
      </c>
      <c r="D6274" s="3" t="s">
        <v>79</v>
      </c>
      <c r="E6274" s="1497">
        <v>24300</v>
      </c>
      <c r="F6274" s="1497"/>
      <c r="G6274" s="410" t="s">
        <v>27</v>
      </c>
      <c r="H6274" s="3"/>
    </row>
    <row r="6275" spans="1:8">
      <c r="A6275" s="411">
        <v>45527</v>
      </c>
      <c r="B6275" s="410"/>
      <c r="C6275" s="410" t="s">
        <v>3229</v>
      </c>
      <c r="D6275" s="15" t="s">
        <v>181</v>
      </c>
      <c r="E6275" s="1497">
        <v>44830.36</v>
      </c>
      <c r="F6275" s="1513"/>
      <c r="G6275" s="410" t="s">
        <v>27</v>
      </c>
      <c r="H6275" s="3"/>
    </row>
    <row r="6276" spans="1:8">
      <c r="A6276" s="411">
        <v>45527</v>
      </c>
      <c r="B6276" s="410"/>
      <c r="C6276" s="410" t="s">
        <v>3229</v>
      </c>
      <c r="D6276" s="15" t="s">
        <v>379</v>
      </c>
      <c r="E6276" s="1497">
        <v>8964.99</v>
      </c>
      <c r="F6276" s="1497"/>
      <c r="G6276" s="410" t="s">
        <v>27</v>
      </c>
      <c r="H6276" s="3"/>
    </row>
    <row r="6277" spans="1:8">
      <c r="A6277" s="411">
        <v>45527</v>
      </c>
      <c r="B6277" s="410"/>
      <c r="C6277" s="410" t="s">
        <v>3229</v>
      </c>
      <c r="D6277" s="15" t="s">
        <v>379</v>
      </c>
      <c r="E6277" s="1497">
        <v>9861.5</v>
      </c>
      <c r="F6277" s="1497"/>
      <c r="G6277" s="410" t="s">
        <v>27</v>
      </c>
      <c r="H6277" s="3"/>
    </row>
    <row r="6278" spans="1:8">
      <c r="A6278" s="411">
        <v>45527</v>
      </c>
      <c r="B6278" s="410"/>
      <c r="C6278" s="410" t="s">
        <v>55</v>
      </c>
      <c r="D6278" s="15" t="s">
        <v>61</v>
      </c>
      <c r="E6278" s="1497">
        <v>2100</v>
      </c>
      <c r="F6278" s="1497"/>
      <c r="G6278" s="410" t="s">
        <v>56</v>
      </c>
      <c r="H6278" s="3"/>
    </row>
    <row r="6279" spans="1:8">
      <c r="A6279" s="411">
        <v>45527</v>
      </c>
      <c r="B6279" s="410"/>
      <c r="C6279" s="410" t="s">
        <v>55</v>
      </c>
      <c r="D6279" s="3" t="s">
        <v>3230</v>
      </c>
      <c r="E6279" s="1497">
        <v>12000</v>
      </c>
      <c r="F6279" s="1497"/>
      <c r="G6279" s="410" t="s">
        <v>56</v>
      </c>
      <c r="H6279" s="3"/>
    </row>
    <row r="6280" spans="1:8">
      <c r="A6280" s="411">
        <v>45527</v>
      </c>
      <c r="B6280" s="410"/>
      <c r="C6280" s="410" t="s">
        <v>77</v>
      </c>
      <c r="D6280" s="3" t="s">
        <v>3231</v>
      </c>
      <c r="E6280" s="1497"/>
      <c r="F6280" s="1497">
        <v>490200</v>
      </c>
      <c r="G6280" s="410" t="s">
        <v>56</v>
      </c>
      <c r="H6280" s="3"/>
    </row>
    <row r="6281" spans="1:8">
      <c r="A6281" s="411">
        <v>45527</v>
      </c>
      <c r="B6281" s="410"/>
      <c r="C6281" s="410" t="s">
        <v>205</v>
      </c>
      <c r="D6281" s="3" t="s">
        <v>207</v>
      </c>
      <c r="E6281" s="1497">
        <v>236899</v>
      </c>
      <c r="F6281" s="1497"/>
      <c r="G6281" s="410" t="s">
        <v>27</v>
      </c>
      <c r="H6281" s="3"/>
    </row>
    <row r="6282" spans="1:8">
      <c r="A6282" s="411">
        <v>45527</v>
      </c>
      <c r="B6282" s="410"/>
      <c r="C6282" s="410" t="s">
        <v>92</v>
      </c>
      <c r="D6282" s="15" t="s">
        <v>1389</v>
      </c>
      <c r="E6282" s="1497"/>
      <c r="F6282" s="1497">
        <v>45000</v>
      </c>
      <c r="G6282" s="410" t="s">
        <v>56</v>
      </c>
      <c r="H6282" s="3"/>
    </row>
    <row r="6283" spans="1:8">
      <c r="A6283" s="413">
        <v>45527</v>
      </c>
      <c r="B6283" s="410"/>
      <c r="C6283" s="410" t="s">
        <v>537</v>
      </c>
      <c r="D6283" s="3" t="s">
        <v>208</v>
      </c>
      <c r="E6283" s="1497">
        <v>94000</v>
      </c>
      <c r="F6283" s="1497"/>
      <c r="G6283" s="412" t="s">
        <v>56</v>
      </c>
      <c r="H6283" s="3"/>
    </row>
    <row r="6284" spans="1:8">
      <c r="A6284" s="413">
        <v>45527</v>
      </c>
      <c r="B6284" s="410"/>
      <c r="C6284" s="412" t="s">
        <v>537</v>
      </c>
      <c r="D6284" s="3" t="s">
        <v>219</v>
      </c>
      <c r="E6284" s="1497">
        <v>130000</v>
      </c>
      <c r="F6284" s="1497"/>
      <c r="G6284" s="412" t="s">
        <v>56</v>
      </c>
      <c r="H6284" s="3"/>
    </row>
    <row r="6285" spans="1:8">
      <c r="A6285" s="413">
        <v>45527</v>
      </c>
      <c r="B6285" s="410"/>
      <c r="C6285" s="412" t="s">
        <v>537</v>
      </c>
      <c r="D6285" s="3" t="s">
        <v>193</v>
      </c>
      <c r="E6285" s="1497">
        <v>90000</v>
      </c>
      <c r="F6285" s="1497"/>
      <c r="G6285" s="412" t="s">
        <v>56</v>
      </c>
      <c r="H6285" s="3"/>
    </row>
    <row r="6286" spans="1:8">
      <c r="A6286" s="413">
        <v>45527</v>
      </c>
      <c r="B6286" s="410"/>
      <c r="C6286" s="412" t="s">
        <v>537</v>
      </c>
      <c r="D6286" s="3" t="s">
        <v>144</v>
      </c>
      <c r="E6286" s="1497">
        <v>40000</v>
      </c>
      <c r="F6286" s="1497"/>
      <c r="G6286" s="410" t="s">
        <v>27</v>
      </c>
      <c r="H6286" s="3"/>
    </row>
    <row r="6287" spans="1:8" ht="15.75" thickBot="1">
      <c r="A6287" s="413">
        <v>45527</v>
      </c>
      <c r="B6287" s="410"/>
      <c r="C6287" s="412" t="s">
        <v>537</v>
      </c>
      <c r="D6287" s="3" t="s">
        <v>144</v>
      </c>
      <c r="E6287" s="1497">
        <v>220000</v>
      </c>
      <c r="F6287" s="1497"/>
      <c r="G6287" s="410" t="s">
        <v>56</v>
      </c>
      <c r="H6287" s="3"/>
    </row>
    <row r="6288" spans="1:8" ht="15.75" thickBot="1">
      <c r="H6288" s="201">
        <v>45527</v>
      </c>
    </row>
    <row r="6289" spans="1:8">
      <c r="H6289" s="199" t="s">
        <v>3124</v>
      </c>
    </row>
    <row r="6290" spans="1:8">
      <c r="H6290" s="137" t="s">
        <v>3232</v>
      </c>
    </row>
    <row r="6291" spans="1:8">
      <c r="H6291" s="138" t="s">
        <v>2508</v>
      </c>
    </row>
    <row r="6292" spans="1:8">
      <c r="H6292" s="138" t="s">
        <v>3234</v>
      </c>
    </row>
    <row r="6293" spans="1:8">
      <c r="H6293" s="138" t="s">
        <v>3176</v>
      </c>
    </row>
    <row r="6294" spans="1:8">
      <c r="H6294" s="138" t="s">
        <v>3138</v>
      </c>
    </row>
    <row r="6295" spans="1:8">
      <c r="H6295" s="138" t="s">
        <v>3233</v>
      </c>
    </row>
    <row r="6296" spans="1:8">
      <c r="H6296" s="138" t="s">
        <v>3213</v>
      </c>
    </row>
    <row r="6297" spans="1:8">
      <c r="H6297" s="138" t="s">
        <v>2151</v>
      </c>
    </row>
    <row r="6298" spans="1:8" ht="15.75" thickBot="1">
      <c r="H6298" s="139" t="s">
        <v>3235</v>
      </c>
    </row>
    <row r="6299" spans="1:8" ht="15.75" thickBot="1">
      <c r="H6299" s="359">
        <v>10222887.880000001</v>
      </c>
    </row>
    <row r="6300" spans="1:8">
      <c r="A6300" s="415">
        <v>45530</v>
      </c>
      <c r="B6300" s="414"/>
      <c r="C6300" s="414" t="s">
        <v>205</v>
      </c>
      <c r="D6300" s="3" t="s">
        <v>238</v>
      </c>
      <c r="E6300" s="1497">
        <v>5143</v>
      </c>
      <c r="F6300" s="1497"/>
      <c r="G6300" s="414" t="s">
        <v>27</v>
      </c>
      <c r="H6300" s="5"/>
    </row>
    <row r="6301" spans="1:8">
      <c r="A6301" s="415">
        <v>45530</v>
      </c>
      <c r="B6301" s="414"/>
      <c r="C6301" s="414" t="s">
        <v>55</v>
      </c>
      <c r="D6301" s="3" t="s">
        <v>3236</v>
      </c>
      <c r="E6301" s="1497">
        <v>8100</v>
      </c>
      <c r="F6301" s="1497"/>
      <c r="G6301" s="414" t="s">
        <v>56</v>
      </c>
      <c r="H6301" s="3"/>
    </row>
    <row r="6302" spans="1:8">
      <c r="A6302" s="417">
        <v>45530</v>
      </c>
      <c r="B6302" s="414"/>
      <c r="C6302" s="414" t="s">
        <v>77</v>
      </c>
      <c r="D6302" s="3" t="s">
        <v>3238</v>
      </c>
      <c r="E6302" s="1497"/>
      <c r="F6302" s="1497">
        <v>3000</v>
      </c>
      <c r="G6302" s="414" t="s">
        <v>56</v>
      </c>
      <c r="H6302" s="3"/>
    </row>
    <row r="6303" spans="1:8">
      <c r="A6303" s="417">
        <v>45531</v>
      </c>
      <c r="B6303" s="414"/>
      <c r="C6303" s="414" t="s">
        <v>205</v>
      </c>
      <c r="D6303" s="3" t="s">
        <v>38</v>
      </c>
      <c r="E6303" s="1497">
        <v>2000</v>
      </c>
      <c r="F6303" s="1497"/>
      <c r="G6303" s="414" t="s">
        <v>56</v>
      </c>
      <c r="H6303" s="3"/>
    </row>
    <row r="6304" spans="1:8">
      <c r="A6304" s="417">
        <v>45531</v>
      </c>
      <c r="B6304" s="416"/>
      <c r="C6304" s="416" t="s">
        <v>79</v>
      </c>
      <c r="D6304" s="3" t="s">
        <v>2355</v>
      </c>
      <c r="E6304" s="1497">
        <v>63680.24</v>
      </c>
      <c r="F6304" s="1497"/>
      <c r="G6304" s="416" t="s">
        <v>27</v>
      </c>
      <c r="H6304" s="3"/>
    </row>
    <row r="6305" spans="1:8">
      <c r="A6305" s="417">
        <v>45531</v>
      </c>
      <c r="B6305" s="416"/>
      <c r="C6305" s="416" t="s">
        <v>79</v>
      </c>
      <c r="D6305" s="3" t="s">
        <v>1218</v>
      </c>
      <c r="E6305" s="1497">
        <v>300000</v>
      </c>
      <c r="F6305" s="1497"/>
      <c r="G6305" s="416" t="s">
        <v>56</v>
      </c>
      <c r="H6305" s="3"/>
    </row>
    <row r="6306" spans="1:8">
      <c r="A6306" s="417">
        <v>45531</v>
      </c>
      <c r="B6306" s="416"/>
      <c r="C6306" s="416" t="s">
        <v>55</v>
      </c>
      <c r="D6306" s="3" t="s">
        <v>38</v>
      </c>
      <c r="E6306" s="1497">
        <v>2400</v>
      </c>
      <c r="F6306" s="1497"/>
      <c r="G6306" s="416" t="s">
        <v>56</v>
      </c>
      <c r="H6306" s="3"/>
    </row>
    <row r="6307" spans="1:8">
      <c r="A6307" s="419">
        <v>45531</v>
      </c>
      <c r="B6307" s="416"/>
      <c r="C6307" s="416" t="s">
        <v>79</v>
      </c>
      <c r="D6307" s="3" t="s">
        <v>345</v>
      </c>
      <c r="E6307" s="1497">
        <v>215000</v>
      </c>
      <c r="F6307" s="1497"/>
      <c r="G6307" s="418" t="s">
        <v>56</v>
      </c>
      <c r="H6307" s="3"/>
    </row>
    <row r="6308" spans="1:8">
      <c r="A6308" s="419">
        <v>45531</v>
      </c>
      <c r="B6308" s="418"/>
      <c r="C6308" s="418" t="s">
        <v>55</v>
      </c>
      <c r="D6308" s="15" t="s">
        <v>63</v>
      </c>
      <c r="E6308" s="1497">
        <v>7641</v>
      </c>
      <c r="F6308" s="1497"/>
      <c r="G6308" s="418" t="s">
        <v>56</v>
      </c>
      <c r="H6308" s="3"/>
    </row>
    <row r="6309" spans="1:8">
      <c r="A6309" s="419">
        <v>45531</v>
      </c>
      <c r="B6309" s="418"/>
      <c r="C6309" s="418" t="s">
        <v>205</v>
      </c>
      <c r="D6309" s="15" t="s">
        <v>238</v>
      </c>
      <c r="E6309" s="1497">
        <v>29940</v>
      </c>
      <c r="F6309" s="1497"/>
      <c r="G6309" s="418" t="s">
        <v>56</v>
      </c>
      <c r="H6309" s="113" t="s">
        <v>3243</v>
      </c>
    </row>
    <row r="6310" spans="1:8">
      <c r="A6310" s="419">
        <v>45531</v>
      </c>
      <c r="B6310" s="418"/>
      <c r="C6310" s="418" t="s">
        <v>86</v>
      </c>
      <c r="D6310" s="15" t="s">
        <v>104</v>
      </c>
      <c r="E6310" s="1497">
        <v>249999</v>
      </c>
      <c r="F6310" s="1497"/>
      <c r="G6310" s="418" t="s">
        <v>27</v>
      </c>
      <c r="H6310" s="3"/>
    </row>
    <row r="6311" spans="1:8">
      <c r="A6311" s="421">
        <v>45532</v>
      </c>
      <c r="B6311" s="421"/>
      <c r="C6311" s="421" t="s">
        <v>205</v>
      </c>
      <c r="D6311" s="174" t="s">
        <v>3242</v>
      </c>
      <c r="E6311" s="1497">
        <v>25300</v>
      </c>
      <c r="F6311" s="1502"/>
      <c r="G6311" s="421" t="s">
        <v>56</v>
      </c>
      <c r="H6311" s="113" t="s">
        <v>3243</v>
      </c>
    </row>
    <row r="6312" spans="1:8">
      <c r="A6312" s="421">
        <v>45532</v>
      </c>
      <c r="B6312" s="421"/>
      <c r="C6312" s="420" t="s">
        <v>55</v>
      </c>
      <c r="D6312" s="174" t="s">
        <v>1268</v>
      </c>
      <c r="E6312" s="1497">
        <v>15000</v>
      </c>
      <c r="F6312" s="1502"/>
      <c r="G6312" s="421" t="s">
        <v>27</v>
      </c>
      <c r="H6312" s="3"/>
    </row>
    <row r="6313" spans="1:8">
      <c r="A6313" s="419">
        <v>45532</v>
      </c>
      <c r="B6313" s="418"/>
      <c r="C6313" s="418" t="s">
        <v>205</v>
      </c>
      <c r="D6313" s="3" t="s">
        <v>3239</v>
      </c>
      <c r="E6313" s="1497">
        <v>139876</v>
      </c>
      <c r="F6313" s="1497"/>
      <c r="G6313" s="418" t="s">
        <v>27</v>
      </c>
      <c r="H6313" s="3"/>
    </row>
    <row r="6314" spans="1:8">
      <c r="A6314" s="419">
        <v>45532</v>
      </c>
      <c r="B6314" s="418"/>
      <c r="C6314" s="418" t="s">
        <v>205</v>
      </c>
      <c r="D6314" s="3" t="s">
        <v>190</v>
      </c>
      <c r="E6314" s="1497">
        <v>400000</v>
      </c>
      <c r="F6314" s="1497"/>
      <c r="G6314" s="418" t="s">
        <v>27</v>
      </c>
      <c r="H6314" s="195" t="s">
        <v>3240</v>
      </c>
    </row>
    <row r="6315" spans="1:8">
      <c r="A6315" s="421">
        <v>45532</v>
      </c>
      <c r="B6315" s="418"/>
      <c r="C6315" s="418" t="s">
        <v>92</v>
      </c>
      <c r="D6315" s="3" t="s">
        <v>3241</v>
      </c>
      <c r="E6315" s="1497"/>
      <c r="F6315" s="1497">
        <v>436000</v>
      </c>
      <c r="G6315" s="420" t="s">
        <v>27</v>
      </c>
      <c r="H6315" s="3"/>
    </row>
    <row r="6316" spans="1:8">
      <c r="A6316" s="421">
        <v>45532</v>
      </c>
      <c r="B6316" s="418"/>
      <c r="C6316" s="418" t="s">
        <v>92</v>
      </c>
      <c r="D6316" s="3" t="s">
        <v>582</v>
      </c>
      <c r="E6316" s="1497"/>
      <c r="F6316" s="1497">
        <v>291943.65999999997</v>
      </c>
      <c r="G6316" s="420" t="s">
        <v>27</v>
      </c>
      <c r="H6316" s="3"/>
    </row>
    <row r="6317" spans="1:8">
      <c r="A6317" s="421">
        <v>45532</v>
      </c>
      <c r="B6317" s="418"/>
      <c r="C6317" s="418" t="s">
        <v>537</v>
      </c>
      <c r="D6317" s="3" t="s">
        <v>208</v>
      </c>
      <c r="E6317" s="1497">
        <v>40000</v>
      </c>
      <c r="F6317" s="1497"/>
      <c r="G6317" s="418" t="s">
        <v>27</v>
      </c>
      <c r="H6317" s="3"/>
    </row>
    <row r="6318" spans="1:8">
      <c r="A6318" s="421">
        <v>45532</v>
      </c>
      <c r="B6318" s="418"/>
      <c r="C6318" s="418" t="s">
        <v>150</v>
      </c>
      <c r="D6318" s="3" t="s">
        <v>650</v>
      </c>
      <c r="E6318" s="1497">
        <v>17395</v>
      </c>
      <c r="F6318" s="1497"/>
      <c r="G6318" s="420" t="s">
        <v>27</v>
      </c>
      <c r="H6318" s="3"/>
    </row>
    <row r="6319" spans="1:8">
      <c r="A6319" s="421">
        <v>45532</v>
      </c>
      <c r="C6319" s="420" t="s">
        <v>150</v>
      </c>
      <c r="D6319" s="3" t="s">
        <v>650</v>
      </c>
      <c r="E6319" s="1497">
        <v>434.88</v>
      </c>
      <c r="F6319" s="1497"/>
      <c r="G6319" s="420" t="s">
        <v>27</v>
      </c>
      <c r="H6319" s="3"/>
    </row>
    <row r="6320" spans="1:8">
      <c r="A6320" s="119">
        <v>45532</v>
      </c>
      <c r="C6320" s="57" t="s">
        <v>150</v>
      </c>
      <c r="D6320" s="85" t="s">
        <v>650</v>
      </c>
      <c r="E6320" s="57">
        <v>3652.95</v>
      </c>
      <c r="F6320" s="57"/>
      <c r="G6320" s="57" t="s">
        <v>27</v>
      </c>
      <c r="H6320" s="85"/>
    </row>
    <row r="6321" spans="1:8">
      <c r="A6321" s="421">
        <v>45533</v>
      </c>
      <c r="B6321" s="420"/>
      <c r="C6321" s="420" t="s">
        <v>55</v>
      </c>
      <c r="D6321" s="3" t="s">
        <v>3245</v>
      </c>
      <c r="E6321" s="1497">
        <v>15000</v>
      </c>
      <c r="F6321" s="1497"/>
      <c r="G6321" s="420" t="s">
        <v>56</v>
      </c>
      <c r="H6321" s="3"/>
    </row>
    <row r="6322" spans="1:8">
      <c r="A6322" s="421">
        <v>45533</v>
      </c>
      <c r="B6322" s="420"/>
      <c r="C6322" s="420" t="s">
        <v>68</v>
      </c>
      <c r="D6322" s="3" t="s">
        <v>1951</v>
      </c>
      <c r="E6322" s="1497">
        <v>7500</v>
      </c>
      <c r="F6322" s="1497"/>
      <c r="G6322" s="420" t="s">
        <v>56</v>
      </c>
      <c r="H6322" s="3"/>
    </row>
    <row r="6323" spans="1:8">
      <c r="A6323" s="421">
        <v>45533</v>
      </c>
      <c r="B6323" s="420"/>
      <c r="C6323" s="420" t="s">
        <v>79</v>
      </c>
      <c r="D6323" s="3" t="s">
        <v>79</v>
      </c>
      <c r="E6323" s="1497">
        <v>26250</v>
      </c>
      <c r="F6323" s="1497"/>
      <c r="G6323" s="420" t="s">
        <v>27</v>
      </c>
      <c r="H6323" s="3"/>
    </row>
    <row r="6324" spans="1:8">
      <c r="A6324" s="421">
        <v>45533</v>
      </c>
      <c r="B6324" s="420"/>
      <c r="C6324" s="420" t="s">
        <v>205</v>
      </c>
      <c r="D6324" s="3" t="s">
        <v>859</v>
      </c>
      <c r="E6324" s="1497">
        <v>200000</v>
      </c>
      <c r="F6324" s="1497"/>
      <c r="G6324" s="420" t="s">
        <v>27</v>
      </c>
      <c r="H6324" s="3"/>
    </row>
    <row r="6325" spans="1:8">
      <c r="A6325" s="421">
        <v>45533</v>
      </c>
      <c r="B6325" s="420"/>
      <c r="C6325" s="420" t="s">
        <v>205</v>
      </c>
      <c r="D6325" s="3" t="s">
        <v>859</v>
      </c>
      <c r="E6325" s="1497">
        <v>150000</v>
      </c>
      <c r="F6325" s="1497"/>
      <c r="G6325" s="420" t="s">
        <v>287</v>
      </c>
      <c r="H6325" s="3"/>
    </row>
    <row r="6326" spans="1:8">
      <c r="A6326" s="421">
        <v>45533</v>
      </c>
      <c r="B6326" s="420"/>
      <c r="C6326" s="420" t="s">
        <v>205</v>
      </c>
      <c r="D6326" s="3" t="s">
        <v>859</v>
      </c>
      <c r="E6326" s="1497">
        <v>150000</v>
      </c>
      <c r="F6326" s="1497"/>
      <c r="G6326" s="420" t="s">
        <v>287</v>
      </c>
      <c r="H6326" s="3"/>
    </row>
    <row r="6327" spans="1:8">
      <c r="A6327" s="421">
        <v>45533</v>
      </c>
      <c r="B6327" s="420"/>
      <c r="C6327" s="420" t="s">
        <v>55</v>
      </c>
      <c r="D6327" s="3" t="s">
        <v>3046</v>
      </c>
      <c r="E6327" s="1497">
        <v>2000</v>
      </c>
      <c r="F6327" s="1497"/>
      <c r="G6327" s="420" t="s">
        <v>56</v>
      </c>
      <c r="H6327" s="3"/>
    </row>
    <row r="6328" spans="1:8">
      <c r="A6328" s="423">
        <v>45534</v>
      </c>
      <c r="B6328" s="420"/>
      <c r="C6328" s="420" t="s">
        <v>77</v>
      </c>
      <c r="D6328" s="3" t="s">
        <v>3247</v>
      </c>
      <c r="E6328" s="1497"/>
      <c r="F6328" s="1497">
        <v>138800</v>
      </c>
      <c r="G6328" s="420" t="s">
        <v>56</v>
      </c>
      <c r="H6328" s="3"/>
    </row>
    <row r="6329" spans="1:8">
      <c r="A6329" s="423">
        <v>45534</v>
      </c>
      <c r="B6329" s="422"/>
      <c r="C6329" s="422" t="s">
        <v>730</v>
      </c>
      <c r="D6329" s="3" t="s">
        <v>3246</v>
      </c>
      <c r="E6329" s="1497">
        <v>90000</v>
      </c>
      <c r="F6329" s="1497"/>
      <c r="G6329" s="422" t="s">
        <v>27</v>
      </c>
      <c r="H6329" s="3"/>
    </row>
    <row r="6330" spans="1:8">
      <c r="A6330" s="423">
        <v>45534</v>
      </c>
      <c r="B6330" s="422"/>
      <c r="C6330" s="422" t="s">
        <v>88</v>
      </c>
      <c r="D6330" s="3" t="s">
        <v>144</v>
      </c>
      <c r="E6330" s="1497">
        <v>130000</v>
      </c>
      <c r="F6330" s="1497"/>
      <c r="G6330" s="422" t="s">
        <v>27</v>
      </c>
      <c r="H6330" s="3"/>
    </row>
    <row r="6331" spans="1:8">
      <c r="A6331" s="423">
        <v>45534</v>
      </c>
      <c r="B6331" s="422"/>
      <c r="C6331" s="422" t="s">
        <v>88</v>
      </c>
      <c r="D6331" s="3" t="s">
        <v>144</v>
      </c>
      <c r="E6331" s="1497">
        <v>130000</v>
      </c>
      <c r="F6331" s="1497"/>
      <c r="G6331" s="422" t="s">
        <v>56</v>
      </c>
      <c r="H6331" s="3"/>
    </row>
    <row r="6332" spans="1:8">
      <c r="A6332" s="423">
        <v>45534</v>
      </c>
      <c r="B6332" s="422"/>
      <c r="C6332" s="422" t="s">
        <v>88</v>
      </c>
      <c r="D6332" s="3" t="s">
        <v>208</v>
      </c>
      <c r="E6332" s="1497">
        <v>74000</v>
      </c>
      <c r="F6332" s="1497"/>
      <c r="G6332" s="422" t="s">
        <v>56</v>
      </c>
      <c r="H6332" s="3"/>
    </row>
    <row r="6333" spans="1:8">
      <c r="A6333" s="423">
        <v>45534</v>
      </c>
      <c r="B6333" s="422"/>
      <c r="C6333" s="422" t="s">
        <v>88</v>
      </c>
      <c r="D6333" s="3" t="s">
        <v>219</v>
      </c>
      <c r="E6333" s="1497">
        <v>130000</v>
      </c>
      <c r="F6333" s="1497"/>
      <c r="G6333" s="422" t="s">
        <v>56</v>
      </c>
      <c r="H6333" s="3"/>
    </row>
    <row r="6334" spans="1:8">
      <c r="A6334" s="423">
        <v>45534</v>
      </c>
      <c r="B6334" s="422"/>
      <c r="C6334" s="422" t="s">
        <v>88</v>
      </c>
      <c r="D6334" s="15" t="s">
        <v>193</v>
      </c>
      <c r="E6334" s="1497">
        <v>90000</v>
      </c>
      <c r="F6334" s="1497"/>
      <c r="G6334" s="422" t="s">
        <v>56</v>
      </c>
      <c r="H6334" s="3"/>
    </row>
    <row r="6335" spans="1:8">
      <c r="A6335" s="423">
        <v>45534</v>
      </c>
      <c r="B6335" s="422"/>
      <c r="C6335" s="422" t="s">
        <v>86</v>
      </c>
      <c r="D6335" s="3" t="s">
        <v>104</v>
      </c>
      <c r="E6335" s="1497">
        <v>10000</v>
      </c>
      <c r="F6335" s="1497"/>
      <c r="G6335" s="422" t="s">
        <v>56</v>
      </c>
      <c r="H6335" s="3"/>
    </row>
    <row r="6336" spans="1:8">
      <c r="A6336" s="423">
        <v>45534</v>
      </c>
      <c r="B6336" s="422"/>
      <c r="C6336" s="422" t="s">
        <v>205</v>
      </c>
      <c r="D6336" s="3" t="s">
        <v>71</v>
      </c>
      <c r="E6336" s="1497">
        <v>437500</v>
      </c>
      <c r="F6336" s="1497"/>
      <c r="G6336" s="422" t="s">
        <v>996</v>
      </c>
      <c r="H6336" s="3"/>
    </row>
    <row r="6337" spans="1:8" ht="15.75" thickBot="1">
      <c r="A6337" s="428">
        <v>45534</v>
      </c>
      <c r="B6337" s="427"/>
      <c r="C6337" s="427" t="s">
        <v>205</v>
      </c>
      <c r="D6337" s="3" t="s">
        <v>71</v>
      </c>
      <c r="E6337" s="1497">
        <v>960500</v>
      </c>
      <c r="F6337" s="1497"/>
      <c r="G6337" s="427" t="s">
        <v>1742</v>
      </c>
      <c r="H6337" s="85"/>
    </row>
    <row r="6338" spans="1:8" ht="15.75" thickBot="1">
      <c r="A6338" s="244"/>
      <c r="B6338" s="244"/>
      <c r="C6338" s="244"/>
      <c r="D6338" s="115"/>
      <c r="E6338" s="1492"/>
      <c r="F6338" s="1492"/>
      <c r="G6338" s="244"/>
      <c r="H6338" s="201">
        <v>45537</v>
      </c>
    </row>
    <row r="6339" spans="1:8">
      <c r="A6339" s="244"/>
      <c r="B6339" s="244"/>
      <c r="C6339" s="244"/>
      <c r="D6339" s="115"/>
      <c r="E6339" s="1492"/>
      <c r="F6339" s="1492"/>
      <c r="G6339" s="244"/>
      <c r="H6339" s="199" t="s">
        <v>3124</v>
      </c>
    </row>
    <row r="6340" spans="1:8">
      <c r="A6340" s="244"/>
      <c r="B6340" s="244"/>
      <c r="C6340" s="244"/>
      <c r="D6340" s="115"/>
      <c r="E6340" s="1492"/>
      <c r="F6340" s="1492"/>
      <c r="G6340" s="244"/>
      <c r="H6340" s="137" t="s">
        <v>3248</v>
      </c>
    </row>
    <row r="6341" spans="1:8">
      <c r="A6341" s="244"/>
      <c r="B6341" s="244"/>
      <c r="C6341" s="244"/>
      <c r="D6341" s="115"/>
      <c r="E6341" s="1492"/>
      <c r="F6341" s="1492"/>
      <c r="G6341" s="244"/>
      <c r="H6341" s="138" t="s">
        <v>808</v>
      </c>
    </row>
    <row r="6342" spans="1:8">
      <c r="H6342" s="138" t="s">
        <v>3139</v>
      </c>
    </row>
    <row r="6343" spans="1:8">
      <c r="H6343" s="138" t="s">
        <v>3176</v>
      </c>
    </row>
    <row r="6344" spans="1:8">
      <c r="H6344" s="138" t="s">
        <v>3138</v>
      </c>
    </row>
    <row r="6345" spans="1:8">
      <c r="H6345" s="138" t="s">
        <v>3212</v>
      </c>
    </row>
    <row r="6346" spans="1:8">
      <c r="H6346" s="138" t="s">
        <v>3249</v>
      </c>
    </row>
    <row r="6347" spans="1:8">
      <c r="H6347" s="138" t="s">
        <v>2151</v>
      </c>
    </row>
    <row r="6348" spans="1:8" ht="15.75" thickBot="1">
      <c r="H6348" s="139" t="s">
        <v>3235</v>
      </c>
    </row>
    <row r="6349" spans="1:8" ht="15.75" thickBot="1">
      <c r="H6349" s="359"/>
    </row>
    <row r="6350" spans="1:8">
      <c r="A6350" s="426">
        <v>45537</v>
      </c>
      <c r="B6350" s="425"/>
      <c r="C6350" s="425" t="s">
        <v>327</v>
      </c>
      <c r="D6350" s="3" t="s">
        <v>1318</v>
      </c>
      <c r="E6350" s="1497"/>
      <c r="F6350" s="1497">
        <v>60153.82</v>
      </c>
      <c r="G6350" s="425" t="s">
        <v>27</v>
      </c>
      <c r="H6350" s="5"/>
    </row>
    <row r="6351" spans="1:8">
      <c r="A6351" s="426">
        <v>45537</v>
      </c>
      <c r="B6351" s="425"/>
      <c r="C6351" s="425" t="s">
        <v>79</v>
      </c>
      <c r="D6351" s="3" t="s">
        <v>79</v>
      </c>
      <c r="E6351" s="1497">
        <v>59972.1</v>
      </c>
      <c r="F6351" s="1497"/>
      <c r="G6351" s="425" t="s">
        <v>27</v>
      </c>
      <c r="H6351" s="3"/>
    </row>
    <row r="6352" spans="1:8">
      <c r="A6352" s="426">
        <v>45537</v>
      </c>
      <c r="B6352" s="425"/>
      <c r="C6352" s="425" t="s">
        <v>65</v>
      </c>
      <c r="D6352" s="3" t="s">
        <v>776</v>
      </c>
      <c r="E6352" s="1497">
        <v>6067.45</v>
      </c>
      <c r="F6352" s="1497"/>
      <c r="G6352" s="425" t="s">
        <v>27</v>
      </c>
      <c r="H6352" s="3"/>
    </row>
    <row r="6353" spans="1:8">
      <c r="A6353" s="426">
        <v>45537</v>
      </c>
      <c r="B6353" s="425"/>
      <c r="C6353" s="425" t="s">
        <v>65</v>
      </c>
      <c r="D6353" s="3" t="s">
        <v>776</v>
      </c>
      <c r="E6353" s="1497">
        <v>32765.59</v>
      </c>
      <c r="F6353" s="1497"/>
      <c r="G6353" s="425" t="s">
        <v>27</v>
      </c>
      <c r="H6353" s="3"/>
    </row>
    <row r="6354" spans="1:8">
      <c r="A6354" s="426">
        <v>45537</v>
      </c>
      <c r="B6354" s="425"/>
      <c r="C6354" s="425" t="s">
        <v>65</v>
      </c>
      <c r="D6354" s="3" t="s">
        <v>776</v>
      </c>
      <c r="E6354" s="1497">
        <v>10354</v>
      </c>
      <c r="F6354" s="1497"/>
      <c r="G6354" s="425" t="s">
        <v>27</v>
      </c>
      <c r="H6354" s="3"/>
    </row>
    <row r="6355" spans="1:8">
      <c r="A6355" s="426">
        <v>45537</v>
      </c>
      <c r="B6355" s="425"/>
      <c r="C6355" s="425" t="s">
        <v>205</v>
      </c>
      <c r="D6355" s="3" t="s">
        <v>854</v>
      </c>
      <c r="E6355" s="1497">
        <v>32585.14</v>
      </c>
      <c r="F6355" s="1497"/>
      <c r="G6355" s="425" t="s">
        <v>27</v>
      </c>
      <c r="H6355" s="3"/>
    </row>
    <row r="6356" spans="1:8">
      <c r="A6356" s="426">
        <v>45537</v>
      </c>
      <c r="B6356" s="425"/>
      <c r="C6356" s="425" t="s">
        <v>537</v>
      </c>
      <c r="D6356" s="3" t="s">
        <v>208</v>
      </c>
      <c r="E6356" s="1497">
        <v>40000</v>
      </c>
      <c r="F6356" s="1497"/>
      <c r="G6356" s="425" t="s">
        <v>27</v>
      </c>
      <c r="H6356" s="3"/>
    </row>
    <row r="6357" spans="1:8">
      <c r="A6357" s="428">
        <v>45385</v>
      </c>
      <c r="B6357" s="425"/>
      <c r="C6357" s="427" t="s">
        <v>55</v>
      </c>
      <c r="D6357" s="3" t="s">
        <v>61</v>
      </c>
      <c r="E6357" s="1497">
        <v>3750</v>
      </c>
      <c r="F6357" s="1497"/>
      <c r="G6357" s="425" t="s">
        <v>56</v>
      </c>
      <c r="H6357" s="3"/>
    </row>
    <row r="6358" spans="1:8">
      <c r="A6358" s="428">
        <v>45538</v>
      </c>
      <c r="B6358" s="425"/>
      <c r="C6358" s="427" t="s">
        <v>55</v>
      </c>
      <c r="D6358" s="3" t="s">
        <v>3250</v>
      </c>
      <c r="E6358" s="1497">
        <v>10400</v>
      </c>
      <c r="F6358" s="1497"/>
      <c r="G6358" s="427" t="s">
        <v>56</v>
      </c>
      <c r="H6358" s="3"/>
    </row>
    <row r="6359" spans="1:8">
      <c r="A6359" s="429">
        <v>45539</v>
      </c>
      <c r="B6359" s="425"/>
      <c r="C6359" s="425" t="s">
        <v>92</v>
      </c>
      <c r="D6359" s="3" t="s">
        <v>3251</v>
      </c>
      <c r="E6359" s="1497"/>
      <c r="F6359" s="1497">
        <v>225900</v>
      </c>
      <c r="G6359" s="425" t="s">
        <v>27</v>
      </c>
      <c r="H6359" s="3"/>
    </row>
    <row r="6360" spans="1:8">
      <c r="A6360" s="429">
        <v>45539</v>
      </c>
      <c r="B6360" s="425"/>
      <c r="C6360" s="425" t="s">
        <v>205</v>
      </c>
      <c r="D6360" s="3" t="s">
        <v>113</v>
      </c>
      <c r="E6360" s="1497">
        <v>82273</v>
      </c>
      <c r="F6360" s="1497"/>
      <c r="G6360" s="425" t="s">
        <v>27</v>
      </c>
      <c r="H6360" s="3"/>
    </row>
    <row r="6361" spans="1:8">
      <c r="A6361" s="429">
        <v>45539</v>
      </c>
      <c r="B6361" s="427"/>
      <c r="C6361" s="427" t="s">
        <v>86</v>
      </c>
      <c r="D6361" s="3" t="s">
        <v>104</v>
      </c>
      <c r="E6361" s="1497">
        <v>10000</v>
      </c>
      <c r="F6361" s="1497"/>
      <c r="G6361" s="427" t="s">
        <v>56</v>
      </c>
      <c r="H6361" s="3"/>
    </row>
    <row r="6362" spans="1:8">
      <c r="A6362" s="431">
        <v>45540</v>
      </c>
      <c r="B6362" s="427"/>
      <c r="C6362" s="427" t="s">
        <v>327</v>
      </c>
      <c r="D6362" s="3" t="s">
        <v>3252</v>
      </c>
      <c r="E6362" s="1497"/>
      <c r="F6362" s="1497">
        <v>899895.54</v>
      </c>
      <c r="G6362" s="427" t="s">
        <v>27</v>
      </c>
      <c r="H6362" s="3"/>
    </row>
    <row r="6363" spans="1:8">
      <c r="A6363" s="431">
        <v>45540</v>
      </c>
      <c r="B6363" s="427"/>
      <c r="C6363" s="427" t="s">
        <v>205</v>
      </c>
      <c r="D6363" s="3" t="s">
        <v>71</v>
      </c>
      <c r="E6363" s="1497">
        <v>240125</v>
      </c>
      <c r="F6363" s="1497"/>
      <c r="G6363" s="427" t="s">
        <v>287</v>
      </c>
      <c r="H6363" s="3"/>
    </row>
    <row r="6364" spans="1:8">
      <c r="A6364" s="431">
        <v>45540</v>
      </c>
      <c r="B6364" s="430"/>
      <c r="C6364" s="430" t="s">
        <v>55</v>
      </c>
      <c r="D6364" s="3" t="s">
        <v>514</v>
      </c>
      <c r="E6364" s="1497">
        <v>8000</v>
      </c>
      <c r="F6364" s="1497"/>
      <c r="G6364" s="430" t="s">
        <v>56</v>
      </c>
      <c r="H6364" s="3"/>
    </row>
    <row r="6365" spans="1:8">
      <c r="A6365" s="431">
        <v>45540</v>
      </c>
      <c r="B6365" s="430"/>
      <c r="C6365" s="430" t="s">
        <v>90</v>
      </c>
      <c r="D6365" s="3" t="s">
        <v>1951</v>
      </c>
      <c r="E6365" s="1497">
        <v>7500</v>
      </c>
      <c r="F6365" s="1497"/>
      <c r="G6365" s="430" t="s">
        <v>56</v>
      </c>
      <c r="H6365" s="3"/>
    </row>
    <row r="6366" spans="1:8">
      <c r="A6366" s="431">
        <v>45540</v>
      </c>
      <c r="B6366" s="430"/>
      <c r="C6366" s="430" t="s">
        <v>205</v>
      </c>
      <c r="D6366" s="15" t="s">
        <v>207</v>
      </c>
      <c r="E6366" s="1497">
        <v>155000</v>
      </c>
      <c r="F6366" s="1497"/>
      <c r="G6366" s="430" t="s">
        <v>27</v>
      </c>
      <c r="H6366" s="3"/>
    </row>
    <row r="6367" spans="1:8">
      <c r="A6367" s="431">
        <v>45540</v>
      </c>
      <c r="B6367" s="430"/>
      <c r="C6367" s="430" t="s">
        <v>65</v>
      </c>
      <c r="D6367" s="15" t="s">
        <v>1795</v>
      </c>
      <c r="E6367" s="1497">
        <v>103000</v>
      </c>
      <c r="F6367" s="1497"/>
      <c r="G6367" s="430" t="s">
        <v>27</v>
      </c>
      <c r="H6367" s="3"/>
    </row>
    <row r="6368" spans="1:8">
      <c r="A6368" s="433">
        <v>45540</v>
      </c>
      <c r="B6368" s="430"/>
      <c r="C6368" s="430" t="s">
        <v>86</v>
      </c>
      <c r="D6368" s="3" t="s">
        <v>107</v>
      </c>
      <c r="E6368" s="1497">
        <v>52011.99</v>
      </c>
      <c r="F6368" s="1497"/>
      <c r="G6368" s="430" t="s">
        <v>56</v>
      </c>
      <c r="H6368" s="3"/>
    </row>
    <row r="6369" spans="1:8">
      <c r="A6369" s="433">
        <v>45540</v>
      </c>
      <c r="B6369" s="432"/>
      <c r="C6369" s="432" t="s">
        <v>55</v>
      </c>
      <c r="D6369" s="3" t="s">
        <v>3253</v>
      </c>
      <c r="E6369" s="1497">
        <v>52011.99</v>
      </c>
      <c r="F6369" s="1497"/>
      <c r="G6369" s="432" t="s">
        <v>27</v>
      </c>
      <c r="H6369" s="3" t="s">
        <v>675</v>
      </c>
    </row>
    <row r="6370" spans="1:8">
      <c r="A6370" s="433">
        <v>45541</v>
      </c>
      <c r="B6370" s="430"/>
      <c r="C6370" s="430" t="s">
        <v>176</v>
      </c>
      <c r="D6370" s="3" t="s">
        <v>175</v>
      </c>
      <c r="E6370" s="1497">
        <v>95120</v>
      </c>
      <c r="F6370" s="1497"/>
      <c r="G6370" s="430" t="s">
        <v>27</v>
      </c>
      <c r="H6370" s="3"/>
    </row>
    <row r="6371" spans="1:8">
      <c r="A6371" s="433">
        <v>45541</v>
      </c>
      <c r="B6371" s="432"/>
      <c r="C6371" s="432" t="s">
        <v>205</v>
      </c>
      <c r="D6371" s="3" t="s">
        <v>246</v>
      </c>
      <c r="E6371" s="1497">
        <v>10716.94</v>
      </c>
      <c r="F6371" s="1497"/>
      <c r="G6371" s="434" t="s">
        <v>27</v>
      </c>
      <c r="H6371" s="3" t="s">
        <v>3256</v>
      </c>
    </row>
    <row r="6372" spans="1:8">
      <c r="A6372" s="435">
        <v>45541</v>
      </c>
      <c r="B6372" s="432"/>
      <c r="C6372" s="432" t="s">
        <v>77</v>
      </c>
      <c r="D6372" s="3" t="s">
        <v>3254</v>
      </c>
      <c r="E6372" s="1497"/>
      <c r="F6372" s="1497">
        <v>240000</v>
      </c>
      <c r="G6372" s="434" t="s">
        <v>27</v>
      </c>
      <c r="H6372" s="3"/>
    </row>
    <row r="6373" spans="1:8">
      <c r="A6373" s="435">
        <v>45541</v>
      </c>
      <c r="B6373" s="432"/>
      <c r="C6373" s="432" t="s">
        <v>92</v>
      </c>
      <c r="D6373" s="3" t="s">
        <v>3255</v>
      </c>
      <c r="E6373" s="1497"/>
      <c r="F6373" s="1497">
        <v>236000</v>
      </c>
      <c r="G6373" s="434" t="s">
        <v>27</v>
      </c>
      <c r="H6373" s="3"/>
    </row>
    <row r="6374" spans="1:8">
      <c r="A6374" s="435">
        <v>45541</v>
      </c>
      <c r="B6374" s="432"/>
      <c r="C6374" s="432" t="s">
        <v>205</v>
      </c>
      <c r="D6374" s="3" t="s">
        <v>63</v>
      </c>
      <c r="E6374" s="1497">
        <v>5191.2</v>
      </c>
      <c r="F6374" s="1497"/>
      <c r="G6374" s="432" t="s">
        <v>27</v>
      </c>
      <c r="H6374" s="3"/>
    </row>
    <row r="6375" spans="1:8">
      <c r="A6375" s="435">
        <v>45541</v>
      </c>
      <c r="B6375" s="434"/>
      <c r="C6375" s="434" t="s">
        <v>537</v>
      </c>
      <c r="D6375" s="3" t="s">
        <v>219</v>
      </c>
      <c r="E6375" s="1497">
        <v>177500</v>
      </c>
      <c r="F6375" s="1497"/>
      <c r="G6375" s="434" t="s">
        <v>56</v>
      </c>
      <c r="H6375" s="3"/>
    </row>
    <row r="6376" spans="1:8">
      <c r="A6376" s="435">
        <v>45541</v>
      </c>
      <c r="B6376" s="434"/>
      <c r="C6376" s="434" t="s">
        <v>537</v>
      </c>
      <c r="D6376" s="3" t="s">
        <v>144</v>
      </c>
      <c r="E6376" s="1497">
        <v>200000</v>
      </c>
      <c r="F6376" s="1497"/>
      <c r="G6376" s="434" t="s">
        <v>27</v>
      </c>
      <c r="H6376" s="3"/>
    </row>
    <row r="6377" spans="1:8">
      <c r="A6377" s="435">
        <v>45541</v>
      </c>
      <c r="B6377" s="434"/>
      <c r="C6377" s="434" t="s">
        <v>537</v>
      </c>
      <c r="D6377" s="3" t="s">
        <v>144</v>
      </c>
      <c r="E6377" s="1497">
        <v>150000</v>
      </c>
      <c r="F6377" s="1497"/>
      <c r="G6377" s="434" t="s">
        <v>56</v>
      </c>
      <c r="H6377" s="3"/>
    </row>
    <row r="6378" spans="1:8">
      <c r="A6378" s="435">
        <v>45541</v>
      </c>
      <c r="B6378" s="434"/>
      <c r="C6378" s="434" t="s">
        <v>537</v>
      </c>
      <c r="D6378" s="3" t="s">
        <v>208</v>
      </c>
      <c r="E6378" s="1497">
        <v>112500</v>
      </c>
      <c r="F6378" s="1497"/>
      <c r="G6378" s="434" t="s">
        <v>56</v>
      </c>
      <c r="H6378" s="3"/>
    </row>
    <row r="6379" spans="1:8">
      <c r="A6379" s="435">
        <v>45541</v>
      </c>
      <c r="B6379" s="434"/>
      <c r="C6379" s="434" t="s">
        <v>537</v>
      </c>
      <c r="D6379" s="3" t="s">
        <v>193</v>
      </c>
      <c r="E6379" s="1497">
        <v>100000</v>
      </c>
      <c r="F6379" s="1497"/>
      <c r="G6379" s="434" t="s">
        <v>56</v>
      </c>
      <c r="H6379" s="3"/>
    </row>
    <row r="6380" spans="1:8">
      <c r="A6380" s="435">
        <v>45541</v>
      </c>
      <c r="B6380" s="434"/>
      <c r="C6380" s="434" t="s">
        <v>55</v>
      </c>
      <c r="D6380" s="15" t="s">
        <v>70</v>
      </c>
      <c r="E6380" s="1497">
        <v>1250</v>
      </c>
      <c r="F6380" s="1497"/>
      <c r="G6380" s="434" t="s">
        <v>56</v>
      </c>
      <c r="H6380" s="3"/>
    </row>
    <row r="6381" spans="1:8" ht="15.75" thickBot="1">
      <c r="A6381" s="435">
        <v>45541</v>
      </c>
      <c r="B6381" s="434"/>
      <c r="C6381" s="434" t="s">
        <v>55</v>
      </c>
      <c r="D6381" s="15" t="s">
        <v>3260</v>
      </c>
      <c r="E6381" s="1497">
        <v>7000</v>
      </c>
      <c r="F6381" s="1497"/>
      <c r="G6381" s="434" t="s">
        <v>56</v>
      </c>
      <c r="H6381" s="85"/>
    </row>
    <row r="6382" spans="1:8" ht="15.75" thickBot="1">
      <c r="H6382" s="201">
        <v>45541</v>
      </c>
    </row>
    <row r="6383" spans="1:8">
      <c r="H6383" s="199" t="s">
        <v>3124</v>
      </c>
    </row>
    <row r="6384" spans="1:8">
      <c r="H6384" s="137" t="s">
        <v>3261</v>
      </c>
    </row>
    <row r="6385" spans="1:8">
      <c r="H6385" s="138" t="s">
        <v>3262</v>
      </c>
    </row>
    <row r="6386" spans="1:8">
      <c r="H6386" s="138" t="s">
        <v>3259</v>
      </c>
    </row>
    <row r="6387" spans="1:8">
      <c r="H6387" s="138" t="s">
        <v>3176</v>
      </c>
    </row>
    <row r="6388" spans="1:8">
      <c r="H6388" s="138" t="s">
        <v>3138</v>
      </c>
    </row>
    <row r="6389" spans="1:8">
      <c r="H6389" s="138" t="s">
        <v>3258</v>
      </c>
    </row>
    <row r="6390" spans="1:8">
      <c r="H6390" s="138" t="s">
        <v>3257</v>
      </c>
    </row>
    <row r="6391" spans="1:8">
      <c r="H6391" s="138" t="s">
        <v>2151</v>
      </c>
    </row>
    <row r="6392" spans="1:8" ht="15.75" thickBot="1">
      <c r="H6392" s="139" t="s">
        <v>3235</v>
      </c>
    </row>
    <row r="6393" spans="1:8" ht="15.75" thickBot="1">
      <c r="A6393" s="437">
        <v>45544</v>
      </c>
      <c r="B6393" s="436"/>
      <c r="C6393" s="436" t="s">
        <v>79</v>
      </c>
      <c r="D6393" s="3" t="s">
        <v>79</v>
      </c>
      <c r="E6393" s="1497">
        <v>7600</v>
      </c>
      <c r="F6393" s="1497"/>
      <c r="G6393" s="438" t="s">
        <v>27</v>
      </c>
      <c r="H6393" s="359"/>
    </row>
    <row r="6394" spans="1:8">
      <c r="A6394" s="437">
        <v>45544</v>
      </c>
      <c r="B6394" s="436"/>
      <c r="C6394" s="436" t="s">
        <v>79</v>
      </c>
      <c r="D6394" s="3" t="s">
        <v>79</v>
      </c>
      <c r="E6394" s="1497">
        <v>70750</v>
      </c>
      <c r="F6394" s="1497"/>
      <c r="G6394" s="436" t="s">
        <v>27</v>
      </c>
      <c r="H6394" s="5"/>
    </row>
    <row r="6395" spans="1:8">
      <c r="A6395" s="437">
        <v>45544</v>
      </c>
      <c r="B6395" s="436"/>
      <c r="C6395" s="436" t="s">
        <v>79</v>
      </c>
      <c r="D6395" s="3" t="s">
        <v>79</v>
      </c>
      <c r="E6395" s="1497">
        <v>37250</v>
      </c>
      <c r="F6395" s="1497"/>
      <c r="G6395" s="436" t="s">
        <v>27</v>
      </c>
      <c r="H6395" s="3"/>
    </row>
    <row r="6396" spans="1:8">
      <c r="A6396" s="437">
        <v>45544</v>
      </c>
      <c r="B6396" s="436"/>
      <c r="C6396" s="436" t="s">
        <v>29</v>
      </c>
      <c r="D6396" s="3" t="s">
        <v>42</v>
      </c>
      <c r="E6396" s="1497">
        <v>352250</v>
      </c>
      <c r="F6396" s="1497"/>
      <c r="G6396" s="436" t="s">
        <v>287</v>
      </c>
      <c r="H6396" s="3"/>
    </row>
    <row r="6397" spans="1:8">
      <c r="A6397" s="437">
        <v>45544</v>
      </c>
      <c r="B6397" s="436"/>
      <c r="C6397" s="436" t="s">
        <v>55</v>
      </c>
      <c r="D6397" s="3" t="s">
        <v>369</v>
      </c>
      <c r="E6397" s="1497">
        <v>1000</v>
      </c>
      <c r="F6397" s="1497"/>
      <c r="G6397" s="436" t="s">
        <v>56</v>
      </c>
      <c r="H6397" s="3"/>
    </row>
    <row r="6398" spans="1:8">
      <c r="A6398" s="437">
        <v>45544</v>
      </c>
      <c r="B6398" s="436"/>
      <c r="C6398" s="436" t="s">
        <v>29</v>
      </c>
      <c r="D6398" s="3" t="s">
        <v>1061</v>
      </c>
      <c r="E6398" s="1497">
        <v>2595.6</v>
      </c>
      <c r="F6398" s="1497"/>
      <c r="G6398" s="436" t="s">
        <v>27</v>
      </c>
      <c r="H6398" s="3"/>
    </row>
    <row r="6399" spans="1:8">
      <c r="A6399" s="437">
        <v>45544</v>
      </c>
      <c r="B6399" s="436"/>
      <c r="C6399" s="436" t="s">
        <v>29</v>
      </c>
      <c r="D6399" s="3" t="s">
        <v>38</v>
      </c>
      <c r="E6399" s="1497">
        <v>1500</v>
      </c>
      <c r="F6399" s="1497"/>
      <c r="G6399" s="436" t="s">
        <v>56</v>
      </c>
      <c r="H6399" s="3"/>
    </row>
    <row r="6400" spans="1:8">
      <c r="A6400" s="437">
        <v>45544</v>
      </c>
      <c r="B6400" s="436"/>
      <c r="C6400" s="436" t="s">
        <v>29</v>
      </c>
      <c r="D6400" s="3" t="s">
        <v>63</v>
      </c>
      <c r="E6400" s="1497">
        <v>5205.4399999999996</v>
      </c>
      <c r="F6400" s="1497"/>
      <c r="G6400" s="436" t="s">
        <v>27</v>
      </c>
      <c r="H6400" s="3"/>
    </row>
    <row r="6401" spans="1:8">
      <c r="A6401" s="437">
        <v>45544</v>
      </c>
      <c r="B6401" s="436"/>
      <c r="C6401" s="436" t="s">
        <v>86</v>
      </c>
      <c r="D6401" s="3" t="s">
        <v>104</v>
      </c>
      <c r="E6401" s="1497">
        <v>40000</v>
      </c>
      <c r="F6401" s="1497"/>
      <c r="G6401" s="436" t="s">
        <v>56</v>
      </c>
      <c r="H6401" s="45" t="s">
        <v>3263</v>
      </c>
    </row>
    <row r="6402" spans="1:8">
      <c r="A6402" s="437">
        <v>45544</v>
      </c>
      <c r="B6402" s="436"/>
      <c r="C6402" s="436" t="s">
        <v>77</v>
      </c>
      <c r="D6402" s="3" t="s">
        <v>3264</v>
      </c>
      <c r="E6402" s="1497"/>
      <c r="F6402" s="1497">
        <v>450000</v>
      </c>
      <c r="G6402" s="436" t="s">
        <v>72</v>
      </c>
      <c r="H6402" s="135" t="s">
        <v>3265</v>
      </c>
    </row>
    <row r="6403" spans="1:8">
      <c r="A6403" s="437">
        <v>45544</v>
      </c>
      <c r="B6403" s="436"/>
      <c r="C6403" s="436" t="s">
        <v>537</v>
      </c>
      <c r="D6403" s="3" t="s">
        <v>208</v>
      </c>
      <c r="E6403" s="1497">
        <v>152500</v>
      </c>
      <c r="F6403" s="1497"/>
      <c r="G6403" s="436" t="s">
        <v>27</v>
      </c>
      <c r="H6403" s="3"/>
    </row>
    <row r="6404" spans="1:8">
      <c r="A6404" s="112">
        <v>45545</v>
      </c>
      <c r="B6404" s="70"/>
      <c r="C6404" s="70"/>
      <c r="D6404" s="113" t="s">
        <v>3266</v>
      </c>
      <c r="E6404" s="70">
        <v>20000</v>
      </c>
      <c r="F6404" s="70"/>
      <c r="G6404" s="70" t="s">
        <v>56</v>
      </c>
      <c r="H6404" s="3"/>
    </row>
    <row r="6405" spans="1:8">
      <c r="A6405" s="440">
        <v>45545</v>
      </c>
      <c r="B6405" s="439"/>
      <c r="C6405" s="439" t="s">
        <v>174</v>
      </c>
      <c r="D6405" s="3" t="s">
        <v>2630</v>
      </c>
      <c r="E6405" s="1497">
        <v>24935</v>
      </c>
      <c r="F6405" s="1497"/>
      <c r="G6405" s="439" t="s">
        <v>27</v>
      </c>
      <c r="H6405" s="3"/>
    </row>
    <row r="6406" spans="1:8">
      <c r="A6406" s="440">
        <v>45545</v>
      </c>
      <c r="B6406" s="439"/>
      <c r="C6406" s="439" t="s">
        <v>327</v>
      </c>
      <c r="D6406" s="3" t="s">
        <v>245</v>
      </c>
      <c r="E6406" s="1497">
        <v>107300.99</v>
      </c>
      <c r="F6406" s="1497"/>
      <c r="G6406" s="439" t="s">
        <v>27</v>
      </c>
      <c r="H6406" s="3"/>
    </row>
    <row r="6407" spans="1:8">
      <c r="A6407" s="440">
        <v>45545</v>
      </c>
      <c r="B6407" s="439"/>
      <c r="C6407" s="439" t="s">
        <v>327</v>
      </c>
      <c r="D6407" s="3" t="s">
        <v>17</v>
      </c>
      <c r="E6407" s="1497">
        <v>58085.36</v>
      </c>
      <c r="F6407" s="1497"/>
      <c r="G6407" s="439" t="s">
        <v>27</v>
      </c>
      <c r="H6407" s="3"/>
    </row>
    <row r="6408" spans="1:8">
      <c r="A6408" s="440">
        <v>45545</v>
      </c>
      <c r="B6408" s="439"/>
      <c r="C6408" s="439" t="s">
        <v>79</v>
      </c>
      <c r="D6408" s="15" t="s">
        <v>3267</v>
      </c>
      <c r="E6408" s="1497">
        <v>59029.1</v>
      </c>
      <c r="F6408" s="1497"/>
      <c r="G6408" s="439" t="s">
        <v>27</v>
      </c>
      <c r="H6408" s="3"/>
    </row>
    <row r="6409" spans="1:8">
      <c r="A6409" s="440">
        <v>45545</v>
      </c>
      <c r="B6409" s="439"/>
      <c r="C6409" s="439" t="s">
        <v>65</v>
      </c>
      <c r="D6409" s="3" t="s">
        <v>3268</v>
      </c>
      <c r="E6409" s="1497">
        <v>20500</v>
      </c>
      <c r="F6409" s="1497"/>
      <c r="G6409" s="439" t="s">
        <v>27</v>
      </c>
      <c r="H6409" s="3"/>
    </row>
    <row r="6410" spans="1:8">
      <c r="A6410" s="440">
        <v>45545</v>
      </c>
      <c r="B6410" s="439"/>
      <c r="C6410" s="439" t="s">
        <v>205</v>
      </c>
      <c r="D6410" s="3" t="s">
        <v>190</v>
      </c>
      <c r="E6410" s="1497">
        <v>450000</v>
      </c>
      <c r="F6410" s="1497"/>
      <c r="G6410" s="439" t="s">
        <v>72</v>
      </c>
      <c r="H6410" s="443" t="s">
        <v>3265</v>
      </c>
    </row>
    <row r="6411" spans="1:8">
      <c r="A6411" s="440">
        <v>45545</v>
      </c>
      <c r="B6411" s="439"/>
      <c r="C6411" s="439" t="s">
        <v>29</v>
      </c>
      <c r="D6411" s="3" t="s">
        <v>63</v>
      </c>
      <c r="E6411" s="1497">
        <v>2600</v>
      </c>
      <c r="F6411" s="1497"/>
      <c r="G6411" s="439" t="s">
        <v>56</v>
      </c>
      <c r="H6411" s="3"/>
    </row>
    <row r="6412" spans="1:8">
      <c r="A6412" s="442">
        <v>45546</v>
      </c>
      <c r="B6412" s="439"/>
      <c r="C6412" s="439" t="s">
        <v>327</v>
      </c>
      <c r="D6412" s="3" t="s">
        <v>1643</v>
      </c>
      <c r="E6412" s="1497">
        <v>41047.370000000003</v>
      </c>
      <c r="F6412" s="1497"/>
      <c r="G6412" s="439" t="s">
        <v>56</v>
      </c>
      <c r="H6412" s="3"/>
    </row>
    <row r="6413" spans="1:8">
      <c r="A6413" s="445">
        <v>45547</v>
      </c>
      <c r="B6413" s="441"/>
      <c r="C6413" s="441" t="s">
        <v>730</v>
      </c>
      <c r="D6413" s="3" t="s">
        <v>3269</v>
      </c>
      <c r="E6413" s="1497">
        <v>30000</v>
      </c>
      <c r="F6413" s="1497"/>
      <c r="G6413" s="441" t="s">
        <v>27</v>
      </c>
      <c r="H6413" s="3"/>
    </row>
    <row r="6414" spans="1:8">
      <c r="A6414" s="445">
        <v>45547</v>
      </c>
      <c r="B6414" s="441"/>
      <c r="C6414" s="441" t="s">
        <v>55</v>
      </c>
      <c r="D6414" s="3" t="s">
        <v>633</v>
      </c>
      <c r="E6414" s="1497">
        <v>3000</v>
      </c>
      <c r="F6414" s="1497"/>
      <c r="G6414" s="441" t="s">
        <v>56</v>
      </c>
      <c r="H6414" s="3"/>
    </row>
    <row r="6415" spans="1:8">
      <c r="A6415" s="445">
        <v>45547</v>
      </c>
      <c r="B6415" s="441"/>
      <c r="C6415" s="444" t="s">
        <v>55</v>
      </c>
      <c r="D6415" s="3" t="s">
        <v>3270</v>
      </c>
      <c r="E6415" s="1497">
        <v>2000</v>
      </c>
      <c r="F6415" s="1497"/>
      <c r="G6415" s="444" t="s">
        <v>56</v>
      </c>
      <c r="H6415" s="3"/>
    </row>
    <row r="6416" spans="1:8">
      <c r="A6416" s="445">
        <v>45547</v>
      </c>
      <c r="B6416" s="441"/>
      <c r="C6416" s="441" t="s">
        <v>92</v>
      </c>
      <c r="D6416" s="3" t="s">
        <v>3271</v>
      </c>
      <c r="E6416" s="1497"/>
      <c r="F6416" s="1497">
        <v>28000</v>
      </c>
      <c r="G6416" s="441" t="s">
        <v>56</v>
      </c>
      <c r="H6416" s="3"/>
    </row>
    <row r="6417" spans="1:8">
      <c r="A6417" s="445">
        <v>45547</v>
      </c>
      <c r="B6417" s="441"/>
      <c r="C6417" s="441" t="s">
        <v>68</v>
      </c>
      <c r="D6417" s="3" t="s">
        <v>1951</v>
      </c>
      <c r="E6417" s="1497">
        <v>8750</v>
      </c>
      <c r="F6417" s="1497"/>
      <c r="G6417" s="441" t="s">
        <v>56</v>
      </c>
      <c r="H6417" s="3"/>
    </row>
    <row r="6418" spans="1:8">
      <c r="A6418" s="447">
        <v>45547</v>
      </c>
      <c r="B6418" s="444"/>
      <c r="C6418" s="444" t="s">
        <v>205</v>
      </c>
      <c r="D6418" s="3" t="s">
        <v>63</v>
      </c>
      <c r="E6418" s="1497">
        <v>2519.9899999999998</v>
      </c>
      <c r="F6418" s="1497"/>
      <c r="G6418" s="444" t="s">
        <v>56</v>
      </c>
      <c r="H6418" s="3"/>
    </row>
    <row r="6419" spans="1:8">
      <c r="A6419" s="447">
        <v>45547</v>
      </c>
      <c r="B6419" s="444"/>
      <c r="C6419" s="444" t="s">
        <v>86</v>
      </c>
      <c r="D6419" s="3" t="s">
        <v>104</v>
      </c>
      <c r="E6419" s="1497">
        <v>24999.96</v>
      </c>
      <c r="F6419" s="1497"/>
      <c r="G6419" s="444" t="s">
        <v>56</v>
      </c>
      <c r="H6419" s="3"/>
    </row>
    <row r="6420" spans="1:8">
      <c r="A6420" s="447">
        <v>45547</v>
      </c>
      <c r="B6420" s="446"/>
      <c r="C6420" s="446" t="s">
        <v>205</v>
      </c>
      <c r="D6420" s="3" t="s">
        <v>38</v>
      </c>
      <c r="E6420" s="1497">
        <v>1500</v>
      </c>
      <c r="F6420" s="1497"/>
      <c r="G6420" s="446" t="s">
        <v>56</v>
      </c>
      <c r="H6420" s="3"/>
    </row>
    <row r="6421" spans="1:8">
      <c r="A6421" s="449">
        <v>45547</v>
      </c>
      <c r="B6421" s="446"/>
      <c r="C6421" s="446"/>
      <c r="D6421" s="3" t="s">
        <v>3272</v>
      </c>
      <c r="E6421" s="1497">
        <v>1024000</v>
      </c>
      <c r="F6421" s="1497"/>
      <c r="G6421" s="446" t="s">
        <v>56</v>
      </c>
      <c r="H6421" s="3"/>
    </row>
    <row r="6422" spans="1:8">
      <c r="A6422" s="449">
        <v>45547</v>
      </c>
      <c r="B6422" s="446"/>
      <c r="C6422" s="446"/>
      <c r="D6422" s="3" t="s">
        <v>3272</v>
      </c>
      <c r="E6422" s="1497"/>
      <c r="F6422" s="1497">
        <v>800</v>
      </c>
      <c r="G6422" s="446" t="s">
        <v>185</v>
      </c>
      <c r="H6422" s="3"/>
    </row>
    <row r="6423" spans="1:8">
      <c r="A6423" s="449">
        <v>45547</v>
      </c>
      <c r="B6423" s="446"/>
      <c r="C6423" s="446" t="s">
        <v>92</v>
      </c>
      <c r="D6423" s="3" t="s">
        <v>3273</v>
      </c>
      <c r="E6423" s="1497"/>
      <c r="F6423" s="1497">
        <v>180000</v>
      </c>
      <c r="G6423" s="446" t="s">
        <v>56</v>
      </c>
      <c r="H6423" s="3"/>
    </row>
    <row r="6424" spans="1:8">
      <c r="A6424" s="449">
        <v>45547</v>
      </c>
      <c r="B6424" s="446"/>
      <c r="C6424" s="446" t="s">
        <v>1098</v>
      </c>
      <c r="D6424" s="3" t="s">
        <v>64</v>
      </c>
      <c r="E6424" s="1497">
        <v>1350</v>
      </c>
      <c r="F6424" s="1497"/>
      <c r="G6424" s="446" t="s">
        <v>56</v>
      </c>
      <c r="H6424" s="3"/>
    </row>
    <row r="6425" spans="1:8">
      <c r="A6425" s="449">
        <v>45548</v>
      </c>
      <c r="B6425" s="446"/>
      <c r="C6425" s="446"/>
      <c r="D6425" s="3" t="s">
        <v>3274</v>
      </c>
      <c r="E6425" s="1497">
        <v>6500</v>
      </c>
      <c r="F6425" s="1497"/>
      <c r="G6425" s="446" t="s">
        <v>56</v>
      </c>
      <c r="H6425" s="3"/>
    </row>
    <row r="6426" spans="1:8">
      <c r="A6426" s="449">
        <v>45548</v>
      </c>
      <c r="B6426" s="446"/>
      <c r="C6426" s="446" t="s">
        <v>537</v>
      </c>
      <c r="D6426" s="3" t="s">
        <v>259</v>
      </c>
      <c r="E6426" s="1497">
        <v>150000</v>
      </c>
      <c r="F6426" s="1497"/>
      <c r="G6426" s="446" t="s">
        <v>27</v>
      </c>
      <c r="H6426" s="3"/>
    </row>
    <row r="6427" spans="1:8">
      <c r="A6427" s="449">
        <v>45548</v>
      </c>
      <c r="B6427" s="446"/>
      <c r="C6427" s="448" t="s">
        <v>537</v>
      </c>
      <c r="D6427" s="3" t="s">
        <v>259</v>
      </c>
      <c r="E6427" s="1497">
        <v>200000</v>
      </c>
      <c r="F6427" s="1497"/>
      <c r="G6427" s="446" t="s">
        <v>56</v>
      </c>
      <c r="H6427" s="3"/>
    </row>
    <row r="6428" spans="1:8">
      <c r="A6428" s="449">
        <v>45548</v>
      </c>
      <c r="B6428" s="446"/>
      <c r="C6428" s="448" t="s">
        <v>537</v>
      </c>
      <c r="D6428" s="3" t="s">
        <v>219</v>
      </c>
      <c r="E6428" s="1497">
        <v>177500</v>
      </c>
      <c r="F6428" s="1497"/>
      <c r="G6428" s="448" t="s">
        <v>56</v>
      </c>
      <c r="H6428" s="3"/>
    </row>
    <row r="6429" spans="1:8">
      <c r="A6429" s="449">
        <v>45548</v>
      </c>
      <c r="B6429" s="446"/>
      <c r="C6429" s="448" t="s">
        <v>537</v>
      </c>
      <c r="D6429" s="3" t="s">
        <v>193</v>
      </c>
      <c r="E6429" s="1497">
        <v>100000</v>
      </c>
      <c r="F6429" s="1497"/>
      <c r="G6429" s="446" t="s">
        <v>56</v>
      </c>
      <c r="H6429" s="3"/>
    </row>
    <row r="6430" spans="1:8">
      <c r="A6430" s="449">
        <v>45548</v>
      </c>
      <c r="B6430" s="448"/>
      <c r="C6430" s="448" t="s">
        <v>92</v>
      </c>
      <c r="D6430" s="3" t="s">
        <v>609</v>
      </c>
      <c r="E6430" s="1497"/>
      <c r="F6430" s="1497">
        <v>1618856.45</v>
      </c>
      <c r="G6430" s="448" t="s">
        <v>27</v>
      </c>
      <c r="H6430" s="3"/>
    </row>
    <row r="6431" spans="1:8" ht="15.75" thickBot="1">
      <c r="A6431" s="449">
        <v>45548</v>
      </c>
      <c r="B6431" s="448"/>
      <c r="C6431" s="448" t="s">
        <v>205</v>
      </c>
      <c r="D6431" s="3" t="s">
        <v>3280</v>
      </c>
      <c r="E6431" s="1497">
        <v>182455</v>
      </c>
      <c r="F6431" s="1497"/>
      <c r="G6431" s="448" t="s">
        <v>27</v>
      </c>
      <c r="H6431" s="3"/>
    </row>
    <row r="6432" spans="1:8" ht="15.75" thickBot="1">
      <c r="A6432" s="448"/>
      <c r="B6432" s="448"/>
      <c r="C6432" s="448"/>
      <c r="D6432" s="3"/>
      <c r="E6432" s="1497"/>
      <c r="F6432" s="1497"/>
      <c r="G6432" s="448"/>
      <c r="H6432" s="201">
        <v>45548</v>
      </c>
    </row>
    <row r="6433" spans="1:8">
      <c r="A6433" s="448"/>
      <c r="B6433" s="448"/>
      <c r="C6433" s="448"/>
      <c r="D6433" s="3"/>
      <c r="E6433" s="1497"/>
      <c r="F6433" s="1497"/>
      <c r="G6433" s="448"/>
      <c r="H6433" s="199" t="s">
        <v>3124</v>
      </c>
    </row>
    <row r="6434" spans="1:8">
      <c r="H6434" s="137" t="s">
        <v>3275</v>
      </c>
    </row>
    <row r="6435" spans="1:8">
      <c r="H6435" s="138" t="s">
        <v>3278</v>
      </c>
    </row>
    <row r="6436" spans="1:8">
      <c r="H6436" s="138" t="s">
        <v>3279</v>
      </c>
    </row>
    <row r="6437" spans="1:8">
      <c r="H6437" s="138" t="s">
        <v>3176</v>
      </c>
    </row>
    <row r="6438" spans="1:8">
      <c r="H6438" s="138" t="s">
        <v>3138</v>
      </c>
    </row>
    <row r="6439" spans="1:8">
      <c r="H6439" s="138" t="s">
        <v>3258</v>
      </c>
    </row>
    <row r="6440" spans="1:8">
      <c r="H6440" s="138" t="s">
        <v>3276</v>
      </c>
    </row>
    <row r="6441" spans="1:8">
      <c r="H6441" s="138" t="s">
        <v>2151</v>
      </c>
    </row>
    <row r="6442" spans="1:8" ht="15.75" thickBot="1">
      <c r="H6442" s="139" t="s">
        <v>3277</v>
      </c>
    </row>
    <row r="6443" spans="1:8" ht="15.75" thickBot="1">
      <c r="H6443" s="359"/>
    </row>
    <row r="6444" spans="1:8">
      <c r="A6444" s="451">
        <v>45551</v>
      </c>
      <c r="B6444" s="450"/>
      <c r="C6444" s="450" t="s">
        <v>156</v>
      </c>
      <c r="D6444" s="3" t="s">
        <v>156</v>
      </c>
      <c r="E6444" s="1497">
        <v>34930.410000000003</v>
      </c>
      <c r="F6444" s="1497"/>
      <c r="G6444" s="450" t="s">
        <v>27</v>
      </c>
      <c r="H6444" s="3"/>
    </row>
    <row r="6445" spans="1:8">
      <c r="A6445" s="453">
        <v>45551</v>
      </c>
      <c r="B6445" s="450"/>
      <c r="C6445" s="452" t="s">
        <v>156</v>
      </c>
      <c r="D6445" s="3" t="s">
        <v>3281</v>
      </c>
      <c r="E6445" s="1497">
        <v>281282.24</v>
      </c>
      <c r="F6445" s="1497"/>
      <c r="G6445" s="452" t="s">
        <v>27</v>
      </c>
      <c r="H6445" s="3"/>
    </row>
    <row r="6446" spans="1:8">
      <c r="A6446" s="453">
        <v>45551</v>
      </c>
      <c r="B6446" s="450"/>
      <c r="C6446" s="450" t="s">
        <v>205</v>
      </c>
      <c r="D6446" s="3" t="s">
        <v>38</v>
      </c>
      <c r="E6446" s="1497">
        <v>2500</v>
      </c>
      <c r="F6446" s="1497"/>
      <c r="G6446" s="450" t="s">
        <v>56</v>
      </c>
      <c r="H6446" s="3"/>
    </row>
    <row r="6447" spans="1:8">
      <c r="A6447" s="453">
        <v>45551</v>
      </c>
      <c r="B6447" s="452"/>
      <c r="C6447" s="452" t="s">
        <v>205</v>
      </c>
      <c r="D6447" s="3" t="s">
        <v>3283</v>
      </c>
      <c r="E6447" s="1497">
        <v>134469.72</v>
      </c>
      <c r="F6447" s="1497"/>
      <c r="G6447" s="452" t="s">
        <v>27</v>
      </c>
      <c r="H6447" s="3"/>
    </row>
    <row r="6448" spans="1:8">
      <c r="A6448" s="453">
        <v>45551</v>
      </c>
      <c r="B6448" s="452"/>
      <c r="C6448" s="452" t="s">
        <v>205</v>
      </c>
      <c r="D6448" s="3" t="s">
        <v>3282</v>
      </c>
      <c r="E6448" s="1497">
        <v>370587.3</v>
      </c>
      <c r="F6448" s="1497"/>
      <c r="G6448" s="452" t="s">
        <v>27</v>
      </c>
      <c r="H6448" s="3"/>
    </row>
    <row r="6449" spans="1:8">
      <c r="A6449" s="453">
        <v>45551</v>
      </c>
      <c r="B6449" s="452"/>
      <c r="C6449" s="452" t="s">
        <v>55</v>
      </c>
      <c r="D6449" s="3" t="s">
        <v>70</v>
      </c>
      <c r="E6449" s="1497">
        <v>1400</v>
      </c>
      <c r="F6449" s="1497"/>
      <c r="G6449" s="452" t="s">
        <v>56</v>
      </c>
      <c r="H6449" s="3"/>
    </row>
    <row r="6450" spans="1:8">
      <c r="A6450" s="455">
        <v>45551</v>
      </c>
      <c r="B6450" s="452"/>
      <c r="C6450" s="452" t="s">
        <v>205</v>
      </c>
      <c r="D6450" s="3" t="s">
        <v>3283</v>
      </c>
      <c r="E6450" s="1497">
        <v>134469.72</v>
      </c>
      <c r="F6450" s="1497"/>
      <c r="G6450" s="452" t="s">
        <v>27</v>
      </c>
      <c r="H6450" s="3"/>
    </row>
    <row r="6451" spans="1:8">
      <c r="A6451" s="455">
        <v>45551</v>
      </c>
      <c r="B6451" s="452"/>
      <c r="C6451" s="452" t="s">
        <v>79</v>
      </c>
      <c r="D6451" s="3" t="s">
        <v>79</v>
      </c>
      <c r="E6451" s="1497">
        <v>48176.75</v>
      </c>
      <c r="F6451" s="1497"/>
      <c r="G6451" s="452" t="s">
        <v>27</v>
      </c>
      <c r="H6451" s="3"/>
    </row>
    <row r="6452" spans="1:8">
      <c r="A6452" s="455">
        <v>45552</v>
      </c>
      <c r="B6452" s="454"/>
      <c r="C6452" s="454" t="s">
        <v>86</v>
      </c>
      <c r="D6452" s="3" t="s">
        <v>104</v>
      </c>
      <c r="E6452" s="1497">
        <v>15000</v>
      </c>
      <c r="F6452" s="1497"/>
      <c r="G6452" s="454" t="s">
        <v>56</v>
      </c>
      <c r="H6452" s="3"/>
    </row>
    <row r="6453" spans="1:8">
      <c r="A6453" s="455">
        <v>45552</v>
      </c>
      <c r="B6453" s="454"/>
      <c r="C6453" s="454" t="s">
        <v>537</v>
      </c>
      <c r="D6453" s="3" t="s">
        <v>137</v>
      </c>
      <c r="E6453" s="1497">
        <v>40000</v>
      </c>
      <c r="F6453" s="1497"/>
      <c r="G6453" s="454" t="s">
        <v>27</v>
      </c>
      <c r="H6453" s="3"/>
    </row>
    <row r="6454" spans="1:8">
      <c r="A6454" s="455">
        <v>45552</v>
      </c>
      <c r="B6454" s="454"/>
      <c r="C6454" s="454" t="s">
        <v>92</v>
      </c>
      <c r="D6454" s="3" t="s">
        <v>2014</v>
      </c>
      <c r="E6454" s="1497"/>
      <c r="F6454" s="1497">
        <v>103500</v>
      </c>
      <c r="G6454" s="454" t="s">
        <v>56</v>
      </c>
      <c r="H6454" s="3"/>
    </row>
    <row r="6455" spans="1:8">
      <c r="A6455" s="457">
        <v>45552</v>
      </c>
      <c r="B6455" s="454"/>
      <c r="C6455" s="454" t="s">
        <v>77</v>
      </c>
      <c r="D6455" s="3" t="s">
        <v>3284</v>
      </c>
      <c r="E6455" s="1497"/>
      <c r="F6455" s="1497">
        <v>15584000</v>
      </c>
      <c r="G6455" s="454" t="s">
        <v>27</v>
      </c>
      <c r="H6455" s="71">
        <v>15052493.43</v>
      </c>
    </row>
    <row r="6456" spans="1:8">
      <c r="A6456" s="457">
        <v>45552</v>
      </c>
      <c r="B6456" s="456"/>
      <c r="C6456" s="456" t="s">
        <v>77</v>
      </c>
      <c r="D6456" s="3" t="s">
        <v>309</v>
      </c>
      <c r="E6456" s="1497">
        <v>253106.78</v>
      </c>
      <c r="F6456" s="1497"/>
      <c r="G6456" s="456" t="s">
        <v>27</v>
      </c>
      <c r="H6456" s="3"/>
    </row>
    <row r="6457" spans="1:8">
      <c r="A6457" s="457">
        <v>45552</v>
      </c>
      <c r="B6457" s="456"/>
      <c r="C6457" s="456" t="s">
        <v>77</v>
      </c>
      <c r="D6457" s="3" t="s">
        <v>156</v>
      </c>
      <c r="E6457" s="1497">
        <v>149606.39999999999</v>
      </c>
      <c r="F6457" s="1497"/>
      <c r="G6457" s="456" t="s">
        <v>27</v>
      </c>
      <c r="H6457" s="3"/>
    </row>
    <row r="6458" spans="1:8">
      <c r="A6458" s="457">
        <v>45552</v>
      </c>
      <c r="B6458" s="456"/>
      <c r="C6458" s="456" t="s">
        <v>77</v>
      </c>
      <c r="D6458" s="3" t="s">
        <v>3285</v>
      </c>
      <c r="E6458" s="1497">
        <v>128793.39</v>
      </c>
      <c r="F6458" s="1497"/>
      <c r="G6458" s="456" t="s">
        <v>27</v>
      </c>
      <c r="H6458" s="3"/>
    </row>
    <row r="6459" spans="1:8">
      <c r="A6459" s="457">
        <v>45552</v>
      </c>
      <c r="B6459" s="456"/>
      <c r="C6459" s="456" t="s">
        <v>77</v>
      </c>
      <c r="D6459" s="15" t="s">
        <v>3286</v>
      </c>
      <c r="E6459" s="1497"/>
      <c r="F6459" s="1497">
        <v>68000</v>
      </c>
      <c r="G6459" s="456" t="s">
        <v>56</v>
      </c>
      <c r="H6459" s="3"/>
    </row>
    <row r="6460" spans="1:8">
      <c r="A6460" s="457">
        <v>45552</v>
      </c>
      <c r="B6460" s="456"/>
      <c r="C6460" s="456" t="s">
        <v>77</v>
      </c>
      <c r="D6460" s="15" t="s">
        <v>3286</v>
      </c>
      <c r="E6460" s="1497"/>
      <c r="F6460" s="1497">
        <v>284700</v>
      </c>
      <c r="G6460" s="456" t="s">
        <v>27</v>
      </c>
      <c r="H6460" s="3"/>
    </row>
    <row r="6461" spans="1:8">
      <c r="A6461" s="457">
        <v>45552</v>
      </c>
      <c r="B6461" s="456"/>
      <c r="C6461" s="456" t="s">
        <v>205</v>
      </c>
      <c r="D6461" s="3" t="s">
        <v>190</v>
      </c>
      <c r="E6461" s="1497">
        <v>300000</v>
      </c>
      <c r="F6461" s="1497"/>
      <c r="G6461" s="456" t="s">
        <v>27</v>
      </c>
      <c r="H6461" s="3"/>
    </row>
    <row r="6462" spans="1:8">
      <c r="A6462" s="459">
        <v>45554</v>
      </c>
      <c r="B6462" s="456"/>
      <c r="C6462" s="456" t="s">
        <v>79</v>
      </c>
      <c r="D6462" s="3" t="s">
        <v>166</v>
      </c>
      <c r="E6462" s="1497">
        <v>366000</v>
      </c>
      <c r="F6462" s="1497"/>
      <c r="G6462" s="458" t="s">
        <v>27</v>
      </c>
      <c r="H6462" s="3"/>
    </row>
    <row r="6463" spans="1:8">
      <c r="A6463" s="459">
        <v>45554</v>
      </c>
      <c r="B6463" s="456"/>
      <c r="C6463" s="456" t="s">
        <v>205</v>
      </c>
      <c r="D6463" s="3" t="s">
        <v>789</v>
      </c>
      <c r="E6463" s="1497">
        <v>228669</v>
      </c>
      <c r="F6463" s="1497"/>
      <c r="G6463" s="458" t="s">
        <v>27</v>
      </c>
      <c r="H6463" s="3"/>
    </row>
    <row r="6464" spans="1:8">
      <c r="A6464" s="459">
        <v>45554</v>
      </c>
      <c r="B6464" s="456"/>
      <c r="C6464" s="456" t="s">
        <v>205</v>
      </c>
      <c r="D6464" s="3" t="s">
        <v>207</v>
      </c>
      <c r="E6464" s="1497">
        <v>388700</v>
      </c>
      <c r="F6464" s="1497"/>
      <c r="G6464" s="458" t="s">
        <v>27</v>
      </c>
      <c r="H6464" s="3"/>
    </row>
    <row r="6465" spans="1:8">
      <c r="A6465" s="459">
        <v>45554</v>
      </c>
      <c r="B6465" s="458"/>
      <c r="C6465" s="458" t="s">
        <v>94</v>
      </c>
      <c r="D6465" s="3" t="s">
        <v>395</v>
      </c>
      <c r="E6465" s="1497">
        <v>159898.53</v>
      </c>
      <c r="F6465" s="1497"/>
      <c r="G6465" s="458" t="s">
        <v>27</v>
      </c>
      <c r="H6465" s="3"/>
    </row>
    <row r="6466" spans="1:8">
      <c r="A6466" s="461">
        <v>45554</v>
      </c>
      <c r="B6466" s="458"/>
      <c r="C6466" s="458" t="s">
        <v>55</v>
      </c>
      <c r="D6466" s="3" t="s">
        <v>3287</v>
      </c>
      <c r="E6466" s="1497">
        <v>1000</v>
      </c>
      <c r="F6466" s="1497"/>
      <c r="G6466" s="458" t="s">
        <v>56</v>
      </c>
      <c r="H6466" s="3"/>
    </row>
    <row r="6467" spans="1:8">
      <c r="A6467" s="461">
        <v>45554</v>
      </c>
      <c r="B6467" s="458"/>
      <c r="C6467" s="458" t="s">
        <v>730</v>
      </c>
      <c r="D6467" s="3" t="s">
        <v>3246</v>
      </c>
      <c r="E6467" s="1497">
        <v>90000</v>
      </c>
      <c r="F6467" s="1497"/>
      <c r="G6467" s="458" t="s">
        <v>27</v>
      </c>
      <c r="H6467" s="3"/>
    </row>
    <row r="6468" spans="1:8">
      <c r="A6468" s="461">
        <v>45554</v>
      </c>
      <c r="B6468" s="460"/>
      <c r="C6468" s="460" t="s">
        <v>537</v>
      </c>
      <c r="D6468" s="3" t="s">
        <v>219</v>
      </c>
      <c r="E6468" s="1497">
        <v>178000</v>
      </c>
      <c r="F6468" s="1497"/>
      <c r="G6468" s="460" t="s">
        <v>56</v>
      </c>
      <c r="H6468" s="3"/>
    </row>
    <row r="6469" spans="1:8">
      <c r="A6469" s="461">
        <v>45554</v>
      </c>
      <c r="B6469" s="460"/>
      <c r="C6469" s="460" t="s">
        <v>537</v>
      </c>
      <c r="D6469" s="3" t="s">
        <v>193</v>
      </c>
      <c r="E6469" s="1497">
        <v>100000</v>
      </c>
      <c r="F6469" s="1497"/>
      <c r="G6469" s="460" t="s">
        <v>56</v>
      </c>
      <c r="H6469" s="3"/>
    </row>
    <row r="6470" spans="1:8">
      <c r="A6470" s="461">
        <v>45554</v>
      </c>
      <c r="B6470" s="460"/>
      <c r="C6470" s="460" t="s">
        <v>537</v>
      </c>
      <c r="D6470" s="3" t="s">
        <v>208</v>
      </c>
      <c r="E6470" s="1497">
        <v>113000</v>
      </c>
      <c r="F6470" s="1497"/>
      <c r="G6470" s="460" t="s">
        <v>56</v>
      </c>
      <c r="H6470" s="3"/>
    </row>
    <row r="6471" spans="1:8">
      <c r="A6471" s="461">
        <v>45554</v>
      </c>
      <c r="B6471" s="460"/>
      <c r="C6471" s="460" t="s">
        <v>537</v>
      </c>
      <c r="D6471" s="3" t="s">
        <v>144</v>
      </c>
      <c r="E6471" s="1497">
        <v>200000</v>
      </c>
      <c r="F6471" s="1497"/>
      <c r="G6471" s="460" t="s">
        <v>56</v>
      </c>
      <c r="H6471" s="3"/>
    </row>
    <row r="6472" spans="1:8">
      <c r="A6472" s="463">
        <v>45554</v>
      </c>
      <c r="B6472" s="462"/>
      <c r="C6472" s="462" t="s">
        <v>537</v>
      </c>
      <c r="D6472" s="3" t="s">
        <v>575</v>
      </c>
      <c r="E6472" s="1497">
        <v>150000</v>
      </c>
      <c r="F6472" s="1497"/>
      <c r="G6472" s="462" t="s">
        <v>27</v>
      </c>
      <c r="H6472" s="3"/>
    </row>
    <row r="6473" spans="1:8">
      <c r="A6473" s="463">
        <v>45554</v>
      </c>
      <c r="B6473" s="462"/>
      <c r="C6473" s="462" t="s">
        <v>205</v>
      </c>
      <c r="D6473" s="15" t="s">
        <v>2764</v>
      </c>
      <c r="E6473" s="1497">
        <v>1600</v>
      </c>
      <c r="F6473" s="1497"/>
      <c r="G6473" s="462" t="s">
        <v>56</v>
      </c>
      <c r="H6473" s="3"/>
    </row>
    <row r="6474" spans="1:8">
      <c r="A6474" s="463">
        <v>45554</v>
      </c>
      <c r="B6474" s="462"/>
      <c r="C6474" s="462" t="s">
        <v>79</v>
      </c>
      <c r="D6474" s="3" t="s">
        <v>79</v>
      </c>
      <c r="E6474" s="1497">
        <v>200000</v>
      </c>
      <c r="F6474" s="1497"/>
      <c r="G6474" s="462" t="s">
        <v>56</v>
      </c>
      <c r="H6474" s="3"/>
    </row>
    <row r="6475" spans="1:8">
      <c r="A6475" s="463">
        <v>45554</v>
      </c>
      <c r="B6475" s="462"/>
      <c r="C6475" s="70" t="s">
        <v>86</v>
      </c>
      <c r="D6475" s="207" t="s">
        <v>104</v>
      </c>
      <c r="E6475" s="70">
        <v>55700</v>
      </c>
      <c r="F6475" s="70"/>
      <c r="G6475" s="70" t="s">
        <v>27</v>
      </c>
      <c r="H6475" s="3"/>
    </row>
    <row r="6476" spans="1:8">
      <c r="A6476" s="13">
        <v>45554</v>
      </c>
      <c r="B6476" s="12"/>
      <c r="C6476" s="12" t="s">
        <v>2094</v>
      </c>
      <c r="D6476" s="466" t="s">
        <v>232</v>
      </c>
      <c r="E6476" s="12">
        <v>360000</v>
      </c>
      <c r="F6476" s="12"/>
      <c r="G6476" s="12" t="s">
        <v>27</v>
      </c>
      <c r="H6476" s="3"/>
    </row>
    <row r="6477" spans="1:8" ht="15.75" thickBot="1">
      <c r="H6477" s="209">
        <v>45554</v>
      </c>
    </row>
    <row r="6478" spans="1:8">
      <c r="H6478" s="199" t="s">
        <v>3124</v>
      </c>
    </row>
    <row r="6479" spans="1:8">
      <c r="H6479" s="137" t="s">
        <v>3288</v>
      </c>
    </row>
    <row r="6480" spans="1:8">
      <c r="H6480" s="138" t="s">
        <v>3289</v>
      </c>
    </row>
    <row r="6481" spans="1:8">
      <c r="H6481" s="138" t="s">
        <v>3279</v>
      </c>
    </row>
    <row r="6482" spans="1:8">
      <c r="H6482" s="138" t="s">
        <v>3176</v>
      </c>
    </row>
    <row r="6483" spans="1:8">
      <c r="H6483" s="138" t="s">
        <v>3138</v>
      </c>
    </row>
    <row r="6484" spans="1:8">
      <c r="H6484" s="138" t="s">
        <v>3258</v>
      </c>
    </row>
    <row r="6485" spans="1:8">
      <c r="H6485" s="138" t="s">
        <v>3276</v>
      </c>
    </row>
    <row r="6486" spans="1:8">
      <c r="H6486" s="138" t="s">
        <v>2151</v>
      </c>
    </row>
    <row r="6487" spans="1:8" ht="15.75" thickBot="1">
      <c r="H6487" s="139" t="s">
        <v>3277</v>
      </c>
    </row>
    <row r="6488" spans="1:8" ht="15.75" thickBot="1">
      <c r="H6488" s="359"/>
    </row>
    <row r="6489" spans="1:8">
      <c r="A6489" s="465">
        <v>45559</v>
      </c>
      <c r="B6489" s="464"/>
      <c r="C6489" s="464" t="s">
        <v>79</v>
      </c>
      <c r="D6489" s="3" t="s">
        <v>79</v>
      </c>
      <c r="E6489" s="1497">
        <v>100000</v>
      </c>
      <c r="F6489" s="1497"/>
      <c r="G6489" s="464" t="s">
        <v>56</v>
      </c>
      <c r="H6489" s="469"/>
    </row>
    <row r="6490" spans="1:8">
      <c r="A6490" s="465">
        <v>45559</v>
      </c>
      <c r="B6490" s="464"/>
      <c r="C6490" s="464" t="s">
        <v>537</v>
      </c>
      <c r="D6490" s="3" t="s">
        <v>130</v>
      </c>
      <c r="E6490" s="1497">
        <v>87000</v>
      </c>
      <c r="F6490" s="1497"/>
      <c r="G6490" s="464" t="s">
        <v>27</v>
      </c>
      <c r="H6490" s="3"/>
    </row>
    <row r="6491" spans="1:8">
      <c r="A6491" s="465">
        <v>45559</v>
      </c>
      <c r="B6491" s="464"/>
      <c r="C6491" s="464" t="s">
        <v>79</v>
      </c>
      <c r="D6491" s="3" t="s">
        <v>195</v>
      </c>
      <c r="E6491" s="1497">
        <v>60000</v>
      </c>
      <c r="F6491" s="1497"/>
      <c r="G6491" s="464" t="s">
        <v>27</v>
      </c>
      <c r="H6491" s="3"/>
    </row>
    <row r="6492" spans="1:8">
      <c r="A6492" s="465">
        <v>45559</v>
      </c>
      <c r="B6492" s="464"/>
      <c r="C6492" s="464" t="s">
        <v>79</v>
      </c>
      <c r="D6492" s="3" t="s">
        <v>79</v>
      </c>
      <c r="E6492" s="1497">
        <v>48019.96</v>
      </c>
      <c r="F6492" s="1497"/>
      <c r="G6492" s="464" t="s">
        <v>27</v>
      </c>
      <c r="H6492" s="3"/>
    </row>
    <row r="6493" spans="1:8">
      <c r="A6493" s="465">
        <v>45559</v>
      </c>
      <c r="B6493" s="464"/>
      <c r="C6493" s="464" t="s">
        <v>79</v>
      </c>
      <c r="D6493" s="3" t="s">
        <v>79</v>
      </c>
      <c r="E6493" s="1497">
        <v>45700</v>
      </c>
      <c r="F6493" s="1497"/>
      <c r="G6493" s="464" t="s">
        <v>27</v>
      </c>
      <c r="H6493" s="3"/>
    </row>
    <row r="6494" spans="1:8">
      <c r="A6494" s="465">
        <v>45559</v>
      </c>
      <c r="B6494" s="464"/>
      <c r="C6494" s="464" t="s">
        <v>79</v>
      </c>
      <c r="D6494" s="3" t="s">
        <v>2466</v>
      </c>
      <c r="E6494" s="1497">
        <v>34650</v>
      </c>
      <c r="F6494" s="1497"/>
      <c r="G6494" s="464" t="s">
        <v>27</v>
      </c>
      <c r="H6494" s="3"/>
    </row>
    <row r="6495" spans="1:8">
      <c r="A6495" s="465">
        <v>45559</v>
      </c>
      <c r="B6495" s="464"/>
      <c r="C6495" s="464" t="s">
        <v>79</v>
      </c>
      <c r="D6495" s="3" t="s">
        <v>2466</v>
      </c>
      <c r="E6495" s="1497">
        <v>15050</v>
      </c>
      <c r="F6495" s="1497"/>
      <c r="G6495" s="464" t="s">
        <v>27</v>
      </c>
      <c r="H6495" s="3"/>
    </row>
    <row r="6496" spans="1:8">
      <c r="A6496" s="465">
        <v>45559</v>
      </c>
      <c r="B6496" s="464"/>
      <c r="C6496" s="464" t="s">
        <v>77</v>
      </c>
      <c r="D6496" s="15" t="s">
        <v>3291</v>
      </c>
      <c r="E6496" s="1497"/>
      <c r="F6496" s="1497">
        <v>5797773.7199999997</v>
      </c>
      <c r="G6496" s="464" t="s">
        <v>27</v>
      </c>
      <c r="H6496" s="3"/>
    </row>
    <row r="6497" spans="1:8">
      <c r="A6497" s="465">
        <v>45559</v>
      </c>
      <c r="B6497" s="464"/>
      <c r="C6497" s="464" t="s">
        <v>79</v>
      </c>
      <c r="D6497" s="3" t="s">
        <v>79</v>
      </c>
      <c r="E6497" s="1497">
        <v>50614.04</v>
      </c>
      <c r="F6497" s="1497"/>
      <c r="G6497" s="464" t="s">
        <v>27</v>
      </c>
      <c r="H6497" s="3"/>
    </row>
    <row r="6498" spans="1:8">
      <c r="A6498" s="465">
        <v>45559</v>
      </c>
      <c r="B6498" s="464"/>
      <c r="C6498" s="464" t="s">
        <v>79</v>
      </c>
      <c r="D6498" s="3" t="s">
        <v>79</v>
      </c>
      <c r="E6498" s="1497">
        <v>40000</v>
      </c>
      <c r="F6498" s="1497"/>
      <c r="G6498" s="464" t="s">
        <v>27</v>
      </c>
      <c r="H6498" s="3" t="s">
        <v>3290</v>
      </c>
    </row>
    <row r="6499" spans="1:8">
      <c r="A6499" s="112">
        <v>45559</v>
      </c>
      <c r="B6499" s="70"/>
      <c r="C6499" s="70" t="s">
        <v>831</v>
      </c>
      <c r="D6499" s="113" t="s">
        <v>3292</v>
      </c>
      <c r="E6499" s="70">
        <v>15450</v>
      </c>
      <c r="F6499" s="1497"/>
      <c r="G6499" s="464" t="s">
        <v>56</v>
      </c>
      <c r="H6499" s="3"/>
    </row>
    <row r="6500" spans="1:8">
      <c r="A6500" s="465">
        <v>45559</v>
      </c>
      <c r="B6500" s="464"/>
      <c r="C6500" s="464" t="s">
        <v>205</v>
      </c>
      <c r="D6500" s="15" t="s">
        <v>859</v>
      </c>
      <c r="E6500" s="1497">
        <v>41757751</v>
      </c>
      <c r="F6500" s="1497"/>
      <c r="G6500" s="464" t="s">
        <v>27</v>
      </c>
      <c r="H6500" s="3"/>
    </row>
    <row r="6501" spans="1:8">
      <c r="A6501" s="465">
        <v>45559</v>
      </c>
      <c r="B6501" s="464"/>
      <c r="C6501" s="464" t="s">
        <v>205</v>
      </c>
      <c r="D6501" s="15" t="s">
        <v>2358</v>
      </c>
      <c r="E6501" s="1497">
        <v>176000</v>
      </c>
      <c r="F6501" s="1497"/>
      <c r="G6501" s="464" t="s">
        <v>27</v>
      </c>
      <c r="H6501" s="3"/>
    </row>
    <row r="6502" spans="1:8">
      <c r="A6502" s="465">
        <v>45559</v>
      </c>
      <c r="B6502" s="464"/>
      <c r="C6502" s="464" t="s">
        <v>373</v>
      </c>
      <c r="D6502" s="3" t="s">
        <v>3293</v>
      </c>
      <c r="E6502" s="1497"/>
      <c r="F6502" s="1497">
        <v>699000</v>
      </c>
      <c r="G6502" s="464" t="s">
        <v>56</v>
      </c>
      <c r="H6502" s="71">
        <v>690000</v>
      </c>
    </row>
    <row r="6503" spans="1:8">
      <c r="A6503" s="465">
        <v>45559</v>
      </c>
      <c r="B6503" s="464"/>
      <c r="C6503" s="464" t="s">
        <v>373</v>
      </c>
      <c r="D6503" s="3" t="s">
        <v>3294</v>
      </c>
      <c r="E6503" s="1497"/>
      <c r="F6503" s="1497">
        <v>1000000</v>
      </c>
      <c r="G6503" s="464" t="s">
        <v>56</v>
      </c>
      <c r="H6503" s="3"/>
    </row>
    <row r="6504" spans="1:8">
      <c r="A6504" s="465">
        <v>45559</v>
      </c>
      <c r="B6504" s="464"/>
      <c r="C6504" s="464" t="s">
        <v>308</v>
      </c>
      <c r="D6504" s="3" t="s">
        <v>232</v>
      </c>
      <c r="E6504" s="9">
        <v>550000</v>
      </c>
      <c r="F6504" s="1497"/>
      <c r="G6504" s="464" t="s">
        <v>56</v>
      </c>
      <c r="H6504" s="3"/>
    </row>
    <row r="6505" spans="1:8">
      <c r="A6505" s="465">
        <v>45559</v>
      </c>
      <c r="B6505" s="464"/>
      <c r="C6505" s="464" t="s">
        <v>205</v>
      </c>
      <c r="D6505" s="3" t="s">
        <v>63</v>
      </c>
      <c r="E6505" s="1497">
        <v>16830</v>
      </c>
      <c r="F6505" s="1497"/>
      <c r="G6505" s="464" t="s">
        <v>56</v>
      </c>
      <c r="H6505" s="3" t="s">
        <v>3295</v>
      </c>
    </row>
    <row r="6506" spans="1:8">
      <c r="A6506" s="468">
        <v>45560</v>
      </c>
      <c r="B6506" s="464"/>
      <c r="C6506" s="467" t="s">
        <v>205</v>
      </c>
      <c r="D6506" s="3" t="s">
        <v>60</v>
      </c>
      <c r="E6506" s="1497">
        <v>15300</v>
      </c>
      <c r="F6506" s="1497"/>
      <c r="G6506" s="464" t="s">
        <v>27</v>
      </c>
      <c r="H6506" s="3"/>
    </row>
    <row r="6507" spans="1:8">
      <c r="A6507" s="468">
        <v>45560</v>
      </c>
      <c r="B6507" s="464"/>
      <c r="C6507" s="467" t="s">
        <v>205</v>
      </c>
      <c r="D6507" s="3" t="s">
        <v>238</v>
      </c>
      <c r="E6507" s="1497">
        <v>19721.39</v>
      </c>
      <c r="F6507" s="1497"/>
      <c r="G6507" s="467" t="s">
        <v>27</v>
      </c>
      <c r="H6507" s="3"/>
    </row>
    <row r="6508" spans="1:8">
      <c r="A6508" s="468">
        <v>45560</v>
      </c>
      <c r="B6508" s="464"/>
      <c r="C6508" s="467" t="s">
        <v>205</v>
      </c>
      <c r="D6508" s="3" t="s">
        <v>3296</v>
      </c>
      <c r="E6508" s="1497">
        <v>41140.36</v>
      </c>
      <c r="F6508" s="1497"/>
      <c r="G6508" s="467" t="s">
        <v>27</v>
      </c>
      <c r="H6508" s="3"/>
    </row>
    <row r="6509" spans="1:8">
      <c r="A6509" s="468">
        <v>45560</v>
      </c>
      <c r="B6509" s="464"/>
      <c r="C6509" s="467" t="s">
        <v>205</v>
      </c>
      <c r="D6509" s="3" t="s">
        <v>71</v>
      </c>
      <c r="E6509" s="1497">
        <v>218750</v>
      </c>
      <c r="F6509" s="1497"/>
      <c r="G6509" s="464" t="s">
        <v>996</v>
      </c>
      <c r="H6509" s="3"/>
    </row>
    <row r="6510" spans="1:8">
      <c r="A6510" s="468">
        <v>45560</v>
      </c>
      <c r="B6510" s="464"/>
      <c r="C6510" s="464" t="s">
        <v>205</v>
      </c>
      <c r="D6510" s="3" t="s">
        <v>33</v>
      </c>
      <c r="E6510" s="1497">
        <v>53314.1</v>
      </c>
      <c r="F6510" s="1497"/>
      <c r="G6510" s="464" t="s">
        <v>27</v>
      </c>
      <c r="H6510" s="3"/>
    </row>
    <row r="6511" spans="1:8">
      <c r="A6511" s="471">
        <v>45560</v>
      </c>
      <c r="B6511" s="467"/>
      <c r="C6511" s="467" t="s">
        <v>79</v>
      </c>
      <c r="D6511" s="3" t="s">
        <v>1218</v>
      </c>
      <c r="E6511" s="1497">
        <v>321000</v>
      </c>
      <c r="F6511" s="1497"/>
      <c r="G6511" s="467" t="s">
        <v>27</v>
      </c>
      <c r="H6511" s="3"/>
    </row>
    <row r="6512" spans="1:8">
      <c r="A6512" s="471">
        <v>45560</v>
      </c>
      <c r="B6512" s="467"/>
      <c r="C6512" s="467" t="s">
        <v>55</v>
      </c>
      <c r="D6512" s="3" t="s">
        <v>1218</v>
      </c>
      <c r="E6512" s="1497">
        <v>70745</v>
      </c>
      <c r="F6512" s="1497"/>
      <c r="G6512" s="467" t="s">
        <v>27</v>
      </c>
      <c r="H6512" s="3"/>
    </row>
    <row r="6513" spans="1:8">
      <c r="A6513" s="471">
        <v>45560</v>
      </c>
      <c r="B6513" s="467"/>
      <c r="C6513" s="467" t="s">
        <v>68</v>
      </c>
      <c r="D6513" s="3" t="s">
        <v>1951</v>
      </c>
      <c r="E6513" s="1497">
        <v>10500</v>
      </c>
      <c r="F6513" s="57"/>
      <c r="G6513" s="467" t="s">
        <v>56</v>
      </c>
      <c r="H6513" s="3"/>
    </row>
    <row r="6514" spans="1:8">
      <c r="A6514" s="473">
        <v>45561</v>
      </c>
      <c r="B6514" s="470"/>
      <c r="C6514" s="470" t="s">
        <v>79</v>
      </c>
      <c r="D6514" s="3" t="s">
        <v>181</v>
      </c>
      <c r="E6514" s="1497">
        <v>44830.37</v>
      </c>
      <c r="F6514" s="1513"/>
      <c r="G6514" s="474" t="s">
        <v>27</v>
      </c>
      <c r="H6514" s="3"/>
    </row>
    <row r="6515" spans="1:8">
      <c r="A6515" s="473">
        <v>45561</v>
      </c>
      <c r="B6515" s="470"/>
      <c r="C6515" s="472" t="s">
        <v>79</v>
      </c>
      <c r="D6515" s="3" t="s">
        <v>1403</v>
      </c>
      <c r="E6515" s="1497">
        <v>8964.99</v>
      </c>
      <c r="F6515" s="62"/>
      <c r="G6515" s="474" t="s">
        <v>27</v>
      </c>
      <c r="H6515" s="3"/>
    </row>
    <row r="6516" spans="1:8">
      <c r="A6516" s="473">
        <v>45561</v>
      </c>
      <c r="B6516" s="470"/>
      <c r="C6516" s="472" t="s">
        <v>79</v>
      </c>
      <c r="D6516" s="3" t="s">
        <v>1403</v>
      </c>
      <c r="E6516" s="1497">
        <v>9861.5</v>
      </c>
      <c r="F6516" s="1497"/>
      <c r="G6516" s="474" t="s">
        <v>27</v>
      </c>
      <c r="H6516" s="3"/>
    </row>
    <row r="6517" spans="1:8">
      <c r="A6517" s="473">
        <v>45561</v>
      </c>
      <c r="B6517" s="472"/>
      <c r="C6517" s="472" t="s">
        <v>433</v>
      </c>
      <c r="D6517" s="3" t="s">
        <v>2986</v>
      </c>
      <c r="E6517" s="1497">
        <v>600000</v>
      </c>
      <c r="F6517" s="1497"/>
      <c r="G6517" s="474" t="s">
        <v>27</v>
      </c>
      <c r="H6517" s="3"/>
    </row>
    <row r="6518" spans="1:8">
      <c r="A6518" s="473">
        <v>45561</v>
      </c>
      <c r="B6518" s="472"/>
      <c r="C6518" s="472" t="s">
        <v>537</v>
      </c>
      <c r="D6518" s="3" t="s">
        <v>208</v>
      </c>
      <c r="E6518" s="1497">
        <v>52500</v>
      </c>
      <c r="F6518" s="1497"/>
      <c r="G6518" s="472" t="s">
        <v>56</v>
      </c>
      <c r="H6518" s="3"/>
    </row>
    <row r="6519" spans="1:8">
      <c r="A6519" s="473">
        <v>45561</v>
      </c>
      <c r="B6519" s="472"/>
      <c r="C6519" s="472" t="s">
        <v>537</v>
      </c>
      <c r="D6519" s="3" t="s">
        <v>208</v>
      </c>
      <c r="E6519" s="1497">
        <v>100000</v>
      </c>
      <c r="F6519" s="1497"/>
      <c r="G6519" s="472" t="s">
        <v>27</v>
      </c>
      <c r="H6519" s="3"/>
    </row>
    <row r="6520" spans="1:8">
      <c r="A6520" s="473">
        <v>45561</v>
      </c>
      <c r="B6520" s="472"/>
      <c r="C6520" s="472" t="s">
        <v>433</v>
      </c>
      <c r="D6520" s="3" t="s">
        <v>2986</v>
      </c>
      <c r="E6520" s="1497">
        <v>600000</v>
      </c>
      <c r="F6520" s="1497"/>
      <c r="G6520" s="472" t="s">
        <v>27</v>
      </c>
      <c r="H6520" s="3"/>
    </row>
    <row r="6521" spans="1:8">
      <c r="A6521" s="473">
        <v>45561</v>
      </c>
      <c r="B6521" s="472"/>
      <c r="C6521" s="472" t="s">
        <v>92</v>
      </c>
      <c r="D6521" s="3" t="s">
        <v>296</v>
      </c>
      <c r="E6521" s="1497"/>
      <c r="F6521" s="1497">
        <v>596800</v>
      </c>
      <c r="G6521" s="472" t="s">
        <v>27</v>
      </c>
      <c r="H6521" s="3"/>
    </row>
    <row r="6522" spans="1:8">
      <c r="A6522" s="476">
        <v>45561</v>
      </c>
      <c r="B6522" s="475"/>
      <c r="C6522" s="475" t="s">
        <v>55</v>
      </c>
      <c r="D6522" s="3" t="s">
        <v>2415</v>
      </c>
      <c r="E6522" s="1497">
        <v>7057</v>
      </c>
      <c r="F6522" s="1497"/>
      <c r="G6522" s="475" t="s">
        <v>27</v>
      </c>
      <c r="H6522" s="3"/>
    </row>
    <row r="6523" spans="1:8">
      <c r="A6523" s="112">
        <v>45561</v>
      </c>
      <c r="B6523" s="70"/>
      <c r="C6523" s="70" t="s">
        <v>86</v>
      </c>
      <c r="D6523" s="113" t="s">
        <v>3298</v>
      </c>
      <c r="E6523" s="70">
        <v>45000</v>
      </c>
      <c r="F6523" s="1497"/>
      <c r="G6523" s="483" t="s">
        <v>56</v>
      </c>
      <c r="H6523" s="3"/>
    </row>
    <row r="6524" spans="1:8">
      <c r="A6524" s="112">
        <v>45561</v>
      </c>
      <c r="B6524" s="70"/>
      <c r="C6524" s="70" t="s">
        <v>831</v>
      </c>
      <c r="D6524" s="113" t="s">
        <v>3307</v>
      </c>
      <c r="E6524" s="70">
        <v>38000</v>
      </c>
      <c r="F6524" s="1497"/>
      <c r="G6524" s="483" t="s">
        <v>56</v>
      </c>
      <c r="H6524" s="3"/>
    </row>
    <row r="6525" spans="1:8">
      <c r="A6525" s="476">
        <v>45562</v>
      </c>
      <c r="B6525" s="475"/>
      <c r="C6525" s="475" t="s">
        <v>176</v>
      </c>
      <c r="D6525" s="3" t="s">
        <v>3297</v>
      </c>
      <c r="E6525" s="1497">
        <v>8000</v>
      </c>
      <c r="F6525" s="1497"/>
      <c r="G6525" s="475" t="s">
        <v>56</v>
      </c>
      <c r="H6525" s="3"/>
    </row>
    <row r="6526" spans="1:8">
      <c r="A6526" s="476">
        <v>45562</v>
      </c>
      <c r="B6526" s="475"/>
      <c r="C6526" s="475" t="s">
        <v>537</v>
      </c>
      <c r="D6526" s="3" t="s">
        <v>219</v>
      </c>
      <c r="E6526" s="1497">
        <v>177500</v>
      </c>
      <c r="F6526" s="1497"/>
      <c r="G6526" s="475" t="s">
        <v>56</v>
      </c>
      <c r="H6526" s="3"/>
    </row>
    <row r="6527" spans="1:8">
      <c r="A6527" s="476">
        <v>45562</v>
      </c>
      <c r="B6527" s="475"/>
      <c r="C6527" s="475" t="s">
        <v>537</v>
      </c>
      <c r="D6527" s="3" t="s">
        <v>144</v>
      </c>
      <c r="E6527" s="1497">
        <v>76950.559999999998</v>
      </c>
      <c r="F6527" s="1497"/>
      <c r="G6527" s="475" t="s">
        <v>27</v>
      </c>
      <c r="H6527" s="3"/>
    </row>
    <row r="6528" spans="1:8">
      <c r="A6528" s="476">
        <v>45562</v>
      </c>
      <c r="B6528" s="475"/>
      <c r="C6528" s="475" t="s">
        <v>537</v>
      </c>
      <c r="D6528" s="3" t="s">
        <v>144</v>
      </c>
      <c r="E6528" s="1497">
        <v>190000</v>
      </c>
      <c r="F6528" s="1497"/>
      <c r="G6528" s="475" t="s">
        <v>56</v>
      </c>
      <c r="H6528" s="3"/>
    </row>
    <row r="6529" spans="1:8">
      <c r="A6529" s="476">
        <v>45562</v>
      </c>
      <c r="B6529" s="475"/>
      <c r="C6529" s="475" t="s">
        <v>537</v>
      </c>
      <c r="D6529" s="3" t="s">
        <v>193</v>
      </c>
      <c r="E6529" s="1497">
        <v>100000</v>
      </c>
      <c r="F6529" s="1497"/>
      <c r="G6529" s="475" t="s">
        <v>56</v>
      </c>
      <c r="H6529" s="3"/>
    </row>
    <row r="6530" spans="1:8">
      <c r="A6530" s="476">
        <v>45565</v>
      </c>
      <c r="B6530" s="475"/>
      <c r="C6530" s="475" t="s">
        <v>205</v>
      </c>
      <c r="D6530" s="3" t="s">
        <v>448</v>
      </c>
      <c r="E6530" s="1497">
        <v>150000</v>
      </c>
      <c r="F6530" s="1497"/>
      <c r="G6530" s="475" t="s">
        <v>27</v>
      </c>
      <c r="H6530" s="3"/>
    </row>
    <row r="6531" spans="1:8">
      <c r="A6531" s="478">
        <v>45565</v>
      </c>
      <c r="B6531" s="475"/>
      <c r="C6531" s="475" t="s">
        <v>79</v>
      </c>
      <c r="D6531" s="3" t="s">
        <v>79</v>
      </c>
      <c r="E6531" s="1497">
        <v>16470.5</v>
      </c>
      <c r="F6531" s="1497"/>
      <c r="G6531" s="477" t="s">
        <v>27</v>
      </c>
      <c r="H6531" s="3"/>
    </row>
    <row r="6532" spans="1:8">
      <c r="A6532" s="478">
        <v>45565</v>
      </c>
      <c r="B6532" s="475"/>
      <c r="C6532" s="475" t="s">
        <v>79</v>
      </c>
      <c r="D6532" s="3" t="s">
        <v>79</v>
      </c>
      <c r="E6532" s="1497">
        <v>42432</v>
      </c>
      <c r="F6532" s="1497"/>
      <c r="G6532" s="477" t="s">
        <v>27</v>
      </c>
      <c r="H6532" s="3"/>
    </row>
    <row r="6533" spans="1:8">
      <c r="A6533" s="478">
        <v>45565</v>
      </c>
      <c r="B6533" s="475"/>
      <c r="C6533" s="475" t="s">
        <v>79</v>
      </c>
      <c r="D6533" s="3" t="s">
        <v>79</v>
      </c>
      <c r="E6533" s="1497">
        <v>51419</v>
      </c>
      <c r="F6533" s="1497"/>
      <c r="G6533" s="475" t="s">
        <v>27</v>
      </c>
      <c r="H6533" s="3"/>
    </row>
    <row r="6534" spans="1:8">
      <c r="A6534" s="112">
        <v>45565</v>
      </c>
      <c r="B6534" s="70"/>
      <c r="C6534" s="70" t="s">
        <v>86</v>
      </c>
      <c r="D6534" s="113" t="s">
        <v>3298</v>
      </c>
      <c r="E6534" s="70">
        <v>30000</v>
      </c>
      <c r="F6534" s="1497"/>
      <c r="G6534" s="475" t="s">
        <v>27</v>
      </c>
      <c r="H6534" s="45" t="s">
        <v>2556</v>
      </c>
    </row>
    <row r="6535" spans="1:8" ht="15.75" thickBot="1">
      <c r="A6535" s="480">
        <v>45565</v>
      </c>
      <c r="B6535" s="475"/>
      <c r="C6535" s="475" t="s">
        <v>433</v>
      </c>
      <c r="D6535" s="3" t="s">
        <v>2986</v>
      </c>
      <c r="E6535" s="1497">
        <v>400000</v>
      </c>
      <c r="F6535" s="1497"/>
      <c r="G6535" s="475" t="s">
        <v>27</v>
      </c>
      <c r="H6535" s="85"/>
    </row>
    <row r="6536" spans="1:8" ht="15.75" thickBot="1">
      <c r="A6536" s="480">
        <v>45565</v>
      </c>
      <c r="B6536" s="475"/>
      <c r="C6536" s="479" t="s">
        <v>433</v>
      </c>
      <c r="D6536" s="3" t="s">
        <v>2986</v>
      </c>
      <c r="E6536" s="1497">
        <v>300000</v>
      </c>
      <c r="F6536" s="1497"/>
      <c r="G6536" s="479" t="s">
        <v>27</v>
      </c>
      <c r="H6536" s="201">
        <v>45595</v>
      </c>
    </row>
    <row r="6537" spans="1:8">
      <c r="A6537" s="112">
        <v>45565</v>
      </c>
      <c r="B6537" s="70"/>
      <c r="C6537" s="70" t="s">
        <v>831</v>
      </c>
      <c r="D6537" s="113" t="s">
        <v>3292</v>
      </c>
      <c r="E6537" s="70">
        <v>16000</v>
      </c>
      <c r="F6537" s="1497"/>
      <c r="G6537" s="475" t="s">
        <v>56</v>
      </c>
      <c r="H6537" s="199" t="s">
        <v>3124</v>
      </c>
    </row>
    <row r="6538" spans="1:8">
      <c r="H6538" s="137" t="s">
        <v>3299</v>
      </c>
    </row>
    <row r="6539" spans="1:8">
      <c r="H6539" s="138" t="s">
        <v>808</v>
      </c>
    </row>
    <row r="6540" spans="1:8">
      <c r="H6540" s="138" t="s">
        <v>3301</v>
      </c>
    </row>
    <row r="6541" spans="1:8">
      <c r="H6541" s="138" t="s">
        <v>3176</v>
      </c>
    </row>
    <row r="6542" spans="1:8">
      <c r="H6542" s="138" t="s">
        <v>3138</v>
      </c>
    </row>
    <row r="6543" spans="1:8">
      <c r="H6543" s="138" t="s">
        <v>1436</v>
      </c>
    </row>
    <row r="6544" spans="1:8">
      <c r="H6544" s="138" t="s">
        <v>3300</v>
      </c>
    </row>
    <row r="6545" spans="1:8">
      <c r="H6545" s="138" t="s">
        <v>2151</v>
      </c>
    </row>
    <row r="6546" spans="1:8" ht="15.75" thickBot="1">
      <c r="H6546" s="139" t="s">
        <v>3302</v>
      </c>
    </row>
    <row r="6547" spans="1:8" ht="15.75" thickBot="1">
      <c r="H6547" s="359"/>
    </row>
    <row r="6548" spans="1:8">
      <c r="A6548" s="480">
        <v>45566</v>
      </c>
      <c r="B6548" s="479"/>
      <c r="C6548" s="479" t="s">
        <v>205</v>
      </c>
      <c r="D6548" s="3" t="s">
        <v>3303</v>
      </c>
      <c r="E6548" s="1497">
        <v>10000</v>
      </c>
      <c r="F6548" s="1497"/>
      <c r="G6548" s="479" t="s">
        <v>56</v>
      </c>
      <c r="H6548" s="5"/>
    </row>
    <row r="6549" spans="1:8">
      <c r="A6549" s="482">
        <v>45566</v>
      </c>
      <c r="B6549" s="479"/>
      <c r="C6549" s="479" t="s">
        <v>1651</v>
      </c>
      <c r="D6549" s="3" t="s">
        <v>1002</v>
      </c>
      <c r="E6549" s="1497">
        <v>47710</v>
      </c>
      <c r="F6549" s="1497"/>
      <c r="G6549" s="479" t="s">
        <v>27</v>
      </c>
      <c r="H6549" s="3"/>
    </row>
    <row r="6550" spans="1:8">
      <c r="A6550" s="482">
        <v>45567</v>
      </c>
      <c r="B6550" s="479"/>
      <c r="C6550" s="479" t="s">
        <v>327</v>
      </c>
      <c r="D6550" s="3" t="s">
        <v>3304</v>
      </c>
      <c r="E6550" s="1497"/>
      <c r="F6550" s="1497">
        <v>554180</v>
      </c>
      <c r="G6550" s="479" t="s">
        <v>27</v>
      </c>
      <c r="H6550" s="3"/>
    </row>
    <row r="6551" spans="1:8">
      <c r="A6551" s="482">
        <v>45567</v>
      </c>
      <c r="B6551" s="479"/>
      <c r="C6551" s="479" t="s">
        <v>94</v>
      </c>
      <c r="D6551" s="3" t="s">
        <v>1130</v>
      </c>
      <c r="E6551" s="1497">
        <v>103587.62</v>
      </c>
      <c r="F6551" s="1497"/>
      <c r="G6551" s="479" t="s">
        <v>27</v>
      </c>
      <c r="H6551" s="3"/>
    </row>
    <row r="6552" spans="1:8">
      <c r="A6552" s="482">
        <v>45567</v>
      </c>
      <c r="B6552" s="479"/>
      <c r="C6552" s="479" t="s">
        <v>94</v>
      </c>
      <c r="D6552" s="3" t="s">
        <v>3305</v>
      </c>
      <c r="E6552" s="1497">
        <v>36300.82</v>
      </c>
      <c r="F6552" s="1497"/>
      <c r="G6552" s="481" t="s">
        <v>27</v>
      </c>
      <c r="H6552" s="3"/>
    </row>
    <row r="6553" spans="1:8">
      <c r="A6553" s="484">
        <v>45568</v>
      </c>
      <c r="B6553" s="481"/>
      <c r="C6553" s="481" t="s">
        <v>92</v>
      </c>
      <c r="D6553" s="3" t="s">
        <v>582</v>
      </c>
      <c r="E6553" s="1497"/>
      <c r="F6553" s="1497">
        <v>526694.16</v>
      </c>
      <c r="G6553" s="481" t="s">
        <v>27</v>
      </c>
      <c r="H6553" s="3"/>
    </row>
    <row r="6554" spans="1:8">
      <c r="A6554" s="484">
        <v>45568</v>
      </c>
      <c r="B6554" s="481"/>
      <c r="C6554" s="481" t="s">
        <v>205</v>
      </c>
      <c r="D6554" s="3" t="s">
        <v>2946</v>
      </c>
      <c r="E6554" s="1497">
        <v>78000</v>
      </c>
      <c r="F6554" s="1497"/>
      <c r="G6554" s="481" t="s">
        <v>56</v>
      </c>
      <c r="H6554" s="3"/>
    </row>
    <row r="6555" spans="1:8">
      <c r="A6555" s="484">
        <v>45568</v>
      </c>
      <c r="B6555" s="481"/>
      <c r="C6555" s="481" t="s">
        <v>68</v>
      </c>
      <c r="D6555" s="3" t="s">
        <v>1951</v>
      </c>
      <c r="E6555" s="1497">
        <v>10500</v>
      </c>
      <c r="F6555" s="1497"/>
      <c r="G6555" s="483" t="s">
        <v>56</v>
      </c>
      <c r="H6555" s="3"/>
    </row>
    <row r="6556" spans="1:8">
      <c r="A6556" s="484">
        <v>45568</v>
      </c>
      <c r="B6556" s="481"/>
      <c r="C6556" s="481" t="s">
        <v>1597</v>
      </c>
      <c r="D6556" s="3" t="s">
        <v>3306</v>
      </c>
      <c r="E6556" s="1497"/>
      <c r="F6556" s="1497">
        <v>80600</v>
      </c>
      <c r="G6556" s="481" t="s">
        <v>56</v>
      </c>
      <c r="H6556" s="3"/>
    </row>
    <row r="6557" spans="1:8">
      <c r="A6557" s="484">
        <v>45568</v>
      </c>
      <c r="B6557" s="483"/>
      <c r="C6557" s="483" t="s">
        <v>327</v>
      </c>
      <c r="D6557" s="3" t="s">
        <v>3308</v>
      </c>
      <c r="E6557" s="1497">
        <v>7800</v>
      </c>
      <c r="F6557" s="1497"/>
      <c r="G6557" s="483" t="s">
        <v>56</v>
      </c>
      <c r="H6557" s="3"/>
    </row>
    <row r="6558" spans="1:8">
      <c r="A6558" s="484">
        <v>45568</v>
      </c>
      <c r="B6558" s="483"/>
      <c r="C6558" s="70" t="s">
        <v>86</v>
      </c>
      <c r="D6558" s="113" t="s">
        <v>3298</v>
      </c>
      <c r="E6558" s="70">
        <v>30000</v>
      </c>
      <c r="F6558" s="1497"/>
      <c r="G6558" s="483" t="s">
        <v>56</v>
      </c>
      <c r="H6558" s="3"/>
    </row>
    <row r="6559" spans="1:8">
      <c r="A6559" s="484">
        <v>45568</v>
      </c>
      <c r="B6559" s="483"/>
      <c r="C6559" s="483" t="s">
        <v>79</v>
      </c>
      <c r="D6559" s="3" t="s">
        <v>2188</v>
      </c>
      <c r="E6559" s="1497">
        <v>34857.01</v>
      </c>
      <c r="F6559" s="1497"/>
      <c r="G6559" s="483" t="s">
        <v>27</v>
      </c>
      <c r="H6559" s="3"/>
    </row>
    <row r="6560" spans="1:8">
      <c r="A6560" s="484">
        <v>45568</v>
      </c>
      <c r="B6560" s="483"/>
      <c r="C6560" s="483" t="s">
        <v>65</v>
      </c>
      <c r="D6560" s="3" t="s">
        <v>2552</v>
      </c>
      <c r="E6560" s="1497">
        <v>10223.93</v>
      </c>
      <c r="F6560" s="1497"/>
      <c r="G6560" s="483" t="s">
        <v>27</v>
      </c>
      <c r="H6560" s="3"/>
    </row>
    <row r="6561" spans="1:8">
      <c r="A6561" s="484">
        <v>45568</v>
      </c>
      <c r="B6561" s="483"/>
      <c r="C6561" s="483" t="s">
        <v>65</v>
      </c>
      <c r="D6561" s="3" t="s">
        <v>3229</v>
      </c>
      <c r="E6561" s="1497">
        <v>10354</v>
      </c>
      <c r="F6561" s="1497"/>
      <c r="G6561" s="483" t="s">
        <v>27</v>
      </c>
      <c r="H6561" s="3"/>
    </row>
    <row r="6562" spans="1:8">
      <c r="A6562" s="486">
        <v>45569</v>
      </c>
      <c r="B6562" s="483"/>
      <c r="C6562" s="483" t="s">
        <v>205</v>
      </c>
      <c r="D6562" s="3" t="s">
        <v>238</v>
      </c>
      <c r="E6562" s="1497">
        <v>5600</v>
      </c>
      <c r="F6562" s="1497"/>
      <c r="G6562" s="483" t="s">
        <v>27</v>
      </c>
      <c r="H6562" s="3"/>
    </row>
    <row r="6563" spans="1:8">
      <c r="A6563" s="486">
        <v>45569</v>
      </c>
      <c r="B6563" s="483"/>
      <c r="C6563" s="483" t="s">
        <v>537</v>
      </c>
      <c r="D6563" s="3" t="s">
        <v>219</v>
      </c>
      <c r="E6563" s="1497">
        <v>188000</v>
      </c>
      <c r="F6563" s="1497"/>
      <c r="G6563" s="483" t="s">
        <v>56</v>
      </c>
      <c r="H6563" s="3"/>
    </row>
    <row r="6564" spans="1:8">
      <c r="A6564" s="486">
        <v>45569</v>
      </c>
      <c r="B6564" s="483"/>
      <c r="C6564" s="485" t="s">
        <v>537</v>
      </c>
      <c r="D6564" s="3" t="s">
        <v>208</v>
      </c>
      <c r="E6564" s="1497">
        <v>163000</v>
      </c>
      <c r="F6564" s="1497"/>
      <c r="G6564" s="485" t="s">
        <v>56</v>
      </c>
      <c r="H6564" s="3"/>
    </row>
    <row r="6565" spans="1:8">
      <c r="A6565" s="486">
        <v>45569</v>
      </c>
      <c r="B6565" s="483"/>
      <c r="C6565" s="485" t="s">
        <v>537</v>
      </c>
      <c r="D6565" s="3" t="s">
        <v>144</v>
      </c>
      <c r="E6565" s="1497">
        <v>268000</v>
      </c>
      <c r="F6565" s="1497"/>
      <c r="G6565" s="485" t="s">
        <v>56</v>
      </c>
      <c r="H6565" s="3"/>
    </row>
    <row r="6566" spans="1:8">
      <c r="A6566" s="486">
        <v>45569</v>
      </c>
      <c r="B6566" s="483"/>
      <c r="C6566" s="485" t="s">
        <v>537</v>
      </c>
      <c r="D6566" s="3" t="s">
        <v>144</v>
      </c>
      <c r="E6566" s="1497">
        <v>100000</v>
      </c>
      <c r="F6566" s="1497"/>
      <c r="G6566" s="483" t="s">
        <v>27</v>
      </c>
      <c r="H6566" s="3"/>
    </row>
    <row r="6567" spans="1:8">
      <c r="A6567" s="486">
        <v>45569</v>
      </c>
      <c r="B6567" s="483"/>
      <c r="C6567" s="485" t="s">
        <v>537</v>
      </c>
      <c r="D6567" s="3" t="s">
        <v>193</v>
      </c>
      <c r="E6567" s="1497">
        <v>100000</v>
      </c>
      <c r="F6567" s="1497"/>
      <c r="G6567" s="483" t="s">
        <v>56</v>
      </c>
      <c r="H6567" s="3"/>
    </row>
    <row r="6568" spans="1:8">
      <c r="A6568" s="486">
        <v>45569</v>
      </c>
      <c r="B6568" s="483"/>
      <c r="C6568" s="483" t="s">
        <v>205</v>
      </c>
      <c r="D6568" s="3" t="s">
        <v>3310</v>
      </c>
      <c r="E6568" s="1497">
        <v>22800</v>
      </c>
      <c r="F6568" s="1497"/>
      <c r="G6568" s="483" t="s">
        <v>56</v>
      </c>
      <c r="H6568" s="3"/>
    </row>
    <row r="6569" spans="1:8">
      <c r="A6569" s="486">
        <v>45569</v>
      </c>
      <c r="B6569" s="483"/>
      <c r="C6569" s="483" t="s">
        <v>79</v>
      </c>
      <c r="D6569" s="3" t="s">
        <v>79</v>
      </c>
      <c r="E6569" s="1497">
        <v>3000</v>
      </c>
      <c r="F6569" s="1497"/>
      <c r="G6569" s="483" t="s">
        <v>56</v>
      </c>
      <c r="H6569" s="3"/>
    </row>
    <row r="6570" spans="1:8">
      <c r="A6570" s="486">
        <v>45569</v>
      </c>
      <c r="B6570" s="483"/>
      <c r="C6570" s="483" t="s">
        <v>86</v>
      </c>
      <c r="D6570" s="3" t="s">
        <v>107</v>
      </c>
      <c r="E6570" s="1497">
        <v>30000</v>
      </c>
      <c r="F6570" s="1497"/>
      <c r="G6570" s="483" t="s">
        <v>27</v>
      </c>
      <c r="H6570" s="3"/>
    </row>
    <row r="6571" spans="1:8">
      <c r="A6571" s="486">
        <v>45569</v>
      </c>
      <c r="B6571" s="483"/>
      <c r="C6571" s="483" t="s">
        <v>150</v>
      </c>
      <c r="D6571" s="3" t="s">
        <v>2986</v>
      </c>
      <c r="E6571" s="1497">
        <v>1000000</v>
      </c>
      <c r="F6571" s="1497"/>
      <c r="G6571" s="485" t="s">
        <v>27</v>
      </c>
      <c r="H6571" s="3"/>
    </row>
    <row r="6572" spans="1:8">
      <c r="A6572" s="485"/>
      <c r="B6572" s="485"/>
      <c r="C6572" s="485"/>
      <c r="D6572" s="3"/>
      <c r="E6572" s="1497"/>
      <c r="F6572" s="1497"/>
      <c r="G6572" s="485"/>
      <c r="H6572" s="3"/>
    </row>
    <row r="6573" spans="1:8">
      <c r="A6573" s="485"/>
      <c r="B6573" s="485"/>
      <c r="C6573" s="485"/>
      <c r="D6573" s="3"/>
      <c r="E6573" s="1497"/>
      <c r="F6573" s="1497"/>
      <c r="G6573" s="485"/>
      <c r="H6573" s="3"/>
    </row>
    <row r="6574" spans="1:8" ht="15.75" thickBot="1">
      <c r="H6574" s="209">
        <v>45569</v>
      </c>
    </row>
    <row r="6575" spans="1:8">
      <c r="H6575" s="199" t="s">
        <v>3124</v>
      </c>
    </row>
    <row r="6576" spans="1:8">
      <c r="H6576" s="137" t="s">
        <v>3311</v>
      </c>
    </row>
    <row r="6577" spans="1:8">
      <c r="H6577" s="138" t="s">
        <v>3313</v>
      </c>
    </row>
    <row r="6578" spans="1:8">
      <c r="H6578" s="138" t="s">
        <v>3279</v>
      </c>
    </row>
    <row r="6579" spans="1:8">
      <c r="H6579" s="138" t="s">
        <v>3176</v>
      </c>
    </row>
    <row r="6580" spans="1:8">
      <c r="H6580" s="138" t="s">
        <v>3138</v>
      </c>
    </row>
    <row r="6581" spans="1:8">
      <c r="H6581" s="138" t="s">
        <v>1436</v>
      </c>
    </row>
    <row r="6582" spans="1:8">
      <c r="H6582" s="138" t="s">
        <v>3312</v>
      </c>
    </row>
    <row r="6583" spans="1:8">
      <c r="H6583" s="138" t="s">
        <v>2151</v>
      </c>
    </row>
    <row r="6584" spans="1:8" ht="15.75" thickBot="1">
      <c r="H6584" s="139" t="s">
        <v>3302</v>
      </c>
    </row>
    <row r="6585" spans="1:8">
      <c r="H6585" s="384"/>
    </row>
    <row r="6586" spans="1:8">
      <c r="A6586" s="488">
        <v>45572</v>
      </c>
      <c r="B6586" s="487"/>
      <c r="C6586" s="487" t="s">
        <v>55</v>
      </c>
      <c r="D6586" s="3" t="s">
        <v>2575</v>
      </c>
      <c r="E6586" s="1497">
        <v>8000</v>
      </c>
      <c r="F6586" s="1497"/>
      <c r="G6586" s="487" t="s">
        <v>1866</v>
      </c>
      <c r="H6586" s="341"/>
    </row>
    <row r="6587" spans="1:8">
      <c r="A6587" s="488">
        <v>45572</v>
      </c>
      <c r="B6587" s="487"/>
      <c r="C6587" s="487" t="s">
        <v>77</v>
      </c>
      <c r="D6587" s="3" t="s">
        <v>441</v>
      </c>
      <c r="E6587" s="1497"/>
      <c r="F6587" s="1497">
        <v>3760000</v>
      </c>
      <c r="G6587" s="487" t="s">
        <v>27</v>
      </c>
      <c r="H6587" s="3"/>
    </row>
    <row r="6588" spans="1:8">
      <c r="A6588" s="488">
        <v>45572</v>
      </c>
      <c r="B6588" s="487"/>
      <c r="C6588" s="487" t="s">
        <v>77</v>
      </c>
      <c r="D6588" s="3" t="s">
        <v>441</v>
      </c>
      <c r="E6588" s="1497">
        <v>172528.08</v>
      </c>
      <c r="F6588" s="1497"/>
      <c r="G6588" s="487" t="s">
        <v>27</v>
      </c>
      <c r="H6588" s="3"/>
    </row>
    <row r="6589" spans="1:8">
      <c r="A6589" s="488">
        <v>45572</v>
      </c>
      <c r="B6589" s="487"/>
      <c r="C6589" s="487" t="s">
        <v>79</v>
      </c>
      <c r="D6589" s="3" t="s">
        <v>79</v>
      </c>
      <c r="E6589" s="1497">
        <v>38600</v>
      </c>
      <c r="F6589" s="1497"/>
      <c r="G6589" s="487" t="s">
        <v>27</v>
      </c>
      <c r="H6589" s="3"/>
    </row>
    <row r="6590" spans="1:8">
      <c r="A6590" s="488">
        <v>45572</v>
      </c>
      <c r="B6590" s="487"/>
      <c r="C6590" s="487" t="s">
        <v>205</v>
      </c>
      <c r="D6590" s="3" t="s">
        <v>71</v>
      </c>
      <c r="E6590" s="1497">
        <v>240125</v>
      </c>
      <c r="F6590" s="1497"/>
      <c r="G6590" s="487" t="s">
        <v>27</v>
      </c>
      <c r="H6590" s="3"/>
    </row>
    <row r="6591" spans="1:8">
      <c r="A6591" s="488">
        <v>45572</v>
      </c>
      <c r="B6591" s="487"/>
      <c r="C6591" s="487" t="s">
        <v>77</v>
      </c>
      <c r="D6591" s="3" t="s">
        <v>3314</v>
      </c>
      <c r="E6591" s="1497"/>
      <c r="F6591" s="1497">
        <v>1049221.32</v>
      </c>
      <c r="G6591" s="487" t="s">
        <v>27</v>
      </c>
      <c r="H6591" s="3"/>
    </row>
    <row r="6592" spans="1:8">
      <c r="A6592" s="488">
        <v>45572</v>
      </c>
      <c r="B6592" s="487"/>
      <c r="C6592" s="487" t="s">
        <v>205</v>
      </c>
      <c r="D6592" s="3" t="s">
        <v>426</v>
      </c>
      <c r="E6592" s="1497">
        <v>732725.65</v>
      </c>
      <c r="F6592" s="1497"/>
      <c r="G6592" s="487" t="s">
        <v>27</v>
      </c>
      <c r="H6592" s="3"/>
    </row>
    <row r="6593" spans="1:8">
      <c r="A6593" s="490">
        <v>45572</v>
      </c>
      <c r="B6593" s="487"/>
      <c r="C6593" s="487" t="s">
        <v>176</v>
      </c>
      <c r="D6593" s="3" t="s">
        <v>3315</v>
      </c>
      <c r="E6593" s="1497">
        <v>100000</v>
      </c>
      <c r="F6593" s="1497"/>
      <c r="G6593" s="487" t="s">
        <v>27</v>
      </c>
      <c r="H6593" s="3"/>
    </row>
    <row r="6594" spans="1:8">
      <c r="A6594" s="490">
        <v>45572</v>
      </c>
      <c r="B6594" s="487"/>
      <c r="C6594" s="487" t="s">
        <v>205</v>
      </c>
      <c r="D6594" s="3" t="s">
        <v>40</v>
      </c>
      <c r="E6594" s="1497">
        <v>20000</v>
      </c>
      <c r="F6594" s="1497"/>
      <c r="G6594" s="487" t="s">
        <v>27</v>
      </c>
      <c r="H6594" s="3"/>
    </row>
    <row r="6595" spans="1:8">
      <c r="A6595" s="490">
        <v>45573</v>
      </c>
      <c r="B6595" s="489"/>
      <c r="C6595" s="489" t="s">
        <v>86</v>
      </c>
      <c r="D6595" s="3" t="s">
        <v>104</v>
      </c>
      <c r="E6595" s="1497">
        <v>20000</v>
      </c>
      <c r="F6595" s="1497"/>
      <c r="G6595" s="489" t="s">
        <v>1866</v>
      </c>
      <c r="H6595" s="3"/>
    </row>
    <row r="6596" spans="1:8">
      <c r="A6596" s="490">
        <v>45573</v>
      </c>
      <c r="B6596" s="487"/>
      <c r="C6596" s="487" t="s">
        <v>90</v>
      </c>
      <c r="D6596" s="3" t="s">
        <v>334</v>
      </c>
      <c r="E6596" s="1497">
        <v>51174</v>
      </c>
      <c r="F6596" s="1497"/>
      <c r="G6596" s="489" t="s">
        <v>27</v>
      </c>
      <c r="H6596" s="3"/>
    </row>
    <row r="6597" spans="1:8">
      <c r="A6597" s="490">
        <v>45573</v>
      </c>
      <c r="B6597" s="487"/>
      <c r="C6597" s="487" t="s">
        <v>537</v>
      </c>
      <c r="D6597" s="3" t="s">
        <v>208</v>
      </c>
      <c r="E6597" s="1497">
        <v>50000</v>
      </c>
      <c r="F6597" s="1497"/>
      <c r="G6597" s="487" t="s">
        <v>27</v>
      </c>
      <c r="H6597" s="3"/>
    </row>
    <row r="6598" spans="1:8">
      <c r="A6598" s="490">
        <v>45573</v>
      </c>
      <c r="B6598" s="489"/>
      <c r="C6598" s="489" t="s">
        <v>55</v>
      </c>
      <c r="D6598" s="3" t="s">
        <v>3316</v>
      </c>
      <c r="E6598" s="1497">
        <v>3000</v>
      </c>
      <c r="F6598" s="1497"/>
      <c r="G6598" s="489" t="s">
        <v>56</v>
      </c>
      <c r="H6598" s="3"/>
    </row>
    <row r="6599" spans="1:8">
      <c r="A6599" s="490">
        <v>45573</v>
      </c>
      <c r="B6599" s="489"/>
      <c r="C6599" s="489"/>
      <c r="D6599" s="3" t="s">
        <v>831</v>
      </c>
      <c r="E6599" s="1497">
        <v>19000</v>
      </c>
      <c r="F6599" s="1497"/>
      <c r="G6599" s="489" t="s">
        <v>56</v>
      </c>
      <c r="H6599" s="3"/>
    </row>
    <row r="6600" spans="1:8">
      <c r="A6600" s="490">
        <v>45573</v>
      </c>
      <c r="B6600" s="489"/>
      <c r="C6600" s="489" t="s">
        <v>86</v>
      </c>
      <c r="D6600" s="3" t="s">
        <v>104</v>
      </c>
      <c r="E6600" s="1497">
        <v>30000</v>
      </c>
      <c r="F6600" s="1497"/>
      <c r="G6600" s="489" t="s">
        <v>56</v>
      </c>
      <c r="H6600" s="3" t="s">
        <v>2556</v>
      </c>
    </row>
    <row r="6601" spans="1:8">
      <c r="A6601" s="490">
        <v>45573</v>
      </c>
      <c r="B6601" s="489"/>
      <c r="C6601" s="489" t="s">
        <v>205</v>
      </c>
      <c r="D6601" s="3" t="s">
        <v>38</v>
      </c>
      <c r="E6601" s="1497">
        <v>1000</v>
      </c>
      <c r="F6601" s="1497"/>
      <c r="G6601" s="489" t="s">
        <v>56</v>
      </c>
      <c r="H6601" s="3"/>
    </row>
    <row r="6602" spans="1:8">
      <c r="A6602" s="490">
        <v>45573</v>
      </c>
      <c r="B6602" s="489"/>
      <c r="C6602" s="489" t="s">
        <v>79</v>
      </c>
      <c r="D6602" s="3" t="s">
        <v>2711</v>
      </c>
      <c r="E6602" s="1497">
        <v>300000</v>
      </c>
      <c r="F6602" s="1497"/>
      <c r="G6602" s="489" t="s">
        <v>27</v>
      </c>
      <c r="H6602" s="3"/>
    </row>
    <row r="6603" spans="1:8">
      <c r="A6603" s="494">
        <v>45574</v>
      </c>
      <c r="B6603" s="493"/>
      <c r="C6603" s="493" t="s">
        <v>79</v>
      </c>
      <c r="D6603" s="15" t="s">
        <v>344</v>
      </c>
      <c r="E6603" s="1497">
        <v>83400</v>
      </c>
      <c r="F6603" s="1497"/>
      <c r="G6603" s="493" t="s">
        <v>27</v>
      </c>
      <c r="H6603" s="3"/>
    </row>
    <row r="6604" spans="1:8">
      <c r="A6604" s="494">
        <v>45574</v>
      </c>
      <c r="B6604" s="493"/>
      <c r="C6604" s="493" t="s">
        <v>205</v>
      </c>
      <c r="D6604" s="15" t="s">
        <v>35</v>
      </c>
      <c r="E6604" s="1497">
        <v>78325</v>
      </c>
      <c r="F6604" s="1497"/>
      <c r="G6604" s="493" t="s">
        <v>27</v>
      </c>
      <c r="H6604" s="3"/>
    </row>
    <row r="6605" spans="1:8">
      <c r="A6605" s="496">
        <v>45574</v>
      </c>
      <c r="B6605" s="493"/>
      <c r="C6605" s="493" t="s">
        <v>2799</v>
      </c>
      <c r="D6605" s="3" t="s">
        <v>3317</v>
      </c>
      <c r="E6605" s="1497">
        <v>15800</v>
      </c>
      <c r="F6605" s="1497"/>
      <c r="G6605" s="493" t="s">
        <v>56</v>
      </c>
      <c r="H6605" s="3"/>
    </row>
    <row r="6606" spans="1:8">
      <c r="A6606" s="496">
        <v>45574</v>
      </c>
      <c r="B6606" s="495"/>
      <c r="C6606" s="495" t="s">
        <v>174</v>
      </c>
      <c r="D6606" s="3" t="s">
        <v>2630</v>
      </c>
      <c r="E6606" s="1497">
        <v>24933</v>
      </c>
      <c r="F6606" s="1497"/>
      <c r="G6606" s="495" t="s">
        <v>27</v>
      </c>
      <c r="H6606" s="3"/>
    </row>
    <row r="6607" spans="1:8">
      <c r="A6607" s="496">
        <v>45575</v>
      </c>
      <c r="B6607" s="495"/>
      <c r="C6607" s="495" t="s">
        <v>68</v>
      </c>
      <c r="D6607" s="3" t="s">
        <v>1951</v>
      </c>
      <c r="E6607" s="1497">
        <v>20000</v>
      </c>
      <c r="F6607" s="1497"/>
      <c r="G6607" s="495" t="s">
        <v>56</v>
      </c>
      <c r="H6607" s="3"/>
    </row>
    <row r="6608" spans="1:8">
      <c r="A6608" s="496">
        <v>45575</v>
      </c>
      <c r="B6608" s="495"/>
      <c r="C6608" s="495" t="s">
        <v>79</v>
      </c>
      <c r="D6608" s="3" t="s">
        <v>2055</v>
      </c>
      <c r="E6608" s="1497"/>
      <c r="F6608" s="1497">
        <v>224300</v>
      </c>
      <c r="G6608" s="495" t="s">
        <v>72</v>
      </c>
      <c r="H6608" s="3" t="s">
        <v>3318</v>
      </c>
    </row>
    <row r="6609" spans="1:8">
      <c r="A6609" s="496">
        <v>45575</v>
      </c>
      <c r="B6609" s="495"/>
      <c r="C6609" s="495" t="s">
        <v>79</v>
      </c>
      <c r="D6609" s="3" t="s">
        <v>2055</v>
      </c>
      <c r="E6609" s="1497"/>
      <c r="F6609" s="1497">
        <v>224200</v>
      </c>
      <c r="G6609" s="495" t="s">
        <v>56</v>
      </c>
      <c r="H6609" s="3"/>
    </row>
    <row r="6610" spans="1:8">
      <c r="A6610" s="496">
        <v>45575</v>
      </c>
      <c r="B6610" s="495"/>
      <c r="C6610" s="495" t="s">
        <v>537</v>
      </c>
      <c r="D6610" s="15" t="s">
        <v>3319</v>
      </c>
      <c r="E6610" s="1497">
        <v>7000</v>
      </c>
      <c r="F6610" s="1497"/>
      <c r="G6610" s="495" t="s">
        <v>56</v>
      </c>
      <c r="H6610" s="3"/>
    </row>
    <row r="6611" spans="1:8">
      <c r="A6611" s="496">
        <v>45575</v>
      </c>
      <c r="B6611" s="495"/>
      <c r="C6611" s="495" t="s">
        <v>537</v>
      </c>
      <c r="D6611" s="15" t="s">
        <v>208</v>
      </c>
      <c r="E6611" s="1497">
        <v>113000</v>
      </c>
      <c r="F6611" s="1497"/>
      <c r="G6611" s="495" t="s">
        <v>56</v>
      </c>
      <c r="H6611" s="3"/>
    </row>
    <row r="6612" spans="1:8">
      <c r="A6612" s="496">
        <v>45575</v>
      </c>
      <c r="B6612" s="495"/>
      <c r="C6612" s="495" t="s">
        <v>537</v>
      </c>
      <c r="D6612" s="15" t="s">
        <v>219</v>
      </c>
      <c r="E6612" s="1497">
        <v>188000</v>
      </c>
      <c r="F6612" s="1497"/>
      <c r="G6612" s="495" t="s">
        <v>56</v>
      </c>
      <c r="H6612" s="3"/>
    </row>
    <row r="6613" spans="1:8">
      <c r="A6613" s="496">
        <v>45575</v>
      </c>
      <c r="B6613" s="495"/>
      <c r="C6613" s="495" t="s">
        <v>537</v>
      </c>
      <c r="D6613" s="15" t="s">
        <v>144</v>
      </c>
      <c r="E6613" s="1497">
        <v>268000</v>
      </c>
      <c r="F6613" s="1497"/>
      <c r="G6613" s="495" t="s">
        <v>56</v>
      </c>
      <c r="H6613" s="3"/>
    </row>
    <row r="6614" spans="1:8">
      <c r="A6614" s="496">
        <v>45575</v>
      </c>
      <c r="B6614" s="495"/>
      <c r="C6614" s="495" t="s">
        <v>537</v>
      </c>
      <c r="D6614" s="15" t="s">
        <v>144</v>
      </c>
      <c r="E6614" s="1497">
        <v>100000</v>
      </c>
      <c r="F6614" s="1497"/>
      <c r="G6614" s="495" t="s">
        <v>27</v>
      </c>
      <c r="H6614" s="3"/>
    </row>
    <row r="6615" spans="1:8" ht="15.75" thickBot="1">
      <c r="A6615" s="496">
        <v>45575</v>
      </c>
      <c r="B6615" s="495"/>
      <c r="C6615" s="495" t="s">
        <v>537</v>
      </c>
      <c r="D6615" s="15" t="s">
        <v>193</v>
      </c>
      <c r="E6615" s="1497">
        <v>100000</v>
      </c>
      <c r="F6615" s="1497"/>
      <c r="G6615" s="495" t="s">
        <v>56</v>
      </c>
      <c r="H6615" s="85"/>
    </row>
    <row r="6616" spans="1:8" ht="15.75" thickBot="1">
      <c r="H6616" s="201">
        <v>45575</v>
      </c>
    </row>
    <row r="6617" spans="1:8">
      <c r="H6617" s="199" t="s">
        <v>3124</v>
      </c>
    </row>
    <row r="6618" spans="1:8">
      <c r="H6618" s="137" t="s">
        <v>3322</v>
      </c>
    </row>
    <row r="6619" spans="1:8">
      <c r="H6619" s="138" t="s">
        <v>808</v>
      </c>
    </row>
    <row r="6620" spans="1:8">
      <c r="H6620" s="138" t="s">
        <v>3320</v>
      </c>
    </row>
    <row r="6621" spans="1:8">
      <c r="H6621" s="138" t="s">
        <v>3176</v>
      </c>
    </row>
    <row r="6622" spans="1:8">
      <c r="H6622" s="138" t="s">
        <v>3321</v>
      </c>
    </row>
    <row r="6623" spans="1:8">
      <c r="H6623" s="138" t="s">
        <v>1436</v>
      </c>
    </row>
    <row r="6624" spans="1:8">
      <c r="H6624" s="138" t="s">
        <v>3312</v>
      </c>
    </row>
    <row r="6625" spans="1:8">
      <c r="H6625" s="138" t="s">
        <v>2151</v>
      </c>
    </row>
    <row r="6626" spans="1:8" ht="15.75" thickBot="1">
      <c r="H6626" s="139" t="s">
        <v>3323</v>
      </c>
    </row>
    <row r="6627" spans="1:8" ht="15.75" thickBot="1">
      <c r="H6627" s="359"/>
    </row>
    <row r="6628" spans="1:8">
      <c r="A6628" s="498">
        <v>45579</v>
      </c>
      <c r="B6628" s="497"/>
      <c r="C6628" s="497" t="s">
        <v>79</v>
      </c>
      <c r="D6628" s="3" t="s">
        <v>79</v>
      </c>
      <c r="E6628" s="1497">
        <v>159320.95000000001</v>
      </c>
      <c r="F6628" s="1497"/>
      <c r="G6628" s="497" t="s">
        <v>27</v>
      </c>
      <c r="H6628" s="5"/>
    </row>
    <row r="6629" spans="1:8">
      <c r="A6629" s="500">
        <v>45579</v>
      </c>
      <c r="B6629" s="499"/>
      <c r="C6629" s="499" t="s">
        <v>79</v>
      </c>
      <c r="D6629" s="3" t="s">
        <v>79</v>
      </c>
      <c r="E6629" s="1497">
        <v>153000</v>
      </c>
      <c r="F6629" s="1497"/>
      <c r="G6629" s="499" t="s">
        <v>56</v>
      </c>
      <c r="H6629" s="3"/>
    </row>
    <row r="6630" spans="1:8">
      <c r="A6630" s="500">
        <v>45579</v>
      </c>
      <c r="B6630" s="497"/>
      <c r="C6630" s="497" t="s">
        <v>94</v>
      </c>
      <c r="D6630" s="3" t="s">
        <v>17</v>
      </c>
      <c r="E6630" s="1497">
        <v>58008.72</v>
      </c>
      <c r="F6630" s="1497"/>
      <c r="G6630" s="499" t="s">
        <v>27</v>
      </c>
      <c r="H6630" s="3"/>
    </row>
    <row r="6631" spans="1:8">
      <c r="A6631" s="500">
        <v>45579</v>
      </c>
      <c r="B6631" s="497"/>
      <c r="C6631" s="497" t="s">
        <v>90</v>
      </c>
      <c r="D6631" s="3" t="s">
        <v>3048</v>
      </c>
      <c r="E6631" s="1497">
        <v>321691.15000000002</v>
      </c>
      <c r="F6631" s="1497"/>
      <c r="G6631" s="499" t="s">
        <v>27</v>
      </c>
      <c r="H6631" s="3"/>
    </row>
    <row r="6632" spans="1:8">
      <c r="A6632" s="501">
        <v>45580</v>
      </c>
      <c r="B6632" s="497"/>
      <c r="C6632" s="497" t="s">
        <v>205</v>
      </c>
      <c r="D6632" s="3" t="s">
        <v>71</v>
      </c>
      <c r="E6632" s="1497">
        <v>240125</v>
      </c>
      <c r="F6632" s="1497"/>
      <c r="G6632" s="497" t="s">
        <v>27</v>
      </c>
      <c r="H6632" s="3"/>
    </row>
    <row r="6633" spans="1:8">
      <c r="A6633" s="501">
        <v>45580</v>
      </c>
      <c r="B6633" s="497"/>
      <c r="C6633" s="497" t="s">
        <v>55</v>
      </c>
      <c r="D6633" s="3" t="s">
        <v>3324</v>
      </c>
      <c r="E6633" s="1497">
        <v>30000</v>
      </c>
      <c r="F6633" s="1497"/>
      <c r="G6633" s="497" t="s">
        <v>56</v>
      </c>
      <c r="H6633" s="3"/>
    </row>
    <row r="6634" spans="1:8">
      <c r="A6634" s="501">
        <v>45580</v>
      </c>
      <c r="B6634" s="497"/>
      <c r="C6634" s="497" t="s">
        <v>79</v>
      </c>
      <c r="D6634" s="3" t="s">
        <v>79</v>
      </c>
      <c r="E6634" s="1497">
        <v>24666</v>
      </c>
      <c r="F6634" s="1497"/>
      <c r="G6634" s="497" t="s">
        <v>27</v>
      </c>
      <c r="H6634" s="3"/>
    </row>
    <row r="6635" spans="1:8">
      <c r="A6635" s="501">
        <v>45580</v>
      </c>
      <c r="B6635" s="497"/>
      <c r="C6635" s="497" t="s">
        <v>537</v>
      </c>
      <c r="D6635" s="3" t="s">
        <v>208</v>
      </c>
      <c r="E6635" s="1497">
        <v>63000</v>
      </c>
      <c r="F6635" s="1497"/>
      <c r="G6635" s="497" t="s">
        <v>27</v>
      </c>
      <c r="H6635" s="3"/>
    </row>
    <row r="6636" spans="1:8">
      <c r="A6636" s="501">
        <v>45581</v>
      </c>
      <c r="B6636" s="497"/>
      <c r="C6636" s="497" t="s">
        <v>205</v>
      </c>
      <c r="D6636" s="3" t="s">
        <v>3325</v>
      </c>
      <c r="E6636" s="1497">
        <v>210000</v>
      </c>
      <c r="F6636" s="1497"/>
      <c r="G6636" s="497" t="s">
        <v>56</v>
      </c>
      <c r="H6636" s="3"/>
    </row>
    <row r="6637" spans="1:8">
      <c r="A6637" s="501">
        <v>45581</v>
      </c>
      <c r="B6637" s="497"/>
      <c r="C6637" s="497" t="s">
        <v>205</v>
      </c>
      <c r="D6637" s="3" t="s">
        <v>63</v>
      </c>
      <c r="E6637" s="1497">
        <v>1050.3</v>
      </c>
      <c r="F6637" s="1497"/>
      <c r="G6637" s="497" t="s">
        <v>56</v>
      </c>
      <c r="H6637" s="3"/>
    </row>
    <row r="6638" spans="1:8">
      <c r="A6638" s="503">
        <v>45581</v>
      </c>
      <c r="B6638" s="497"/>
      <c r="C6638" s="502" t="s">
        <v>205</v>
      </c>
      <c r="D6638" s="3" t="s">
        <v>11</v>
      </c>
      <c r="E6638" s="1497">
        <v>130720</v>
      </c>
      <c r="F6638" s="1497"/>
      <c r="G6638" s="497" t="s">
        <v>27</v>
      </c>
      <c r="H6638" s="3"/>
    </row>
    <row r="6639" spans="1:8">
      <c r="A6639" s="503">
        <v>45581</v>
      </c>
      <c r="B6639" s="497"/>
      <c r="C6639" s="502" t="s">
        <v>205</v>
      </c>
      <c r="D6639" s="3" t="s">
        <v>71</v>
      </c>
      <c r="E6639" s="1497">
        <v>176000</v>
      </c>
      <c r="F6639" s="1497"/>
      <c r="G6639" s="497" t="s">
        <v>27</v>
      </c>
      <c r="H6639" s="3"/>
    </row>
    <row r="6640" spans="1:8">
      <c r="A6640" s="503">
        <v>45581</v>
      </c>
      <c r="B6640" s="502"/>
      <c r="C6640" s="502" t="s">
        <v>156</v>
      </c>
      <c r="D6640" s="15" t="s">
        <v>3326</v>
      </c>
      <c r="E6640" s="1497">
        <v>31776</v>
      </c>
      <c r="F6640" s="1497"/>
      <c r="G6640" s="502" t="s">
        <v>27</v>
      </c>
      <c r="H6640" s="3"/>
    </row>
    <row r="6641" spans="1:8">
      <c r="A6641" s="505">
        <v>45582</v>
      </c>
      <c r="B6641" s="502"/>
      <c r="C6641" s="502" t="s">
        <v>77</v>
      </c>
      <c r="D6641" s="3" t="s">
        <v>3329</v>
      </c>
      <c r="E6641" s="1497"/>
      <c r="F6641" s="1497">
        <v>1000000</v>
      </c>
      <c r="G6641" s="504" t="s">
        <v>27</v>
      </c>
      <c r="H6641" s="3"/>
    </row>
    <row r="6642" spans="1:8">
      <c r="A6642" s="505">
        <v>45582</v>
      </c>
      <c r="B6642" s="502"/>
      <c r="C6642" s="502" t="s">
        <v>205</v>
      </c>
      <c r="D6642" s="3" t="s">
        <v>3327</v>
      </c>
      <c r="E6642" s="1497">
        <v>224300</v>
      </c>
      <c r="F6642" s="1497"/>
      <c r="G6642" s="502" t="s">
        <v>72</v>
      </c>
      <c r="H6642" s="3"/>
    </row>
    <row r="6643" spans="1:8">
      <c r="A6643" s="505">
        <v>45582</v>
      </c>
      <c r="B6643" s="502"/>
      <c r="C6643" s="504" t="s">
        <v>205</v>
      </c>
      <c r="D6643" s="3" t="s">
        <v>3327</v>
      </c>
      <c r="E6643" s="1497">
        <v>20500</v>
      </c>
      <c r="F6643" s="1497"/>
      <c r="G6643" s="502" t="s">
        <v>56</v>
      </c>
      <c r="H6643" s="3"/>
    </row>
    <row r="6644" spans="1:8">
      <c r="A6644" s="505">
        <v>45582</v>
      </c>
      <c r="B6644" s="502"/>
      <c r="C6644" s="502" t="s">
        <v>77</v>
      </c>
      <c r="D6644" s="3" t="s">
        <v>3329</v>
      </c>
      <c r="E6644" s="1497"/>
      <c r="F6644" s="1497">
        <v>3840000</v>
      </c>
      <c r="G6644" s="502" t="s">
        <v>72</v>
      </c>
      <c r="H6644" s="3" t="s">
        <v>3328</v>
      </c>
    </row>
    <row r="6645" spans="1:8">
      <c r="A6645" s="505">
        <v>45582</v>
      </c>
      <c r="B6645" s="502"/>
      <c r="C6645" s="502" t="s">
        <v>90</v>
      </c>
      <c r="D6645" s="3" t="s">
        <v>3330</v>
      </c>
      <c r="E6645" s="1497">
        <v>16000</v>
      </c>
      <c r="F6645" s="1497"/>
      <c r="G6645" s="502" t="s">
        <v>56</v>
      </c>
      <c r="H6645" s="3"/>
    </row>
    <row r="6646" spans="1:8">
      <c r="A6646" s="505">
        <v>45582</v>
      </c>
      <c r="B6646" s="504"/>
      <c r="C6646" s="504" t="s">
        <v>55</v>
      </c>
      <c r="D6646" s="3" t="s">
        <v>562</v>
      </c>
      <c r="E6646" s="1497">
        <v>8000</v>
      </c>
      <c r="F6646" s="1497"/>
      <c r="G6646" s="504" t="s">
        <v>56</v>
      </c>
      <c r="H6646" s="3"/>
    </row>
    <row r="6647" spans="1:8">
      <c r="A6647" s="505">
        <v>45582</v>
      </c>
      <c r="B6647" s="504"/>
      <c r="C6647" s="504" t="s">
        <v>205</v>
      </c>
      <c r="D6647" s="15" t="s">
        <v>71</v>
      </c>
      <c r="E6647" s="1497">
        <v>826000</v>
      </c>
      <c r="F6647" s="1497"/>
      <c r="G6647" s="504" t="s">
        <v>27</v>
      </c>
      <c r="H6647" s="3"/>
    </row>
    <row r="6648" spans="1:8">
      <c r="A6648" s="505">
        <v>45582</v>
      </c>
      <c r="B6648" s="504"/>
      <c r="C6648" s="504" t="s">
        <v>205</v>
      </c>
      <c r="D6648" s="15" t="s">
        <v>71</v>
      </c>
      <c r="E6648" s="1497">
        <v>2580000</v>
      </c>
      <c r="F6648" s="1497"/>
      <c r="G6648" s="504" t="s">
        <v>72</v>
      </c>
      <c r="H6648" s="3"/>
    </row>
    <row r="6649" spans="1:8">
      <c r="A6649" s="505">
        <v>45582</v>
      </c>
      <c r="B6649" s="504"/>
      <c r="C6649" s="504" t="s">
        <v>77</v>
      </c>
      <c r="D6649" s="3" t="s">
        <v>1833</v>
      </c>
      <c r="E6649" s="1497"/>
      <c r="F6649" s="1497">
        <v>248676.62</v>
      </c>
      <c r="G6649" s="504" t="s">
        <v>72</v>
      </c>
      <c r="H6649" s="3" t="s">
        <v>3331</v>
      </c>
    </row>
    <row r="6650" spans="1:8">
      <c r="A6650" s="505">
        <v>45582</v>
      </c>
      <c r="B6650" s="504"/>
      <c r="C6650" s="504" t="s">
        <v>77</v>
      </c>
      <c r="D6650" s="3" t="s">
        <v>1833</v>
      </c>
      <c r="E6650" s="1497"/>
      <c r="F6650" s="1497">
        <v>70000</v>
      </c>
      <c r="G6650" s="504" t="s">
        <v>56</v>
      </c>
      <c r="H6650" s="3"/>
    </row>
    <row r="6651" spans="1:8">
      <c r="A6651" s="505">
        <v>45582</v>
      </c>
      <c r="B6651" s="504"/>
      <c r="C6651" s="504" t="s">
        <v>205</v>
      </c>
      <c r="D6651" s="3" t="s">
        <v>190</v>
      </c>
      <c r="E6651" s="1497">
        <v>400000</v>
      </c>
      <c r="F6651" s="1497"/>
      <c r="G6651" s="504" t="s">
        <v>72</v>
      </c>
      <c r="H6651" s="3"/>
    </row>
    <row r="6652" spans="1:8">
      <c r="A6652" s="505">
        <v>45582</v>
      </c>
      <c r="B6652" s="504"/>
      <c r="C6652" s="504" t="s">
        <v>205</v>
      </c>
      <c r="D6652" s="3" t="s">
        <v>190</v>
      </c>
      <c r="E6652" s="1497">
        <v>248676.62</v>
      </c>
      <c r="F6652" s="1497"/>
      <c r="G6652" s="504" t="s">
        <v>72</v>
      </c>
      <c r="H6652" s="3"/>
    </row>
    <row r="6653" spans="1:8">
      <c r="A6653" s="505">
        <v>45582</v>
      </c>
      <c r="B6653" s="504"/>
      <c r="C6653" s="504" t="s">
        <v>77</v>
      </c>
      <c r="D6653" s="3" t="s">
        <v>1736</v>
      </c>
      <c r="E6653" s="1497"/>
      <c r="F6653" s="1497">
        <v>2297300</v>
      </c>
      <c r="G6653" s="504" t="s">
        <v>27</v>
      </c>
      <c r="H6653" s="3"/>
    </row>
    <row r="6654" spans="1:8">
      <c r="A6654" s="507">
        <v>45582</v>
      </c>
      <c r="B6654" s="504"/>
      <c r="C6654" s="504" t="s">
        <v>79</v>
      </c>
      <c r="D6654" s="3" t="s">
        <v>195</v>
      </c>
      <c r="E6654" s="1497">
        <v>52863.03</v>
      </c>
      <c r="F6654" s="1497"/>
      <c r="G6654" s="504" t="s">
        <v>27</v>
      </c>
      <c r="H6654" s="3"/>
    </row>
    <row r="6655" spans="1:8">
      <c r="A6655" s="507">
        <v>45583</v>
      </c>
      <c r="B6655" s="504"/>
      <c r="C6655" s="504" t="s">
        <v>537</v>
      </c>
      <c r="D6655" s="3" t="s">
        <v>2638</v>
      </c>
      <c r="E6655" s="1497">
        <v>100000</v>
      </c>
      <c r="F6655" s="1497"/>
      <c r="G6655" s="504" t="s">
        <v>27</v>
      </c>
      <c r="H6655" s="3"/>
    </row>
    <row r="6656" spans="1:8">
      <c r="A6656" s="507">
        <v>45583</v>
      </c>
      <c r="B6656" s="504"/>
      <c r="C6656" s="506" t="s">
        <v>537</v>
      </c>
      <c r="D6656" s="3" t="s">
        <v>2638</v>
      </c>
      <c r="E6656" s="1497">
        <v>267000</v>
      </c>
      <c r="F6656" s="1497"/>
      <c r="G6656" s="504"/>
      <c r="H6656" s="3"/>
    </row>
    <row r="6657" spans="1:8">
      <c r="A6657" s="507">
        <v>45583</v>
      </c>
      <c r="B6657" s="504"/>
      <c r="C6657" s="506" t="s">
        <v>537</v>
      </c>
      <c r="D6657" s="3" t="s">
        <v>193</v>
      </c>
      <c r="E6657" s="1497">
        <v>100000</v>
      </c>
      <c r="F6657" s="1497"/>
      <c r="G6657" s="504" t="s">
        <v>27</v>
      </c>
      <c r="H6657" s="3"/>
    </row>
    <row r="6658" spans="1:8">
      <c r="A6658" s="507">
        <v>45583</v>
      </c>
      <c r="B6658" s="506"/>
      <c r="C6658" s="506" t="s">
        <v>55</v>
      </c>
      <c r="D6658" s="3" t="s">
        <v>3332</v>
      </c>
      <c r="E6658" s="1497">
        <v>4000</v>
      </c>
      <c r="F6658" s="1497"/>
      <c r="G6658" s="506" t="s">
        <v>56</v>
      </c>
      <c r="H6658" s="3"/>
    </row>
    <row r="6659" spans="1:8">
      <c r="A6659" s="507">
        <v>45583</v>
      </c>
      <c r="B6659" s="506"/>
      <c r="C6659" s="506" t="s">
        <v>537</v>
      </c>
      <c r="D6659" s="3" t="s">
        <v>208</v>
      </c>
      <c r="E6659" s="1497">
        <v>100000</v>
      </c>
      <c r="F6659" s="1497"/>
      <c r="G6659" s="506" t="s">
        <v>56</v>
      </c>
      <c r="H6659" s="3"/>
    </row>
    <row r="6660" spans="1:8">
      <c r="A6660" s="507">
        <v>45583</v>
      </c>
      <c r="B6660" s="506"/>
      <c r="C6660" s="506" t="s">
        <v>79</v>
      </c>
      <c r="D6660" s="3" t="s">
        <v>166</v>
      </c>
      <c r="E6660" s="1497">
        <v>366000</v>
      </c>
      <c r="F6660" s="1497"/>
      <c r="G6660" s="506" t="s">
        <v>27</v>
      </c>
      <c r="H6660" s="3"/>
    </row>
    <row r="6661" spans="1:8">
      <c r="A6661" s="507"/>
      <c r="B6661" s="506"/>
      <c r="C6661" s="506"/>
      <c r="D6661" s="3"/>
      <c r="E6661" s="1497"/>
      <c r="F6661" s="1497"/>
      <c r="G6661" s="506"/>
      <c r="H6661" s="3"/>
    </row>
    <row r="6662" spans="1:8" ht="15.75" thickBot="1">
      <c r="A6662" s="507"/>
      <c r="B6662" s="506"/>
      <c r="C6662" s="506"/>
      <c r="D6662" s="3"/>
      <c r="E6662" s="1497"/>
      <c r="F6662" s="1497"/>
      <c r="G6662" s="506"/>
      <c r="H6662" s="85"/>
    </row>
    <row r="6663" spans="1:8" ht="15.75" thickBot="1">
      <c r="A6663" s="62"/>
      <c r="B6663" s="62"/>
      <c r="C6663" s="62"/>
      <c r="D6663" s="5"/>
      <c r="E6663" s="62"/>
      <c r="F6663" s="62"/>
      <c r="G6663" s="62"/>
      <c r="H6663" s="201">
        <v>45583</v>
      </c>
    </row>
    <row r="6664" spans="1:8">
      <c r="H6664" s="199" t="s">
        <v>3124</v>
      </c>
    </row>
    <row r="6665" spans="1:8">
      <c r="H6665" s="137" t="s">
        <v>3335</v>
      </c>
    </row>
    <row r="6666" spans="1:8">
      <c r="H6666" s="138" t="s">
        <v>3336</v>
      </c>
    </row>
    <row r="6667" spans="1:8">
      <c r="H6667" s="138" t="s">
        <v>677</v>
      </c>
    </row>
    <row r="6668" spans="1:8">
      <c r="H6668" s="138" t="s">
        <v>3176</v>
      </c>
    </row>
    <row r="6669" spans="1:8">
      <c r="H6669" s="138" t="s">
        <v>3333</v>
      </c>
    </row>
    <row r="6670" spans="1:8">
      <c r="H6670" s="138" t="s">
        <v>1436</v>
      </c>
    </row>
    <row r="6671" spans="1:8">
      <c r="H6671" s="138" t="s">
        <v>3334</v>
      </c>
    </row>
    <row r="6672" spans="1:8">
      <c r="H6672" s="138" t="s">
        <v>2151</v>
      </c>
    </row>
    <row r="6673" spans="1:8" ht="15.75" thickBot="1">
      <c r="H6673" s="139" t="s">
        <v>3323</v>
      </c>
    </row>
    <row r="6674" spans="1:8" ht="15.75" thickBot="1">
      <c r="H6674" s="359">
        <v>14768186.59</v>
      </c>
    </row>
    <row r="6675" spans="1:8">
      <c r="A6675" s="509">
        <v>45586</v>
      </c>
      <c r="B6675" s="508"/>
      <c r="C6675" s="508" t="s">
        <v>537</v>
      </c>
      <c r="D6675" s="3" t="s">
        <v>219</v>
      </c>
      <c r="E6675" s="1497">
        <v>187000</v>
      </c>
      <c r="F6675" s="1497"/>
      <c r="G6675" s="508" t="s">
        <v>56</v>
      </c>
      <c r="H6675" s="5"/>
    </row>
    <row r="6676" spans="1:8">
      <c r="A6676" s="509">
        <v>45586</v>
      </c>
      <c r="B6676" s="508"/>
      <c r="C6676" s="508" t="s">
        <v>92</v>
      </c>
      <c r="D6676" s="3" t="s">
        <v>296</v>
      </c>
      <c r="E6676" s="1497">
        <v>68400</v>
      </c>
      <c r="F6676" s="1497"/>
      <c r="G6676" s="508" t="s">
        <v>27</v>
      </c>
      <c r="H6676" s="3"/>
    </row>
    <row r="6677" spans="1:8">
      <c r="A6677" s="509">
        <v>45586</v>
      </c>
      <c r="B6677" s="508"/>
      <c r="C6677" s="508" t="s">
        <v>79</v>
      </c>
      <c r="D6677" s="3" t="s">
        <v>79</v>
      </c>
      <c r="E6677" s="1497">
        <v>253534.31</v>
      </c>
      <c r="F6677" s="1497"/>
      <c r="G6677" s="508" t="s">
        <v>27</v>
      </c>
      <c r="H6677" s="3"/>
    </row>
    <row r="6678" spans="1:8">
      <c r="A6678" s="509">
        <v>45586</v>
      </c>
      <c r="B6678" s="508"/>
      <c r="C6678" s="508" t="s">
        <v>205</v>
      </c>
      <c r="D6678" s="3" t="s">
        <v>3337</v>
      </c>
      <c r="E6678" s="1497">
        <v>180000</v>
      </c>
      <c r="F6678" s="1497"/>
      <c r="G6678" s="508" t="s">
        <v>27</v>
      </c>
      <c r="H6678" s="3"/>
    </row>
    <row r="6679" spans="1:8">
      <c r="A6679" s="511">
        <v>45586</v>
      </c>
      <c r="B6679" s="508"/>
      <c r="C6679" s="508" t="s">
        <v>79</v>
      </c>
      <c r="D6679" s="3" t="s">
        <v>79</v>
      </c>
      <c r="E6679" s="1497">
        <v>97300</v>
      </c>
      <c r="F6679" s="1497"/>
      <c r="G6679" s="510" t="s">
        <v>27</v>
      </c>
      <c r="H6679" s="3"/>
    </row>
    <row r="6680" spans="1:8">
      <c r="A6680" s="511">
        <v>45586</v>
      </c>
      <c r="B6680" s="508"/>
      <c r="C6680" s="510" t="s">
        <v>79</v>
      </c>
      <c r="D6680" s="3" t="s">
        <v>79</v>
      </c>
      <c r="E6680" s="1497">
        <v>23750</v>
      </c>
      <c r="F6680" s="1497"/>
      <c r="G6680" s="510" t="s">
        <v>27</v>
      </c>
      <c r="H6680" s="3"/>
    </row>
    <row r="6681" spans="1:8">
      <c r="A6681" s="511">
        <v>45586</v>
      </c>
      <c r="B6681" s="508"/>
      <c r="C6681" s="510" t="s">
        <v>79</v>
      </c>
      <c r="D6681" s="3" t="s">
        <v>79</v>
      </c>
      <c r="E6681" s="1497">
        <v>15050</v>
      </c>
      <c r="F6681" s="1497"/>
      <c r="G6681" s="510" t="s">
        <v>27</v>
      </c>
      <c r="H6681" s="3"/>
    </row>
    <row r="6682" spans="1:8">
      <c r="A6682" s="511">
        <v>45587</v>
      </c>
      <c r="B6682" s="510"/>
      <c r="C6682" s="510" t="s">
        <v>77</v>
      </c>
      <c r="D6682" s="3" t="s">
        <v>3338</v>
      </c>
      <c r="E6682" s="1497">
        <v>8000</v>
      </c>
      <c r="F6682" s="1497"/>
      <c r="G6682" s="510" t="s">
        <v>56</v>
      </c>
      <c r="H6682" s="3"/>
    </row>
    <row r="6683" spans="1:8">
      <c r="A6683" s="511">
        <v>45587</v>
      </c>
      <c r="B6683" s="510"/>
      <c r="C6683" s="510" t="s">
        <v>55</v>
      </c>
      <c r="D6683" s="3" t="s">
        <v>3339</v>
      </c>
      <c r="E6683" s="1497">
        <v>121040</v>
      </c>
      <c r="F6683" s="1497"/>
      <c r="G6683" s="510" t="s">
        <v>27</v>
      </c>
      <c r="H6683" s="3"/>
    </row>
    <row r="6684" spans="1:8">
      <c r="A6684" s="511">
        <v>45587</v>
      </c>
      <c r="B6684" s="510"/>
      <c r="C6684" s="510" t="s">
        <v>77</v>
      </c>
      <c r="D6684" s="3" t="s">
        <v>3340</v>
      </c>
      <c r="E6684" s="1497">
        <v>2750</v>
      </c>
      <c r="F6684" s="1497"/>
      <c r="G6684" s="510" t="s">
        <v>56</v>
      </c>
      <c r="H6684" s="3"/>
    </row>
    <row r="6685" spans="1:8">
      <c r="A6685" s="511">
        <v>45587</v>
      </c>
      <c r="B6685" s="510"/>
      <c r="C6685" s="510" t="s">
        <v>205</v>
      </c>
      <c r="D6685" s="15" t="s">
        <v>1748</v>
      </c>
      <c r="E6685" s="1497">
        <v>10350</v>
      </c>
      <c r="F6685" s="1497"/>
      <c r="G6685" s="510" t="s">
        <v>27</v>
      </c>
      <c r="H6685" s="3"/>
    </row>
    <row r="6686" spans="1:8">
      <c r="A6686" s="512">
        <v>45588</v>
      </c>
      <c r="B6686" s="510"/>
      <c r="C6686" s="510" t="s">
        <v>537</v>
      </c>
      <c r="D6686" s="3" t="s">
        <v>208</v>
      </c>
      <c r="E6686" s="1497">
        <v>61000</v>
      </c>
      <c r="F6686" s="1497"/>
      <c r="G6686" s="510" t="s">
        <v>27</v>
      </c>
      <c r="H6686" s="3"/>
    </row>
    <row r="6687" spans="1:8">
      <c r="A6687" s="514">
        <v>45588</v>
      </c>
      <c r="B6687" s="510"/>
      <c r="C6687" s="510" t="s">
        <v>205</v>
      </c>
      <c r="D6687" s="3" t="s">
        <v>3341</v>
      </c>
      <c r="E6687" s="1497">
        <v>800</v>
      </c>
      <c r="F6687" s="1497"/>
      <c r="G6687" s="510" t="s">
        <v>56</v>
      </c>
      <c r="H6687" s="3"/>
    </row>
    <row r="6688" spans="1:8">
      <c r="A6688" s="514">
        <v>45589</v>
      </c>
      <c r="B6688" s="513"/>
      <c r="C6688" s="513" t="s">
        <v>77</v>
      </c>
      <c r="D6688" s="15" t="s">
        <v>181</v>
      </c>
      <c r="E6688" s="1497">
        <v>44830.37</v>
      </c>
      <c r="F6688" s="1497"/>
      <c r="G6688" s="513" t="s">
        <v>27</v>
      </c>
      <c r="H6688" s="3"/>
    </row>
    <row r="6689" spans="1:8">
      <c r="A6689" s="514">
        <v>45589</v>
      </c>
      <c r="B6689" s="513"/>
      <c r="C6689" s="513" t="s">
        <v>77</v>
      </c>
      <c r="D6689" s="15" t="s">
        <v>3342</v>
      </c>
      <c r="E6689" s="1497">
        <v>9951.2099999999991</v>
      </c>
      <c r="F6689" s="1497"/>
      <c r="G6689" s="513" t="s">
        <v>27</v>
      </c>
      <c r="H6689" s="3"/>
    </row>
    <row r="6690" spans="1:8">
      <c r="A6690" s="514">
        <v>45589</v>
      </c>
      <c r="B6690" s="513"/>
      <c r="C6690" s="513" t="s">
        <v>77</v>
      </c>
      <c r="D6690" s="15" t="s">
        <v>3342</v>
      </c>
      <c r="E6690" s="1497">
        <v>10946.33</v>
      </c>
      <c r="F6690" s="1497"/>
      <c r="G6690" s="513" t="s">
        <v>27</v>
      </c>
      <c r="H6690" s="3"/>
    </row>
    <row r="6691" spans="1:8">
      <c r="A6691" s="514">
        <v>45589</v>
      </c>
      <c r="B6691" s="513"/>
      <c r="C6691" s="513" t="s">
        <v>55</v>
      </c>
      <c r="D6691" s="3" t="s">
        <v>562</v>
      </c>
      <c r="E6691" s="1497">
        <v>2700</v>
      </c>
      <c r="F6691" s="1497"/>
      <c r="G6691" s="513" t="s">
        <v>56</v>
      </c>
      <c r="H6691" s="3"/>
    </row>
    <row r="6692" spans="1:8">
      <c r="A6692" s="514">
        <v>45589</v>
      </c>
      <c r="B6692" s="513"/>
      <c r="C6692" s="513" t="s">
        <v>55</v>
      </c>
      <c r="D6692" s="3" t="s">
        <v>70</v>
      </c>
      <c r="E6692" s="1497">
        <v>13865.65</v>
      </c>
      <c r="F6692" s="1497"/>
      <c r="G6692" s="513" t="s">
        <v>27</v>
      </c>
      <c r="H6692" s="3"/>
    </row>
    <row r="6693" spans="1:8">
      <c r="A6693" s="514">
        <v>45590</v>
      </c>
      <c r="B6693" s="513"/>
      <c r="C6693" s="513" t="s">
        <v>205</v>
      </c>
      <c r="D6693" s="3" t="s">
        <v>71</v>
      </c>
      <c r="E6693" s="1497">
        <v>143000</v>
      </c>
      <c r="F6693" s="1497"/>
      <c r="G6693" s="513" t="s">
        <v>27</v>
      </c>
      <c r="H6693" s="3"/>
    </row>
    <row r="6694" spans="1:8">
      <c r="A6694" s="514">
        <v>45590</v>
      </c>
      <c r="B6694" s="513"/>
      <c r="C6694" s="513" t="s">
        <v>1495</v>
      </c>
      <c r="D6694" s="3" t="s">
        <v>3343</v>
      </c>
      <c r="E6694" s="1497">
        <v>72000</v>
      </c>
      <c r="F6694" s="1497"/>
      <c r="G6694" s="513" t="s">
        <v>27</v>
      </c>
      <c r="H6694" s="3"/>
    </row>
    <row r="6695" spans="1:8">
      <c r="A6695" s="514">
        <v>45590</v>
      </c>
      <c r="B6695" s="513"/>
      <c r="C6695" s="513" t="s">
        <v>65</v>
      </c>
      <c r="D6695" s="3" t="s">
        <v>1795</v>
      </c>
      <c r="E6695" s="1497">
        <v>40000</v>
      </c>
      <c r="F6695" s="1497"/>
      <c r="G6695" s="513" t="s">
        <v>27</v>
      </c>
      <c r="H6695" s="3"/>
    </row>
    <row r="6696" spans="1:8">
      <c r="A6696" s="516">
        <v>45590</v>
      </c>
      <c r="B6696" s="513"/>
      <c r="C6696" s="513" t="s">
        <v>77</v>
      </c>
      <c r="D6696" s="3" t="s">
        <v>3344</v>
      </c>
      <c r="E6696" s="1497"/>
      <c r="F6696" s="1497">
        <v>1500000</v>
      </c>
      <c r="G6696" s="513" t="s">
        <v>72</v>
      </c>
      <c r="H6696" s="3" t="s">
        <v>3345</v>
      </c>
    </row>
    <row r="6697" spans="1:8">
      <c r="A6697" s="516">
        <v>45590</v>
      </c>
      <c r="B6697" s="513"/>
      <c r="C6697" s="513" t="s">
        <v>77</v>
      </c>
      <c r="D6697" s="3" t="s">
        <v>3344</v>
      </c>
      <c r="E6697" s="1497"/>
      <c r="F6697" s="1497">
        <v>760700</v>
      </c>
      <c r="G6697" s="513" t="s">
        <v>56</v>
      </c>
      <c r="H6697" s="3"/>
    </row>
    <row r="6698" spans="1:8">
      <c r="A6698" s="516">
        <v>45590</v>
      </c>
      <c r="B6698" s="513"/>
      <c r="C6698" s="513" t="s">
        <v>77</v>
      </c>
      <c r="D6698" s="3" t="s">
        <v>3346</v>
      </c>
      <c r="E6698" s="1497"/>
      <c r="F6698" s="1497">
        <v>420000</v>
      </c>
      <c r="G6698" s="515" t="s">
        <v>56</v>
      </c>
      <c r="H6698" s="3"/>
    </row>
    <row r="6699" spans="1:8">
      <c r="A6699" s="516">
        <v>45590</v>
      </c>
      <c r="B6699" s="513"/>
      <c r="C6699" s="513" t="s">
        <v>205</v>
      </c>
      <c r="D6699" s="3" t="s">
        <v>499</v>
      </c>
      <c r="E6699" s="1497">
        <v>117000</v>
      </c>
      <c r="F6699" s="1497"/>
      <c r="G6699" s="513" t="s">
        <v>27</v>
      </c>
      <c r="H6699" s="3"/>
    </row>
    <row r="6700" spans="1:8">
      <c r="A6700" s="516">
        <v>45590</v>
      </c>
      <c r="B6700" s="515"/>
      <c r="C6700" s="515" t="s">
        <v>88</v>
      </c>
      <c r="D6700" s="3" t="s">
        <v>144</v>
      </c>
      <c r="E6700" s="1497">
        <v>200000</v>
      </c>
      <c r="F6700" s="1497"/>
      <c r="G6700" s="515" t="s">
        <v>27</v>
      </c>
      <c r="H6700" s="3"/>
    </row>
    <row r="6701" spans="1:8">
      <c r="A6701" s="516">
        <v>45590</v>
      </c>
      <c r="B6701" s="515"/>
      <c r="C6701" s="515" t="s">
        <v>88</v>
      </c>
      <c r="D6701" s="3" t="s">
        <v>144</v>
      </c>
      <c r="E6701" s="1497">
        <v>67000</v>
      </c>
      <c r="F6701" s="1497"/>
      <c r="G6701" s="515" t="s">
        <v>27</v>
      </c>
      <c r="H6701" s="3"/>
    </row>
    <row r="6702" spans="1:8">
      <c r="A6702" s="516">
        <v>45590</v>
      </c>
      <c r="B6702" s="515"/>
      <c r="C6702" s="515" t="s">
        <v>88</v>
      </c>
      <c r="D6702" s="3" t="s">
        <v>208</v>
      </c>
      <c r="E6702" s="1497">
        <v>100000</v>
      </c>
      <c r="F6702" s="1497"/>
      <c r="G6702" s="515" t="s">
        <v>27</v>
      </c>
      <c r="H6702" s="3"/>
    </row>
    <row r="6703" spans="1:8">
      <c r="A6703" s="516">
        <v>45590</v>
      </c>
      <c r="B6703" s="515"/>
      <c r="C6703" s="515" t="s">
        <v>88</v>
      </c>
      <c r="D6703" s="3" t="s">
        <v>219</v>
      </c>
      <c r="E6703" s="1497">
        <v>187000</v>
      </c>
      <c r="F6703" s="1497"/>
      <c r="G6703" s="515" t="s">
        <v>27</v>
      </c>
      <c r="H6703" s="3"/>
    </row>
    <row r="6704" spans="1:8" ht="15.75" thickBot="1">
      <c r="A6704" s="516">
        <v>45590</v>
      </c>
      <c r="B6704" s="515"/>
      <c r="C6704" s="515" t="s">
        <v>88</v>
      </c>
      <c r="D6704" s="3" t="s">
        <v>193</v>
      </c>
      <c r="E6704" s="1497">
        <v>100000</v>
      </c>
      <c r="F6704" s="1497"/>
      <c r="G6704" s="515" t="s">
        <v>27</v>
      </c>
      <c r="H6704" s="3"/>
    </row>
    <row r="6705" spans="1:8" ht="15.75" thickBot="1">
      <c r="A6705" s="515"/>
      <c r="B6705" s="515"/>
      <c r="C6705" s="515"/>
      <c r="D6705" s="3"/>
      <c r="E6705" s="1497"/>
      <c r="F6705" s="1497"/>
      <c r="G6705" s="515"/>
      <c r="H6705" s="201">
        <v>45590</v>
      </c>
    </row>
    <row r="6706" spans="1:8">
      <c r="A6706" s="515"/>
      <c r="B6706" s="515"/>
      <c r="C6706" s="515"/>
      <c r="D6706" s="3"/>
      <c r="E6706" s="1497"/>
      <c r="F6706" s="1497"/>
      <c r="G6706" s="515"/>
      <c r="H6706" s="199" t="s">
        <v>3124</v>
      </c>
    </row>
    <row r="6707" spans="1:8">
      <c r="A6707" s="515"/>
      <c r="B6707" s="515"/>
      <c r="C6707" s="515"/>
      <c r="D6707" s="3"/>
      <c r="E6707" s="1497"/>
      <c r="F6707" s="1497"/>
      <c r="G6707" s="515"/>
      <c r="H6707" s="137" t="s">
        <v>3351</v>
      </c>
    </row>
    <row r="6708" spans="1:8">
      <c r="A6708" s="515"/>
      <c r="B6708" s="515"/>
      <c r="C6708" s="515"/>
      <c r="D6708" s="3"/>
      <c r="E6708" s="1497"/>
      <c r="F6708" s="1497"/>
      <c r="G6708" s="515"/>
      <c r="H6708" s="138" t="s">
        <v>3349</v>
      </c>
    </row>
    <row r="6709" spans="1:8">
      <c r="H6709" s="138" t="s">
        <v>3350</v>
      </c>
    </row>
    <row r="6710" spans="1:8">
      <c r="H6710" s="138" t="s">
        <v>3176</v>
      </c>
    </row>
    <row r="6711" spans="1:8">
      <c r="H6711" s="138" t="s">
        <v>3348</v>
      </c>
    </row>
    <row r="6712" spans="1:8">
      <c r="H6712" s="138" t="s">
        <v>1436</v>
      </c>
    </row>
    <row r="6713" spans="1:8">
      <c r="H6713" s="138" t="s">
        <v>3347</v>
      </c>
    </row>
    <row r="6714" spans="1:8">
      <c r="H6714" s="138" t="s">
        <v>2151</v>
      </c>
    </row>
    <row r="6715" spans="1:8" ht="15.75" thickBot="1">
      <c r="H6715" s="139" t="s">
        <v>3352</v>
      </c>
    </row>
    <row r="6716" spans="1:8" ht="15.75" thickBot="1">
      <c r="H6716" s="359">
        <v>15506718.029999999</v>
      </c>
    </row>
    <row r="6717" spans="1:8">
      <c r="A6717" s="518">
        <v>45593</v>
      </c>
      <c r="B6717" s="517"/>
      <c r="C6717" s="517" t="s">
        <v>79</v>
      </c>
      <c r="D6717" s="3" t="s">
        <v>562</v>
      </c>
      <c r="E6717" s="1497">
        <v>114413.07</v>
      </c>
      <c r="F6717" s="1497"/>
      <c r="G6717" s="517" t="s">
        <v>27</v>
      </c>
      <c r="H6717" s="5"/>
    </row>
    <row r="6718" spans="1:8">
      <c r="A6718" s="518">
        <v>45593</v>
      </c>
      <c r="B6718" s="517"/>
      <c r="C6718" s="517" t="s">
        <v>205</v>
      </c>
      <c r="D6718" s="3" t="s">
        <v>3353</v>
      </c>
      <c r="E6718" s="1497">
        <v>150000</v>
      </c>
      <c r="F6718" s="1497"/>
      <c r="G6718" s="517" t="s">
        <v>27</v>
      </c>
      <c r="H6718" s="3"/>
    </row>
    <row r="6719" spans="1:8">
      <c r="A6719" s="518">
        <v>45593</v>
      </c>
      <c r="B6719" s="517"/>
      <c r="C6719" s="517" t="s">
        <v>92</v>
      </c>
      <c r="D6719" s="3" t="s">
        <v>377</v>
      </c>
      <c r="E6719" s="1497">
        <v>50000</v>
      </c>
      <c r="F6719" s="1497"/>
      <c r="G6719" s="517" t="s">
        <v>56</v>
      </c>
      <c r="H6719" s="3"/>
    </row>
    <row r="6720" spans="1:8">
      <c r="A6720" s="518">
        <v>45593</v>
      </c>
      <c r="B6720" s="517"/>
      <c r="C6720" s="517" t="s">
        <v>86</v>
      </c>
      <c r="D6720" s="3" t="s">
        <v>534</v>
      </c>
      <c r="E6720" s="1497">
        <v>10000</v>
      </c>
      <c r="F6720" s="1497"/>
      <c r="G6720" s="517" t="s">
        <v>56</v>
      </c>
      <c r="H6720" s="3"/>
    </row>
    <row r="6721" spans="1:8">
      <c r="A6721" s="518">
        <v>45593</v>
      </c>
      <c r="B6721" s="517"/>
      <c r="C6721" s="517" t="s">
        <v>77</v>
      </c>
      <c r="D6721" s="3" t="s">
        <v>3354</v>
      </c>
      <c r="E6721" s="1497"/>
      <c r="F6721" s="1497">
        <v>1114800</v>
      </c>
      <c r="G6721" s="517" t="s">
        <v>72</v>
      </c>
      <c r="H6721" s="3" t="s">
        <v>3355</v>
      </c>
    </row>
    <row r="6722" spans="1:8">
      <c r="A6722" s="518">
        <v>45593</v>
      </c>
      <c r="B6722" s="517"/>
      <c r="C6722" s="517" t="s">
        <v>205</v>
      </c>
      <c r="D6722" s="3" t="s">
        <v>3356</v>
      </c>
      <c r="E6722" s="1497">
        <v>7040</v>
      </c>
      <c r="F6722" s="1497"/>
      <c r="G6722" s="517" t="s">
        <v>27</v>
      </c>
      <c r="H6722" s="3"/>
    </row>
    <row r="6723" spans="1:8">
      <c r="A6723" s="520">
        <v>45593</v>
      </c>
      <c r="B6723" s="517"/>
      <c r="C6723" s="517" t="s">
        <v>205</v>
      </c>
      <c r="D6723" s="3" t="s">
        <v>48</v>
      </c>
      <c r="E6723" s="1497">
        <v>222960</v>
      </c>
      <c r="F6723" s="1497"/>
      <c r="G6723" s="517" t="s">
        <v>72</v>
      </c>
      <c r="H6723" s="3" t="s">
        <v>3355</v>
      </c>
    </row>
    <row r="6724" spans="1:8">
      <c r="A6724" s="520">
        <v>45593</v>
      </c>
      <c r="B6724" s="517"/>
      <c r="C6724" s="519" t="s">
        <v>205</v>
      </c>
      <c r="D6724" s="3" t="s">
        <v>48</v>
      </c>
      <c r="E6724" s="1497">
        <v>250000</v>
      </c>
      <c r="F6724" s="1497"/>
      <c r="G6724" s="517" t="s">
        <v>56</v>
      </c>
      <c r="H6724" s="3"/>
    </row>
    <row r="6725" spans="1:8">
      <c r="A6725" s="520">
        <v>45593</v>
      </c>
      <c r="B6725" s="517"/>
      <c r="C6725" s="519" t="s">
        <v>205</v>
      </c>
      <c r="D6725" s="3" t="s">
        <v>43</v>
      </c>
      <c r="E6725" s="1497">
        <v>103000</v>
      </c>
      <c r="F6725" s="1497"/>
      <c r="G6725" s="517" t="s">
        <v>56</v>
      </c>
      <c r="H6725" s="3"/>
    </row>
    <row r="6726" spans="1:8">
      <c r="A6726" s="522">
        <v>45594</v>
      </c>
      <c r="B6726" s="519"/>
      <c r="C6726" s="519" t="s">
        <v>77</v>
      </c>
      <c r="D6726" s="3" t="s">
        <v>3357</v>
      </c>
      <c r="E6726" s="1497"/>
      <c r="F6726" s="1497">
        <v>29282000</v>
      </c>
      <c r="G6726" s="519" t="s">
        <v>3358</v>
      </c>
      <c r="H6726" s="3"/>
    </row>
    <row r="6727" spans="1:8">
      <c r="A6727" s="522">
        <v>45594</v>
      </c>
      <c r="B6727" s="519"/>
      <c r="C6727" s="519" t="s">
        <v>77</v>
      </c>
      <c r="D6727" s="3" t="s">
        <v>3359</v>
      </c>
      <c r="E6727" s="1497"/>
      <c r="F6727" s="1497">
        <v>8580000</v>
      </c>
      <c r="G6727" s="519" t="s">
        <v>72</v>
      </c>
      <c r="H6727" s="3" t="s">
        <v>3360</v>
      </c>
    </row>
    <row r="6728" spans="1:8">
      <c r="A6728" s="522">
        <v>45594</v>
      </c>
      <c r="B6728" s="519"/>
      <c r="C6728" s="519" t="s">
        <v>94</v>
      </c>
      <c r="D6728" s="3" t="s">
        <v>13</v>
      </c>
      <c r="E6728" s="1497">
        <v>109153.77</v>
      </c>
      <c r="F6728" s="1497"/>
      <c r="G6728" s="519" t="s">
        <v>27</v>
      </c>
      <c r="H6728" s="3"/>
    </row>
    <row r="6729" spans="1:8">
      <c r="A6729" s="522">
        <v>45594</v>
      </c>
      <c r="B6729" s="519"/>
      <c r="C6729" s="521" t="s">
        <v>94</v>
      </c>
      <c r="D6729" s="3" t="s">
        <v>245</v>
      </c>
      <c r="E6729" s="1497">
        <v>92390.77</v>
      </c>
      <c r="F6729" s="1497"/>
      <c r="G6729" s="519" t="s">
        <v>27</v>
      </c>
      <c r="H6729" s="3"/>
    </row>
    <row r="6730" spans="1:8">
      <c r="A6730" s="524">
        <v>45594</v>
      </c>
      <c r="B6730" s="523"/>
      <c r="C6730" s="523" t="s">
        <v>205</v>
      </c>
      <c r="D6730" s="15" t="s">
        <v>71</v>
      </c>
      <c r="E6730" s="1497">
        <v>1756920</v>
      </c>
      <c r="F6730" s="1497"/>
      <c r="G6730" s="523" t="s">
        <v>287</v>
      </c>
      <c r="H6730" s="3"/>
    </row>
    <row r="6731" spans="1:8">
      <c r="A6731" s="524">
        <v>45594</v>
      </c>
      <c r="B6731" s="523"/>
      <c r="C6731" s="523" t="s">
        <v>537</v>
      </c>
      <c r="D6731" s="3" t="s">
        <v>208</v>
      </c>
      <c r="E6731" s="1497">
        <v>50000</v>
      </c>
      <c r="F6731" s="1497"/>
      <c r="G6731" s="523" t="s">
        <v>27</v>
      </c>
      <c r="H6731" s="3"/>
    </row>
    <row r="6732" spans="1:8">
      <c r="A6732" s="524">
        <v>45594</v>
      </c>
      <c r="B6732" s="523"/>
      <c r="C6732" s="523" t="s">
        <v>176</v>
      </c>
      <c r="D6732" s="3" t="s">
        <v>3361</v>
      </c>
      <c r="E6732" s="1497">
        <v>22000</v>
      </c>
      <c r="F6732" s="1497"/>
      <c r="G6732" s="523" t="s">
        <v>27</v>
      </c>
      <c r="H6732" s="3"/>
    </row>
    <row r="6733" spans="1:8">
      <c r="A6733" s="526">
        <v>45595</v>
      </c>
      <c r="B6733" s="525"/>
      <c r="C6733" s="525" t="s">
        <v>205</v>
      </c>
      <c r="D6733" s="3" t="s">
        <v>38</v>
      </c>
      <c r="E6733" s="1497">
        <v>8126</v>
      </c>
      <c r="F6733" s="1497"/>
      <c r="G6733" s="525" t="s">
        <v>56</v>
      </c>
      <c r="H6733" s="3"/>
    </row>
    <row r="6734" spans="1:8">
      <c r="A6734" s="525" t="s">
        <v>3362</v>
      </c>
      <c r="B6734" s="525"/>
      <c r="C6734" s="525" t="s">
        <v>205</v>
      </c>
      <c r="D6734" s="3" t="s">
        <v>11</v>
      </c>
      <c r="E6734" s="1497">
        <v>130720</v>
      </c>
      <c r="F6734" s="1497"/>
      <c r="G6734" s="525" t="s">
        <v>27</v>
      </c>
      <c r="H6734" s="3"/>
    </row>
    <row r="6735" spans="1:8">
      <c r="A6735" s="526">
        <v>45595</v>
      </c>
      <c r="B6735" s="525"/>
      <c r="C6735" s="525" t="s">
        <v>205</v>
      </c>
      <c r="D6735" s="15" t="s">
        <v>45</v>
      </c>
      <c r="E6735" s="1497">
        <v>176000</v>
      </c>
      <c r="F6735" s="1497"/>
      <c r="G6735" s="525" t="s">
        <v>27</v>
      </c>
      <c r="H6735" s="3"/>
    </row>
    <row r="6736" spans="1:8">
      <c r="A6736" s="526">
        <v>45595</v>
      </c>
      <c r="B6736" s="525"/>
      <c r="C6736" s="525" t="s">
        <v>77</v>
      </c>
      <c r="D6736" s="3" t="s">
        <v>3363</v>
      </c>
      <c r="E6736" s="1497"/>
      <c r="F6736" s="1497">
        <v>3657700</v>
      </c>
      <c r="G6736" s="525" t="s">
        <v>72</v>
      </c>
      <c r="H6736" s="3" t="s">
        <v>3364</v>
      </c>
    </row>
    <row r="6737" spans="1:8">
      <c r="A6737" s="528">
        <v>45595</v>
      </c>
      <c r="B6737" s="525"/>
      <c r="C6737" s="525" t="s">
        <v>86</v>
      </c>
      <c r="D6737" s="3" t="s">
        <v>107</v>
      </c>
      <c r="E6737" s="1497">
        <v>30070</v>
      </c>
      <c r="F6737" s="1497"/>
      <c r="G6737" s="525" t="s">
        <v>27</v>
      </c>
      <c r="H6737" s="3"/>
    </row>
    <row r="6738" spans="1:8">
      <c r="A6738" s="528">
        <v>45596</v>
      </c>
      <c r="B6738" s="525"/>
      <c r="C6738" s="525" t="s">
        <v>205</v>
      </c>
      <c r="D6738" s="3" t="s">
        <v>190</v>
      </c>
      <c r="E6738" s="1497">
        <v>500000</v>
      </c>
      <c r="F6738" s="1497"/>
      <c r="G6738" s="525" t="s">
        <v>72</v>
      </c>
      <c r="H6738" s="3" t="s">
        <v>3344</v>
      </c>
    </row>
    <row r="6739" spans="1:8">
      <c r="A6739" s="528">
        <v>45596</v>
      </c>
      <c r="B6739" s="525"/>
      <c r="C6739" s="525" t="s">
        <v>79</v>
      </c>
      <c r="D6739" s="3" t="s">
        <v>3365</v>
      </c>
      <c r="E6739" s="1497">
        <v>604395</v>
      </c>
      <c r="F6739" s="1497"/>
      <c r="G6739" s="525" t="s">
        <v>27</v>
      </c>
      <c r="H6739" s="3"/>
    </row>
    <row r="6740" spans="1:8">
      <c r="A6740" s="530">
        <v>45597</v>
      </c>
      <c r="B6740" s="525"/>
      <c r="C6740" s="525" t="s">
        <v>77</v>
      </c>
      <c r="D6740" s="3" t="s">
        <v>3366</v>
      </c>
      <c r="E6740" s="1497"/>
      <c r="F6740" s="1497">
        <v>1062490</v>
      </c>
      <c r="G6740" s="525" t="s">
        <v>781</v>
      </c>
      <c r="H6740" s="3" t="s">
        <v>3367</v>
      </c>
    </row>
    <row r="6741" spans="1:8">
      <c r="A6741" s="530">
        <v>45597</v>
      </c>
      <c r="B6741" s="527"/>
      <c r="C6741" s="527" t="s">
        <v>86</v>
      </c>
      <c r="D6741" s="3" t="s">
        <v>104</v>
      </c>
      <c r="E6741" s="1497">
        <v>20000</v>
      </c>
      <c r="F6741" s="1497"/>
      <c r="G6741" s="527" t="s">
        <v>56</v>
      </c>
      <c r="H6741" s="3"/>
    </row>
    <row r="6742" spans="1:8">
      <c r="A6742" s="530">
        <v>45597</v>
      </c>
      <c r="B6742" s="529"/>
      <c r="C6742" s="529" t="s">
        <v>205</v>
      </c>
      <c r="D6742" s="3" t="s">
        <v>3368</v>
      </c>
      <c r="E6742" s="1497">
        <v>281710</v>
      </c>
      <c r="F6742" s="1497"/>
      <c r="G6742" s="529" t="s">
        <v>287</v>
      </c>
      <c r="H6742" s="71" t="s">
        <v>3369</v>
      </c>
    </row>
    <row r="6743" spans="1:8">
      <c r="A6743" s="530">
        <v>45597</v>
      </c>
      <c r="B6743" s="529"/>
      <c r="C6743" s="529" t="s">
        <v>205</v>
      </c>
      <c r="D6743" s="3" t="s">
        <v>3370</v>
      </c>
      <c r="E6743" s="1497">
        <v>90000</v>
      </c>
      <c r="F6743" s="1497"/>
      <c r="G6743" s="529" t="s">
        <v>27</v>
      </c>
      <c r="H6743" s="3"/>
    </row>
    <row r="6744" spans="1:8">
      <c r="A6744" s="530">
        <v>45597</v>
      </c>
      <c r="B6744" s="529"/>
      <c r="C6744" s="529" t="s">
        <v>205</v>
      </c>
      <c r="D6744" s="3" t="s">
        <v>38</v>
      </c>
      <c r="E6744" s="1497">
        <v>13316.09</v>
      </c>
      <c r="F6744" s="1497"/>
      <c r="G6744" s="529" t="s">
        <v>56</v>
      </c>
      <c r="H6744" s="3"/>
    </row>
    <row r="6745" spans="1:8">
      <c r="A6745" s="530">
        <v>45597</v>
      </c>
      <c r="B6745" s="529"/>
      <c r="C6745" s="529" t="s">
        <v>205</v>
      </c>
      <c r="D6745" s="15" t="s">
        <v>3371</v>
      </c>
      <c r="E6745" s="1497">
        <v>6800</v>
      </c>
      <c r="F6745" s="1497"/>
      <c r="G6745" s="529" t="s">
        <v>56</v>
      </c>
      <c r="H6745" s="3"/>
    </row>
    <row r="6746" spans="1:8">
      <c r="A6746" s="530">
        <v>45597</v>
      </c>
      <c r="B6746" s="529"/>
      <c r="C6746" s="529" t="s">
        <v>537</v>
      </c>
      <c r="D6746" s="3" t="s">
        <v>208</v>
      </c>
      <c r="E6746" s="1497">
        <v>96000</v>
      </c>
      <c r="F6746" s="1497"/>
      <c r="G6746" s="529" t="s">
        <v>56</v>
      </c>
      <c r="H6746" s="3"/>
    </row>
    <row r="6747" spans="1:8">
      <c r="A6747" s="530">
        <v>45597</v>
      </c>
      <c r="B6747" s="529"/>
      <c r="C6747" s="529" t="s">
        <v>537</v>
      </c>
      <c r="D6747" s="3" t="s">
        <v>193</v>
      </c>
      <c r="E6747" s="1497">
        <v>110000</v>
      </c>
      <c r="F6747" s="1497"/>
      <c r="G6747" s="529" t="s">
        <v>27</v>
      </c>
      <c r="H6747" s="3"/>
    </row>
    <row r="6748" spans="1:8">
      <c r="A6748" s="530">
        <v>45597</v>
      </c>
      <c r="B6748" s="529"/>
      <c r="C6748" s="529" t="s">
        <v>537</v>
      </c>
      <c r="D6748" s="15" t="s">
        <v>219</v>
      </c>
      <c r="E6748" s="1497">
        <v>160000</v>
      </c>
      <c r="F6748" s="1497"/>
      <c r="G6748" s="529" t="s">
        <v>56</v>
      </c>
      <c r="H6748" s="3"/>
    </row>
    <row r="6749" spans="1:8">
      <c r="A6749" s="530">
        <v>45597</v>
      </c>
      <c r="B6749" s="529"/>
      <c r="C6749" s="529" t="s">
        <v>537</v>
      </c>
      <c r="D6749" s="15" t="s">
        <v>2638</v>
      </c>
      <c r="E6749" s="1497">
        <v>310000</v>
      </c>
      <c r="F6749" s="1497"/>
      <c r="G6749" s="529" t="s">
        <v>56</v>
      </c>
      <c r="H6749" s="3"/>
    </row>
    <row r="6750" spans="1:8">
      <c r="A6750" s="532">
        <v>45597</v>
      </c>
      <c r="B6750" s="531"/>
      <c r="C6750" s="531" t="s">
        <v>79</v>
      </c>
      <c r="D6750" s="15" t="s">
        <v>2188</v>
      </c>
      <c r="E6750" s="1497" t="s">
        <v>3378</v>
      </c>
      <c r="F6750" s="1497"/>
      <c r="G6750" s="531" t="s">
        <v>27</v>
      </c>
      <c r="H6750" s="3"/>
    </row>
    <row r="6751" spans="1:8">
      <c r="A6751" s="532">
        <v>45597</v>
      </c>
      <c r="B6751" s="531"/>
      <c r="C6751" s="531" t="s">
        <v>65</v>
      </c>
      <c r="D6751" s="15" t="s">
        <v>2552</v>
      </c>
      <c r="E6751" s="1497">
        <v>11323.06</v>
      </c>
      <c r="F6751" s="1497"/>
      <c r="G6751" s="531" t="s">
        <v>27</v>
      </c>
      <c r="H6751" s="3"/>
    </row>
    <row r="6752" spans="1:8">
      <c r="A6752" s="532">
        <v>45597</v>
      </c>
      <c r="B6752" s="531"/>
      <c r="C6752" s="531" t="s">
        <v>65</v>
      </c>
      <c r="D6752" s="15" t="s">
        <v>2553</v>
      </c>
      <c r="E6752" s="1497">
        <v>11323.06</v>
      </c>
      <c r="F6752" s="1497"/>
      <c r="G6752" s="531" t="s">
        <v>27</v>
      </c>
      <c r="H6752" s="3"/>
    </row>
    <row r="6753" spans="1:8" ht="15.75" thickBot="1">
      <c r="H6753" s="209">
        <v>45597</v>
      </c>
    </row>
    <row r="6754" spans="1:8">
      <c r="H6754" s="199" t="s">
        <v>3124</v>
      </c>
    </row>
    <row r="6755" spans="1:8">
      <c r="H6755" s="137" t="s">
        <v>3374</v>
      </c>
    </row>
    <row r="6756" spans="1:8">
      <c r="H6756" s="138" t="s">
        <v>2692</v>
      </c>
    </row>
    <row r="6757" spans="1:8">
      <c r="H6757" s="138" t="s">
        <v>677</v>
      </c>
    </row>
    <row r="6758" spans="1:8">
      <c r="H6758" s="138" t="s">
        <v>3372</v>
      </c>
    </row>
    <row r="6759" spans="1:8">
      <c r="H6759" s="138" t="s">
        <v>3373</v>
      </c>
    </row>
    <row r="6760" spans="1:8">
      <c r="H6760" s="138" t="s">
        <v>3375</v>
      </c>
    </row>
    <row r="6761" spans="1:8">
      <c r="H6761" s="138" t="s">
        <v>3377</v>
      </c>
    </row>
    <row r="6762" spans="1:8">
      <c r="H6762" s="138" t="s">
        <v>2151</v>
      </c>
    </row>
    <row r="6763" spans="1:8" ht="15.75" thickBot="1">
      <c r="H6763" s="139" t="s">
        <v>3376</v>
      </c>
    </row>
    <row r="6764" spans="1:8" ht="15.75" thickBot="1">
      <c r="H6764" s="359">
        <v>17175236.18</v>
      </c>
    </row>
    <row r="6765" spans="1:8">
      <c r="A6765" s="532">
        <v>45600</v>
      </c>
      <c r="B6765" s="531"/>
      <c r="C6765" s="531" t="s">
        <v>79</v>
      </c>
      <c r="D6765" s="3" t="s">
        <v>79</v>
      </c>
      <c r="E6765" s="1497">
        <v>35900</v>
      </c>
      <c r="F6765" s="1497"/>
      <c r="G6765" s="531" t="s">
        <v>27</v>
      </c>
      <c r="H6765" s="5"/>
    </row>
    <row r="6766" spans="1:8">
      <c r="A6766" s="532">
        <v>45600</v>
      </c>
      <c r="B6766" s="531"/>
      <c r="C6766" s="531" t="s">
        <v>92</v>
      </c>
      <c r="D6766" s="3" t="s">
        <v>3379</v>
      </c>
      <c r="E6766" s="1497"/>
      <c r="F6766" s="1497">
        <v>35000</v>
      </c>
      <c r="G6766" s="531" t="s">
        <v>27</v>
      </c>
      <c r="H6766" s="3"/>
    </row>
    <row r="6767" spans="1:8">
      <c r="A6767" s="532">
        <v>45600</v>
      </c>
      <c r="B6767" s="531"/>
      <c r="C6767" s="531" t="s">
        <v>537</v>
      </c>
      <c r="D6767" s="3" t="s">
        <v>208</v>
      </c>
      <c r="E6767" s="1497">
        <v>100000</v>
      </c>
      <c r="F6767" s="1497"/>
      <c r="G6767" s="531" t="s">
        <v>27</v>
      </c>
      <c r="H6767" s="3"/>
    </row>
    <row r="6768" spans="1:8">
      <c r="A6768" s="533">
        <v>45601</v>
      </c>
      <c r="B6768" s="531"/>
      <c r="C6768" s="531" t="s">
        <v>79</v>
      </c>
      <c r="D6768" s="3" t="s">
        <v>667</v>
      </c>
      <c r="E6768" s="1497">
        <v>5110</v>
      </c>
      <c r="F6768" s="1497"/>
      <c r="G6768" s="531" t="s">
        <v>27</v>
      </c>
      <c r="H6768" s="3"/>
    </row>
    <row r="6769" spans="1:8">
      <c r="A6769" s="533">
        <v>45601</v>
      </c>
      <c r="B6769" s="531"/>
      <c r="C6769" s="531" t="s">
        <v>92</v>
      </c>
      <c r="D6769" s="3" t="s">
        <v>1308</v>
      </c>
      <c r="E6769" s="1497"/>
      <c r="F6769" s="1497">
        <v>132000</v>
      </c>
      <c r="G6769" s="531" t="s">
        <v>27</v>
      </c>
      <c r="H6769" s="3"/>
    </row>
    <row r="6770" spans="1:8">
      <c r="A6770" s="533">
        <v>45601</v>
      </c>
      <c r="B6770" s="531"/>
      <c r="C6770" s="531" t="s">
        <v>92</v>
      </c>
      <c r="D6770" s="3" t="s">
        <v>1763</v>
      </c>
      <c r="E6770" s="1497"/>
      <c r="F6770" s="1497">
        <v>132000</v>
      </c>
      <c r="G6770" s="531" t="s">
        <v>56</v>
      </c>
      <c r="H6770" s="3"/>
    </row>
    <row r="6771" spans="1:8">
      <c r="A6771" s="533">
        <v>45601</v>
      </c>
      <c r="B6771" s="531"/>
      <c r="C6771" s="531" t="s">
        <v>94</v>
      </c>
      <c r="D6771" s="3" t="s">
        <v>1280</v>
      </c>
      <c r="E6771" s="1497">
        <v>42692.77</v>
      </c>
      <c r="F6771" s="1497"/>
      <c r="G6771" s="531" t="s">
        <v>27</v>
      </c>
      <c r="H6771" s="3"/>
    </row>
    <row r="6772" spans="1:8">
      <c r="A6772" s="119">
        <v>45601</v>
      </c>
      <c r="B6772" s="57"/>
      <c r="C6772" s="57" t="s">
        <v>94</v>
      </c>
      <c r="D6772" s="85" t="s">
        <v>3380</v>
      </c>
      <c r="E6772" s="57">
        <v>59807.21</v>
      </c>
      <c r="F6772" s="57"/>
      <c r="G6772" s="57" t="s">
        <v>27</v>
      </c>
      <c r="H6772" s="85"/>
    </row>
    <row r="6773" spans="1:8">
      <c r="A6773" s="537">
        <v>45601</v>
      </c>
      <c r="B6773" s="536"/>
      <c r="C6773" s="536"/>
      <c r="D6773" s="15" t="s">
        <v>79</v>
      </c>
      <c r="E6773" s="1497">
        <v>20000</v>
      </c>
      <c r="F6773" s="1497"/>
      <c r="G6773" s="536" t="s">
        <v>56</v>
      </c>
      <c r="H6773" s="3"/>
    </row>
    <row r="6774" spans="1:8" ht="15.75" thickBot="1">
      <c r="H6774" s="209">
        <v>45601</v>
      </c>
    </row>
    <row r="6775" spans="1:8">
      <c r="H6775" s="199" t="s">
        <v>3124</v>
      </c>
    </row>
    <row r="6776" spans="1:8">
      <c r="H6776" s="137" t="s">
        <v>3383</v>
      </c>
    </row>
    <row r="6777" spans="1:8">
      <c r="H6777" s="138" t="s">
        <v>3382</v>
      </c>
    </row>
    <row r="6778" spans="1:8">
      <c r="H6778" s="138" t="s">
        <v>677</v>
      </c>
    </row>
    <row r="6779" spans="1:8">
      <c r="H6779" s="138" t="s">
        <v>3372</v>
      </c>
    </row>
    <row r="6780" spans="1:8">
      <c r="H6780" s="138" t="s">
        <v>3373</v>
      </c>
    </row>
    <row r="6781" spans="1:8">
      <c r="H6781" s="138" t="s">
        <v>3384</v>
      </c>
    </row>
    <row r="6782" spans="1:8">
      <c r="H6782" s="138" t="s">
        <v>3377</v>
      </c>
    </row>
    <row r="6783" spans="1:8" ht="15.75" thickBot="1">
      <c r="H6783" s="139" t="s">
        <v>2151</v>
      </c>
    </row>
    <row r="6784" spans="1:8" ht="15.75" thickBot="1">
      <c r="H6784" s="538" t="s">
        <v>3376</v>
      </c>
    </row>
    <row r="6785" spans="1:8">
      <c r="A6785" s="535">
        <v>45603</v>
      </c>
      <c r="B6785" s="534"/>
      <c r="C6785" s="534" t="s">
        <v>92</v>
      </c>
      <c r="D6785" s="3" t="s">
        <v>2678</v>
      </c>
      <c r="E6785" s="1497"/>
      <c r="F6785" s="1497">
        <v>25600</v>
      </c>
      <c r="G6785" s="534" t="s">
        <v>56</v>
      </c>
      <c r="H6785" s="183"/>
    </row>
    <row r="6786" spans="1:8">
      <c r="A6786" s="535">
        <v>45603</v>
      </c>
      <c r="B6786" s="534"/>
      <c r="C6786" s="534" t="s">
        <v>55</v>
      </c>
      <c r="D6786" s="3" t="s">
        <v>562</v>
      </c>
      <c r="E6786" s="1497">
        <v>12250</v>
      </c>
      <c r="F6786" s="1497"/>
      <c r="G6786" s="534" t="s">
        <v>56</v>
      </c>
      <c r="H6786" s="3"/>
    </row>
    <row r="6787" spans="1:8">
      <c r="A6787" s="535">
        <v>45603</v>
      </c>
      <c r="B6787" s="534"/>
      <c r="C6787" s="534" t="s">
        <v>68</v>
      </c>
      <c r="D6787" s="3" t="s">
        <v>2017</v>
      </c>
      <c r="E6787" s="1497">
        <v>10500</v>
      </c>
      <c r="F6787" s="1497"/>
      <c r="G6787" s="534" t="s">
        <v>56</v>
      </c>
      <c r="H6787" s="3"/>
    </row>
    <row r="6788" spans="1:8">
      <c r="A6788" s="535">
        <v>45603</v>
      </c>
      <c r="B6788" s="534"/>
      <c r="C6788" s="534" t="s">
        <v>86</v>
      </c>
      <c r="D6788" s="3" t="s">
        <v>104</v>
      </c>
      <c r="E6788" s="1497">
        <v>15000</v>
      </c>
      <c r="F6788" s="1497"/>
      <c r="G6788" s="534" t="s">
        <v>56</v>
      </c>
      <c r="H6788" s="3"/>
    </row>
    <row r="6789" spans="1:8">
      <c r="A6789" s="535">
        <v>45604</v>
      </c>
      <c r="B6789" s="534"/>
      <c r="C6789" s="534" t="s">
        <v>55</v>
      </c>
      <c r="D6789" s="3" t="s">
        <v>514</v>
      </c>
      <c r="E6789" s="1497">
        <v>6000</v>
      </c>
      <c r="F6789" s="1497"/>
      <c r="G6789" s="534" t="s">
        <v>56</v>
      </c>
      <c r="H6789" s="3"/>
    </row>
    <row r="6790" spans="1:8">
      <c r="A6790" s="535">
        <v>45604</v>
      </c>
      <c r="B6790" s="534"/>
      <c r="C6790" s="534" t="s">
        <v>79</v>
      </c>
      <c r="D6790" s="3" t="s">
        <v>2393</v>
      </c>
      <c r="E6790" s="1497">
        <v>45562</v>
      </c>
      <c r="F6790" s="1497"/>
      <c r="G6790" s="534" t="s">
        <v>27</v>
      </c>
      <c r="H6790" s="3"/>
    </row>
    <row r="6791" spans="1:8">
      <c r="A6791" s="535">
        <v>45604</v>
      </c>
      <c r="B6791" s="534"/>
      <c r="C6791" s="534" t="s">
        <v>29</v>
      </c>
      <c r="D6791" s="3" t="s">
        <v>3385</v>
      </c>
      <c r="E6791" s="1497">
        <v>2000</v>
      </c>
      <c r="F6791" s="1497"/>
      <c r="G6791" s="534" t="s">
        <v>56</v>
      </c>
      <c r="H6791" s="3"/>
    </row>
    <row r="6792" spans="1:8">
      <c r="A6792" s="535">
        <v>45604</v>
      </c>
      <c r="B6792" s="534"/>
      <c r="C6792" s="534" t="s">
        <v>29</v>
      </c>
      <c r="D6792" s="3" t="s">
        <v>3386</v>
      </c>
      <c r="E6792" s="1497">
        <v>6900</v>
      </c>
      <c r="F6792" s="1497"/>
      <c r="G6792" s="534" t="s">
        <v>56</v>
      </c>
      <c r="H6792" s="3"/>
    </row>
    <row r="6793" spans="1:8">
      <c r="A6793" s="535">
        <v>45604</v>
      </c>
      <c r="B6793" s="534"/>
      <c r="C6793" s="534" t="s">
        <v>92</v>
      </c>
      <c r="D6793" s="3" t="s">
        <v>3387</v>
      </c>
      <c r="E6793" s="1497"/>
      <c r="F6793" s="1497">
        <v>120000</v>
      </c>
      <c r="G6793" s="534" t="s">
        <v>56</v>
      </c>
      <c r="H6793" s="3"/>
    </row>
    <row r="6794" spans="1:8">
      <c r="A6794" s="535">
        <v>45604</v>
      </c>
      <c r="B6794" s="534"/>
      <c r="C6794" s="534" t="s">
        <v>92</v>
      </c>
      <c r="D6794" s="3" t="s">
        <v>3388</v>
      </c>
      <c r="E6794" s="1497"/>
      <c r="F6794" s="1497">
        <v>934200</v>
      </c>
      <c r="G6794" s="534" t="s">
        <v>56</v>
      </c>
      <c r="H6794" s="3"/>
    </row>
    <row r="6795" spans="1:8">
      <c r="A6795" s="535">
        <v>45604</v>
      </c>
      <c r="B6795" s="534"/>
      <c r="C6795" s="534" t="s">
        <v>205</v>
      </c>
      <c r="D6795" s="3" t="s">
        <v>787</v>
      </c>
      <c r="E6795" s="1497">
        <v>4000</v>
      </c>
      <c r="F6795" s="1497"/>
      <c r="G6795" s="534" t="s">
        <v>56</v>
      </c>
      <c r="H6795" s="3"/>
    </row>
    <row r="6796" spans="1:8">
      <c r="A6796" s="535">
        <v>45605</v>
      </c>
      <c r="B6796" s="534"/>
      <c r="C6796" s="534" t="s">
        <v>205</v>
      </c>
      <c r="D6796" s="3" t="s">
        <v>45</v>
      </c>
      <c r="E6796" s="1497">
        <v>380000</v>
      </c>
      <c r="F6796" s="1497"/>
      <c r="G6796" s="534" t="s">
        <v>56</v>
      </c>
      <c r="H6796" s="3"/>
    </row>
    <row r="6797" spans="1:8">
      <c r="A6797" s="537">
        <v>45608</v>
      </c>
      <c r="B6797" s="536"/>
      <c r="C6797" s="536" t="s">
        <v>537</v>
      </c>
      <c r="D6797" s="3" t="s">
        <v>3395</v>
      </c>
      <c r="E6797" s="1497">
        <v>46000</v>
      </c>
      <c r="F6797" s="1497"/>
      <c r="G6797" s="536" t="s">
        <v>56</v>
      </c>
      <c r="H6797" s="3"/>
    </row>
    <row r="6798" spans="1:8">
      <c r="A6798" s="535">
        <v>45605</v>
      </c>
      <c r="B6798" s="534"/>
      <c r="C6798" s="534" t="s">
        <v>537</v>
      </c>
      <c r="D6798" s="3" t="s">
        <v>208</v>
      </c>
      <c r="E6798" s="1497">
        <v>46000</v>
      </c>
      <c r="F6798" s="1497"/>
      <c r="G6798" s="534" t="s">
        <v>56</v>
      </c>
      <c r="H6798" s="3"/>
    </row>
    <row r="6799" spans="1:8">
      <c r="A6799" s="535">
        <v>45605</v>
      </c>
      <c r="B6799" s="534"/>
      <c r="C6799" s="534" t="s">
        <v>537</v>
      </c>
      <c r="D6799" s="3" t="s">
        <v>219</v>
      </c>
      <c r="E6799" s="1497">
        <v>160000</v>
      </c>
      <c r="F6799" s="1497"/>
      <c r="G6799" s="534" t="s">
        <v>56</v>
      </c>
      <c r="H6799" s="3"/>
    </row>
    <row r="6800" spans="1:8">
      <c r="A6800" s="535">
        <v>45605</v>
      </c>
      <c r="B6800" s="534"/>
      <c r="C6800" s="534" t="s">
        <v>537</v>
      </c>
      <c r="D6800" s="3" t="s">
        <v>193</v>
      </c>
      <c r="E6800" s="1497">
        <v>110000</v>
      </c>
      <c r="F6800" s="1497"/>
      <c r="G6800" s="534" t="s">
        <v>56</v>
      </c>
      <c r="H6800" s="3"/>
    </row>
    <row r="6801" spans="1:8">
      <c r="A6801" s="535">
        <v>45605</v>
      </c>
      <c r="B6801" s="534"/>
      <c r="C6801" s="534" t="s">
        <v>537</v>
      </c>
      <c r="D6801" s="3" t="s">
        <v>144</v>
      </c>
      <c r="E6801" s="1497">
        <v>310000</v>
      </c>
      <c r="F6801" s="1497"/>
      <c r="G6801" s="534" t="s">
        <v>3047</v>
      </c>
      <c r="H6801" s="3"/>
    </row>
    <row r="6802" spans="1:8">
      <c r="A6802" s="535">
        <v>45607</v>
      </c>
      <c r="B6802" s="534"/>
      <c r="C6802" s="534" t="s">
        <v>79</v>
      </c>
      <c r="D6802" s="3" t="s">
        <v>3389</v>
      </c>
      <c r="E6802" s="1497">
        <v>59029.1</v>
      </c>
      <c r="F6802" s="1497"/>
      <c r="G6802" s="534" t="s">
        <v>27</v>
      </c>
      <c r="H6802" s="3"/>
    </row>
    <row r="6803" spans="1:8">
      <c r="A6803" s="535">
        <v>45607</v>
      </c>
      <c r="B6803" s="534"/>
      <c r="C6803" s="534" t="s">
        <v>79</v>
      </c>
      <c r="D6803" s="3" t="s">
        <v>79</v>
      </c>
      <c r="E6803" s="1497">
        <v>76820</v>
      </c>
      <c r="F6803" s="1497"/>
      <c r="G6803" s="534" t="s">
        <v>27</v>
      </c>
      <c r="H6803" s="3"/>
    </row>
    <row r="6804" spans="1:8">
      <c r="A6804" s="535">
        <v>45607</v>
      </c>
      <c r="B6804" s="534"/>
      <c r="C6804" s="534" t="s">
        <v>174</v>
      </c>
      <c r="D6804" s="3" t="s">
        <v>2630</v>
      </c>
      <c r="E6804" s="1497">
        <v>29253</v>
      </c>
      <c r="F6804" s="1497"/>
      <c r="G6804" s="534" t="s">
        <v>27</v>
      </c>
      <c r="H6804" s="3"/>
    </row>
    <row r="6805" spans="1:8">
      <c r="A6805" s="535">
        <v>45607</v>
      </c>
      <c r="B6805" s="534"/>
      <c r="C6805" s="534" t="s">
        <v>92</v>
      </c>
      <c r="D6805" s="3" t="s">
        <v>3390</v>
      </c>
      <c r="E6805" s="1497"/>
      <c r="F6805" s="1497">
        <v>500000</v>
      </c>
      <c r="G6805" s="534" t="s">
        <v>72</v>
      </c>
      <c r="H6805" s="45" t="s">
        <v>3391</v>
      </c>
    </row>
    <row r="6806" spans="1:8">
      <c r="A6806" s="535">
        <v>45607</v>
      </c>
      <c r="B6806" s="534"/>
      <c r="C6806" s="534" t="s">
        <v>92</v>
      </c>
      <c r="D6806" s="3" t="s">
        <v>3390</v>
      </c>
      <c r="E6806" s="1497"/>
      <c r="F6806" s="1497">
        <v>590000</v>
      </c>
      <c r="G6806" s="534" t="s">
        <v>56</v>
      </c>
      <c r="H6806" s="3"/>
    </row>
    <row r="6807" spans="1:8">
      <c r="A6807" s="535">
        <v>45607</v>
      </c>
      <c r="B6807" s="534"/>
      <c r="C6807" s="534" t="s">
        <v>92</v>
      </c>
      <c r="D6807" s="3" t="s">
        <v>1738</v>
      </c>
      <c r="E6807" s="1497"/>
      <c r="F6807" s="1497">
        <v>74000</v>
      </c>
      <c r="G6807" s="534" t="s">
        <v>56</v>
      </c>
      <c r="H6807" s="3"/>
    </row>
    <row r="6808" spans="1:8">
      <c r="A6808" s="535">
        <v>45607</v>
      </c>
      <c r="B6808" s="534"/>
      <c r="C6808" s="534" t="s">
        <v>55</v>
      </c>
      <c r="D6808" s="3" t="s">
        <v>177</v>
      </c>
      <c r="E6808" s="1497">
        <v>1000</v>
      </c>
      <c r="F6808" s="1497"/>
      <c r="G6808" s="534" t="s">
        <v>56</v>
      </c>
      <c r="H6808" s="3"/>
    </row>
    <row r="6809" spans="1:8">
      <c r="A6809" s="537">
        <v>45608</v>
      </c>
      <c r="B6809" s="534"/>
      <c r="C6809" s="534" t="s">
        <v>94</v>
      </c>
      <c r="D6809" s="3" t="s">
        <v>2115</v>
      </c>
      <c r="E6809" s="1497"/>
      <c r="F6809" s="1497">
        <v>701893.27</v>
      </c>
      <c r="G6809" s="534" t="s">
        <v>27</v>
      </c>
      <c r="H6809" s="3"/>
    </row>
    <row r="6810" spans="1:8">
      <c r="A6810" s="537">
        <v>45608</v>
      </c>
      <c r="B6810" s="534"/>
      <c r="C6810" s="534" t="s">
        <v>3393</v>
      </c>
      <c r="D6810" s="3" t="s">
        <v>3392</v>
      </c>
      <c r="E6810" s="1497">
        <v>100000</v>
      </c>
      <c r="F6810" s="1497"/>
      <c r="G6810" s="534" t="s">
        <v>27</v>
      </c>
      <c r="H6810" s="3"/>
    </row>
    <row r="6811" spans="1:8">
      <c r="A6811" s="537">
        <v>45608</v>
      </c>
      <c r="B6811" s="534"/>
      <c r="C6811" s="534" t="s">
        <v>174</v>
      </c>
      <c r="D6811" s="3" t="s">
        <v>2490</v>
      </c>
      <c r="E6811" s="1497">
        <v>29253</v>
      </c>
      <c r="F6811" s="1497"/>
      <c r="G6811" s="534" t="s">
        <v>27</v>
      </c>
      <c r="H6811" s="3"/>
    </row>
    <row r="6812" spans="1:8">
      <c r="A6812" s="537">
        <v>45608</v>
      </c>
      <c r="B6812" s="534"/>
      <c r="C6812" s="534" t="s">
        <v>205</v>
      </c>
      <c r="D6812" s="3" t="s">
        <v>49</v>
      </c>
      <c r="E6812" s="1497">
        <v>500000</v>
      </c>
      <c r="F6812" s="1497"/>
      <c r="G6812" s="534" t="s">
        <v>72</v>
      </c>
      <c r="H6812" s="3"/>
    </row>
    <row r="6813" spans="1:8">
      <c r="A6813" s="537">
        <v>45608</v>
      </c>
      <c r="B6813" s="534"/>
      <c r="C6813" s="534"/>
      <c r="D6813" s="3" t="s">
        <v>347</v>
      </c>
      <c r="E6813" s="1497">
        <v>5000</v>
      </c>
      <c r="F6813" s="1497"/>
      <c r="G6813" s="534" t="s">
        <v>56</v>
      </c>
      <c r="H6813" s="3"/>
    </row>
    <row r="6814" spans="1:8">
      <c r="A6814" s="537">
        <v>45608</v>
      </c>
      <c r="B6814" s="534"/>
      <c r="C6814" s="534" t="s">
        <v>90</v>
      </c>
      <c r="D6814" s="3" t="s">
        <v>3116</v>
      </c>
      <c r="E6814" s="1497">
        <v>190584.76</v>
      </c>
      <c r="F6814" s="1497"/>
      <c r="G6814" s="534" t="s">
        <v>27</v>
      </c>
      <c r="H6814" s="3"/>
    </row>
    <row r="6815" spans="1:8">
      <c r="A6815" s="537">
        <v>45608</v>
      </c>
      <c r="B6815" s="534"/>
      <c r="C6815" s="534" t="s">
        <v>205</v>
      </c>
      <c r="D6815" s="3" t="s">
        <v>3394</v>
      </c>
      <c r="E6815" s="1497">
        <v>102667</v>
      </c>
      <c r="F6815" s="1497"/>
      <c r="G6815" s="534" t="s">
        <v>27</v>
      </c>
      <c r="H6815" s="3"/>
    </row>
    <row r="6816" spans="1:8">
      <c r="A6816" s="537">
        <v>45608</v>
      </c>
      <c r="B6816" s="534"/>
      <c r="C6816" s="534" t="s">
        <v>205</v>
      </c>
      <c r="D6816" s="3" t="s">
        <v>3397</v>
      </c>
      <c r="E6816" s="1497">
        <v>100000</v>
      </c>
      <c r="F6816" s="1497"/>
      <c r="G6816" s="534" t="s">
        <v>27</v>
      </c>
      <c r="H6816" s="3"/>
    </row>
    <row r="6817" spans="1:8">
      <c r="A6817" s="537">
        <v>45608</v>
      </c>
      <c r="B6817" s="534"/>
      <c r="C6817" s="534" t="s">
        <v>205</v>
      </c>
      <c r="D6817" s="3" t="s">
        <v>3396</v>
      </c>
      <c r="E6817" s="1497">
        <v>90000</v>
      </c>
      <c r="F6817" s="1497"/>
      <c r="G6817" s="534" t="s">
        <v>27</v>
      </c>
      <c r="H6817" s="3"/>
    </row>
    <row r="6818" spans="1:8">
      <c r="A6818" s="537">
        <v>45608</v>
      </c>
      <c r="B6818" s="534"/>
      <c r="C6818" s="534" t="s">
        <v>537</v>
      </c>
      <c r="D6818" s="3" t="s">
        <v>208</v>
      </c>
      <c r="E6818" s="1497">
        <v>100000</v>
      </c>
      <c r="F6818" s="1497"/>
      <c r="G6818" s="534" t="s">
        <v>27</v>
      </c>
      <c r="H6818" s="3"/>
    </row>
    <row r="6819" spans="1:8">
      <c r="A6819" s="540">
        <v>45608</v>
      </c>
      <c r="B6819" s="536"/>
      <c r="C6819" s="536" t="s">
        <v>176</v>
      </c>
      <c r="D6819" s="3" t="s">
        <v>175</v>
      </c>
      <c r="E6819" s="1497">
        <v>100000</v>
      </c>
      <c r="F6819" s="1497"/>
      <c r="G6819" s="539" t="s">
        <v>27</v>
      </c>
      <c r="H6819" s="3"/>
    </row>
    <row r="6820" spans="1:8">
      <c r="A6820" s="540">
        <v>45609</v>
      </c>
      <c r="B6820" s="536"/>
      <c r="C6820" s="536" t="s">
        <v>55</v>
      </c>
      <c r="D6820" s="3" t="s">
        <v>1546</v>
      </c>
      <c r="E6820" s="1497">
        <v>24000</v>
      </c>
      <c r="F6820" s="1497"/>
      <c r="G6820" s="536" t="s">
        <v>27</v>
      </c>
      <c r="H6820" s="3"/>
    </row>
    <row r="6821" spans="1:8">
      <c r="A6821" s="541">
        <v>45609</v>
      </c>
      <c r="B6821" s="536"/>
      <c r="C6821" s="536" t="s">
        <v>86</v>
      </c>
      <c r="D6821" s="3" t="s">
        <v>104</v>
      </c>
      <c r="E6821" s="1497">
        <v>20000</v>
      </c>
      <c r="F6821" s="1497"/>
      <c r="G6821" s="536" t="s">
        <v>27</v>
      </c>
      <c r="H6821" s="3"/>
    </row>
    <row r="6822" spans="1:8">
      <c r="A6822" s="542">
        <v>45610</v>
      </c>
      <c r="B6822" s="536"/>
      <c r="C6822" s="536" t="s">
        <v>205</v>
      </c>
      <c r="D6822" s="3" t="s">
        <v>63</v>
      </c>
      <c r="E6822" s="1497">
        <v>5021.99</v>
      </c>
      <c r="F6822" s="1497"/>
      <c r="G6822" s="536" t="s">
        <v>27</v>
      </c>
      <c r="H6822" s="3"/>
    </row>
    <row r="6823" spans="1:8">
      <c r="A6823" s="544">
        <v>45610</v>
      </c>
      <c r="B6823" s="536"/>
      <c r="C6823" s="536" t="s">
        <v>77</v>
      </c>
      <c r="D6823" s="3" t="s">
        <v>3398</v>
      </c>
      <c r="E6823" s="1497"/>
      <c r="F6823" s="1497">
        <v>3164000</v>
      </c>
      <c r="G6823" s="536" t="s">
        <v>781</v>
      </c>
      <c r="H6823" s="167" t="s">
        <v>3399</v>
      </c>
    </row>
    <row r="6824" spans="1:8">
      <c r="A6824" s="544">
        <v>45610</v>
      </c>
      <c r="B6824" s="536"/>
      <c r="C6824" s="536" t="s">
        <v>77</v>
      </c>
      <c r="D6824" s="3" t="s">
        <v>3398</v>
      </c>
      <c r="E6824" s="1497">
        <v>50000</v>
      </c>
      <c r="F6824" s="1497"/>
      <c r="G6824" s="536" t="s">
        <v>56</v>
      </c>
      <c r="H6824" s="3"/>
    </row>
    <row r="6825" spans="1:8">
      <c r="A6825" s="546">
        <v>45610</v>
      </c>
      <c r="B6825" s="543"/>
      <c r="C6825" s="543" t="s">
        <v>92</v>
      </c>
      <c r="D6825" s="3" t="s">
        <v>3400</v>
      </c>
      <c r="E6825" s="1497"/>
      <c r="F6825" s="1497">
        <v>112090</v>
      </c>
      <c r="G6825" s="543" t="s">
        <v>56</v>
      </c>
      <c r="H6825" s="3"/>
    </row>
    <row r="6826" spans="1:8">
      <c r="A6826" s="546">
        <v>45611</v>
      </c>
      <c r="B6826" s="543"/>
      <c r="C6826" s="543" t="s">
        <v>79</v>
      </c>
      <c r="D6826" s="3" t="s">
        <v>2711</v>
      </c>
      <c r="E6826" s="1497">
        <v>300000</v>
      </c>
      <c r="F6826" s="1497"/>
      <c r="G6826" s="543" t="s">
        <v>27</v>
      </c>
      <c r="H6826" s="3"/>
    </row>
    <row r="6827" spans="1:8">
      <c r="A6827" s="546">
        <v>45611</v>
      </c>
      <c r="B6827" s="543"/>
      <c r="C6827" s="543" t="s">
        <v>537</v>
      </c>
      <c r="D6827" s="3" t="s">
        <v>219</v>
      </c>
      <c r="E6827" s="1497">
        <v>160000</v>
      </c>
      <c r="F6827" s="1497"/>
      <c r="G6827" s="543" t="s">
        <v>56</v>
      </c>
      <c r="H6827" s="3"/>
    </row>
    <row r="6828" spans="1:8">
      <c r="A6828" s="546">
        <v>45611</v>
      </c>
      <c r="B6828" s="543"/>
      <c r="C6828" s="545" t="s">
        <v>537</v>
      </c>
      <c r="D6828" s="3" t="s">
        <v>144</v>
      </c>
      <c r="E6828" s="1497">
        <v>250000</v>
      </c>
      <c r="F6828" s="1497"/>
      <c r="G6828" s="543" t="s">
        <v>27</v>
      </c>
      <c r="H6828" s="3"/>
    </row>
    <row r="6829" spans="1:8">
      <c r="A6829" s="546">
        <v>45611</v>
      </c>
      <c r="B6829" s="543"/>
      <c r="C6829" s="545" t="s">
        <v>537</v>
      </c>
      <c r="D6829" s="3" t="s">
        <v>144</v>
      </c>
      <c r="E6829" s="1497">
        <v>30000</v>
      </c>
      <c r="F6829" s="1497"/>
      <c r="G6829" s="543" t="s">
        <v>27</v>
      </c>
      <c r="H6829" s="3"/>
    </row>
    <row r="6830" spans="1:8">
      <c r="A6830" s="546">
        <v>45611</v>
      </c>
      <c r="B6830" s="545"/>
      <c r="C6830" s="545" t="s">
        <v>537</v>
      </c>
      <c r="D6830" s="3" t="s">
        <v>144</v>
      </c>
      <c r="E6830" s="1497">
        <v>30000</v>
      </c>
      <c r="F6830" s="1497"/>
      <c r="G6830" s="545" t="s">
        <v>56</v>
      </c>
      <c r="H6830" s="3"/>
    </row>
    <row r="6831" spans="1:8">
      <c r="A6831" s="546">
        <v>45611</v>
      </c>
      <c r="B6831" s="545"/>
      <c r="C6831" s="545" t="s">
        <v>537</v>
      </c>
      <c r="D6831" s="3" t="s">
        <v>193</v>
      </c>
      <c r="E6831" s="1497">
        <v>110000</v>
      </c>
      <c r="F6831" s="1497"/>
      <c r="G6831" s="545" t="s">
        <v>56</v>
      </c>
      <c r="H6831" s="3"/>
    </row>
    <row r="6832" spans="1:8">
      <c r="A6832" s="546">
        <v>45611</v>
      </c>
      <c r="B6832" s="545"/>
      <c r="C6832" s="545"/>
      <c r="D6832" s="3" t="s">
        <v>347</v>
      </c>
      <c r="E6832" s="1497">
        <v>4000</v>
      </c>
      <c r="F6832" s="1497"/>
      <c r="G6832" s="545" t="s">
        <v>56</v>
      </c>
      <c r="H6832" s="3"/>
    </row>
    <row r="6833" spans="1:8">
      <c r="A6833" s="112">
        <v>45611</v>
      </c>
      <c r="B6833" s="70"/>
      <c r="C6833" s="70" t="s">
        <v>79</v>
      </c>
      <c r="D6833" s="113" t="s">
        <v>79</v>
      </c>
      <c r="E6833" s="70">
        <v>370000</v>
      </c>
      <c r="F6833" s="70"/>
      <c r="G6833" s="70" t="s">
        <v>56</v>
      </c>
      <c r="H6833" s="113"/>
    </row>
    <row r="6834" spans="1:8" ht="15.75" thickBot="1">
      <c r="A6834" s="545"/>
      <c r="B6834" s="545"/>
      <c r="C6834" s="545"/>
      <c r="D6834" s="3"/>
      <c r="E6834" s="1497"/>
      <c r="F6834" s="1497"/>
      <c r="G6834" s="545"/>
      <c r="H6834" s="85"/>
    </row>
    <row r="6835" spans="1:8" ht="15.75" thickBot="1">
      <c r="H6835" s="201">
        <v>45611</v>
      </c>
    </row>
    <row r="6836" spans="1:8">
      <c r="H6836" s="199" t="s">
        <v>3124</v>
      </c>
    </row>
    <row r="6837" spans="1:8">
      <c r="H6837" s="137" t="s">
        <v>3405</v>
      </c>
    </row>
    <row r="6838" spans="1:8">
      <c r="H6838" s="138" t="s">
        <v>3404</v>
      </c>
    </row>
    <row r="6839" spans="1:8">
      <c r="H6839" s="138" t="s">
        <v>1929</v>
      </c>
    </row>
    <row r="6840" spans="1:8">
      <c r="H6840" s="138" t="s">
        <v>3402</v>
      </c>
    </row>
    <row r="6841" spans="1:8">
      <c r="H6841" s="138" t="s">
        <v>3373</v>
      </c>
    </row>
    <row r="6842" spans="1:8">
      <c r="H6842" s="138" t="s">
        <v>3384</v>
      </c>
    </row>
    <row r="6843" spans="1:8">
      <c r="H6843" s="138" t="s">
        <v>3401</v>
      </c>
    </row>
    <row r="6844" spans="1:8" ht="15.75" thickBot="1">
      <c r="H6844" s="139" t="s">
        <v>2151</v>
      </c>
    </row>
    <row r="6845" spans="1:8">
      <c r="H6845" s="288" t="s">
        <v>3403</v>
      </c>
    </row>
    <row r="6846" spans="1:8">
      <c r="A6846" s="548">
        <v>45616</v>
      </c>
      <c r="B6846" s="547"/>
      <c r="C6846" s="547" t="s">
        <v>79</v>
      </c>
      <c r="D6846" s="3" t="s">
        <v>79</v>
      </c>
      <c r="E6846" s="1497">
        <v>120000</v>
      </c>
      <c r="F6846" s="1497"/>
      <c r="G6846" s="547" t="s">
        <v>56</v>
      </c>
      <c r="H6846" s="126"/>
    </row>
    <row r="6847" spans="1:8">
      <c r="A6847" s="548">
        <v>45616</v>
      </c>
      <c r="B6847" s="547"/>
      <c r="C6847" s="547" t="s">
        <v>79</v>
      </c>
      <c r="D6847" s="3" t="s">
        <v>3409</v>
      </c>
      <c r="E6847" s="1497">
        <v>75100</v>
      </c>
      <c r="F6847" s="1497"/>
      <c r="G6847" s="547" t="s">
        <v>27</v>
      </c>
      <c r="H6847" s="126"/>
    </row>
    <row r="6848" spans="1:8">
      <c r="A6848" s="548">
        <v>45616</v>
      </c>
      <c r="B6848" s="547"/>
      <c r="C6848" s="547" t="s">
        <v>79</v>
      </c>
      <c r="D6848" s="3" t="s">
        <v>2738</v>
      </c>
      <c r="E6848" s="1497">
        <v>168030</v>
      </c>
      <c r="F6848" s="1497"/>
      <c r="G6848" s="547" t="s">
        <v>27</v>
      </c>
      <c r="H6848" s="126"/>
    </row>
    <row r="6849" spans="1:8">
      <c r="A6849" s="548">
        <v>45616</v>
      </c>
      <c r="B6849" s="547"/>
      <c r="C6849" s="547" t="s">
        <v>86</v>
      </c>
      <c r="D6849" s="3" t="s">
        <v>3406</v>
      </c>
      <c r="E6849" s="1497">
        <v>15000</v>
      </c>
      <c r="F6849" s="1497"/>
      <c r="G6849" s="547" t="s">
        <v>27</v>
      </c>
      <c r="H6849" s="3"/>
    </row>
    <row r="6850" spans="1:8">
      <c r="A6850" s="548">
        <v>45616</v>
      </c>
      <c r="B6850" s="547"/>
      <c r="C6850" s="547" t="s">
        <v>55</v>
      </c>
      <c r="D6850" s="3" t="s">
        <v>3407</v>
      </c>
      <c r="E6850" s="1497">
        <v>7000</v>
      </c>
      <c r="F6850" s="1497"/>
      <c r="G6850" s="547" t="s">
        <v>56</v>
      </c>
      <c r="H6850" s="3"/>
    </row>
    <row r="6851" spans="1:8">
      <c r="A6851" s="548">
        <v>45616</v>
      </c>
      <c r="B6851" s="547"/>
      <c r="C6851" s="547" t="s">
        <v>55</v>
      </c>
      <c r="D6851" s="3" t="s">
        <v>63</v>
      </c>
      <c r="E6851" s="1497">
        <v>13664.34</v>
      </c>
      <c r="F6851" s="1497"/>
      <c r="G6851" s="547" t="s">
        <v>27</v>
      </c>
      <c r="H6851" s="3"/>
    </row>
    <row r="6852" spans="1:8">
      <c r="A6852" s="548">
        <v>45616</v>
      </c>
      <c r="B6852" s="547"/>
      <c r="C6852" s="547" t="s">
        <v>79</v>
      </c>
      <c r="D6852" s="3" t="s">
        <v>166</v>
      </c>
      <c r="E6852" s="1497">
        <v>394500</v>
      </c>
      <c r="F6852" s="1497"/>
      <c r="G6852" s="547" t="s">
        <v>27</v>
      </c>
      <c r="H6852" s="3"/>
    </row>
    <row r="6853" spans="1:8">
      <c r="A6853" s="548">
        <v>45617</v>
      </c>
      <c r="B6853" s="547"/>
      <c r="C6853" s="547" t="s">
        <v>55</v>
      </c>
      <c r="D6853" s="3" t="s">
        <v>70</v>
      </c>
      <c r="E6853" s="1497">
        <v>11100</v>
      </c>
      <c r="F6853" s="1497"/>
      <c r="G6853" s="547" t="s">
        <v>56</v>
      </c>
      <c r="H6853" s="3"/>
    </row>
    <row r="6854" spans="1:8">
      <c r="A6854" s="548">
        <v>45617</v>
      </c>
      <c r="B6854" s="547"/>
      <c r="C6854" s="547" t="s">
        <v>55</v>
      </c>
      <c r="D6854" s="15" t="s">
        <v>3408</v>
      </c>
      <c r="E6854" s="1497">
        <v>14200</v>
      </c>
      <c r="F6854" s="1497"/>
      <c r="G6854" s="547" t="s">
        <v>27</v>
      </c>
      <c r="H6854" s="3"/>
    </row>
    <row r="6855" spans="1:8">
      <c r="A6855" s="548">
        <v>45617</v>
      </c>
      <c r="B6855" s="547"/>
      <c r="C6855" s="547" t="s">
        <v>90</v>
      </c>
      <c r="D6855" s="15" t="s">
        <v>1951</v>
      </c>
      <c r="E6855" s="1497">
        <v>10500</v>
      </c>
      <c r="F6855" s="1497"/>
      <c r="G6855" s="547" t="s">
        <v>56</v>
      </c>
      <c r="H6855" s="3"/>
    </row>
    <row r="6856" spans="1:8">
      <c r="A6856" s="548">
        <v>45617</v>
      </c>
      <c r="B6856" s="547"/>
      <c r="C6856" s="547" t="s">
        <v>537</v>
      </c>
      <c r="D6856" s="15" t="s">
        <v>208</v>
      </c>
      <c r="E6856" s="1497">
        <v>146000</v>
      </c>
      <c r="F6856" s="1497"/>
      <c r="G6856" s="547" t="s">
        <v>56</v>
      </c>
      <c r="H6856" s="3"/>
    </row>
    <row r="6857" spans="1:8">
      <c r="A6857" s="548">
        <v>45617</v>
      </c>
      <c r="B6857" s="547"/>
      <c r="C6857" s="547" t="s">
        <v>537</v>
      </c>
      <c r="D6857" s="15" t="s">
        <v>219</v>
      </c>
      <c r="E6857" s="1497">
        <v>160000</v>
      </c>
      <c r="F6857" s="1497"/>
      <c r="G6857" s="547" t="s">
        <v>56</v>
      </c>
      <c r="H6857" s="3"/>
    </row>
    <row r="6858" spans="1:8">
      <c r="A6858" s="548">
        <v>45618</v>
      </c>
      <c r="B6858" s="547"/>
      <c r="C6858" s="547" t="s">
        <v>79</v>
      </c>
      <c r="D6858" s="15" t="s">
        <v>1553</v>
      </c>
      <c r="E6858" s="1497">
        <v>22000</v>
      </c>
      <c r="F6858" s="1497"/>
      <c r="G6858" s="547" t="s">
        <v>56</v>
      </c>
      <c r="H6858" s="3"/>
    </row>
    <row r="6859" spans="1:8">
      <c r="A6859" s="548">
        <v>45618</v>
      </c>
      <c r="B6859" s="547"/>
      <c r="C6859" s="547" t="s">
        <v>76</v>
      </c>
      <c r="D6859" s="15" t="s">
        <v>3413</v>
      </c>
      <c r="E6859" s="1497"/>
      <c r="F6859" s="1497">
        <v>225880</v>
      </c>
      <c r="G6859" s="547" t="s">
        <v>781</v>
      </c>
      <c r="H6859" s="3" t="s">
        <v>3410</v>
      </c>
    </row>
    <row r="6860" spans="1:8">
      <c r="A6860" s="548">
        <v>45618</v>
      </c>
      <c r="B6860" s="547"/>
      <c r="C6860" s="547" t="s">
        <v>537</v>
      </c>
      <c r="D6860" s="15" t="s">
        <v>193</v>
      </c>
      <c r="E6860" s="1497">
        <v>11000</v>
      </c>
      <c r="F6860" s="1497"/>
      <c r="G6860" s="547" t="s">
        <v>56</v>
      </c>
      <c r="H6860" s="3"/>
    </row>
    <row r="6861" spans="1:8">
      <c r="A6861" s="548">
        <v>45618</v>
      </c>
      <c r="B6861" s="547"/>
      <c r="C6861" s="547" t="s">
        <v>55</v>
      </c>
      <c r="D6861" s="15" t="s">
        <v>63</v>
      </c>
      <c r="E6861" s="1497">
        <v>6000</v>
      </c>
      <c r="F6861" s="1497"/>
      <c r="G6861" s="547" t="s">
        <v>56</v>
      </c>
      <c r="H6861" s="3"/>
    </row>
    <row r="6862" spans="1:8">
      <c r="A6862" s="548">
        <v>45621</v>
      </c>
      <c r="B6862" s="547"/>
      <c r="C6862" s="547" t="s">
        <v>537</v>
      </c>
      <c r="D6862" s="15" t="s">
        <v>144</v>
      </c>
      <c r="E6862" s="1497">
        <v>100000</v>
      </c>
      <c r="F6862" s="1497"/>
      <c r="G6862" s="547" t="s">
        <v>27</v>
      </c>
      <c r="H6862" s="3"/>
    </row>
    <row r="6863" spans="1:8">
      <c r="A6863" s="548">
        <v>45621</v>
      </c>
      <c r="B6863" s="547"/>
      <c r="C6863" s="547" t="s">
        <v>537</v>
      </c>
      <c r="D6863" s="15" t="s">
        <v>144</v>
      </c>
      <c r="E6863" s="1497">
        <v>180000</v>
      </c>
      <c r="F6863" s="1497"/>
      <c r="G6863" s="547" t="s">
        <v>27</v>
      </c>
      <c r="H6863" s="3"/>
    </row>
    <row r="6864" spans="1:8">
      <c r="A6864" s="548">
        <v>45621</v>
      </c>
      <c r="B6864" s="547"/>
      <c r="C6864" s="547" t="s">
        <v>537</v>
      </c>
      <c r="D6864" s="15" t="s">
        <v>144</v>
      </c>
      <c r="E6864" s="1497">
        <v>30000</v>
      </c>
      <c r="F6864" s="1497"/>
      <c r="G6864" s="547" t="s">
        <v>27</v>
      </c>
      <c r="H6864" s="3"/>
    </row>
    <row r="6865" spans="1:8">
      <c r="A6865" s="548">
        <v>45621</v>
      </c>
      <c r="B6865" s="547"/>
      <c r="C6865" s="547" t="s">
        <v>174</v>
      </c>
      <c r="D6865" s="3" t="s">
        <v>181</v>
      </c>
      <c r="E6865" s="1497">
        <v>50662.51</v>
      </c>
      <c r="F6865" s="1497"/>
      <c r="G6865" s="547" t="s">
        <v>27</v>
      </c>
      <c r="H6865" s="3"/>
    </row>
    <row r="6866" spans="1:8">
      <c r="A6866" s="548">
        <v>45621</v>
      </c>
      <c r="B6866" s="547"/>
      <c r="C6866" s="547" t="s">
        <v>174</v>
      </c>
      <c r="D6866" s="3" t="s">
        <v>3411</v>
      </c>
      <c r="E6866" s="1497">
        <v>9951.2099999999991</v>
      </c>
      <c r="F6866" s="1497"/>
      <c r="G6866" s="547" t="s">
        <v>27</v>
      </c>
      <c r="H6866" s="3"/>
    </row>
    <row r="6867" spans="1:8">
      <c r="A6867" s="548">
        <v>45621</v>
      </c>
      <c r="B6867" s="547"/>
      <c r="C6867" s="547" t="s">
        <v>174</v>
      </c>
      <c r="D6867" s="3" t="s">
        <v>3411</v>
      </c>
      <c r="E6867" s="1497">
        <v>10946.34</v>
      </c>
      <c r="F6867" s="1497"/>
      <c r="G6867" s="547" t="s">
        <v>27</v>
      </c>
      <c r="H6867" s="3"/>
    </row>
    <row r="6868" spans="1:8">
      <c r="A6868" s="548">
        <v>45621</v>
      </c>
      <c r="B6868" s="547"/>
      <c r="C6868" s="547" t="s">
        <v>537</v>
      </c>
      <c r="D6868" s="3" t="s">
        <v>208</v>
      </c>
      <c r="E6868" s="1497">
        <v>46000</v>
      </c>
      <c r="F6868" s="1497"/>
      <c r="G6868" s="547" t="s">
        <v>27</v>
      </c>
      <c r="H6868" s="3"/>
    </row>
    <row r="6869" spans="1:8">
      <c r="A6869" s="550">
        <v>45622</v>
      </c>
      <c r="B6869" s="547"/>
      <c r="C6869" s="547" t="s">
        <v>205</v>
      </c>
      <c r="D6869" s="3" t="s">
        <v>71</v>
      </c>
      <c r="E6869" s="1497">
        <v>104000</v>
      </c>
      <c r="F6869" s="1497"/>
      <c r="G6869" s="547" t="s">
        <v>27</v>
      </c>
      <c r="H6869" s="3"/>
    </row>
    <row r="6870" spans="1:8">
      <c r="A6870" s="550">
        <v>45622</v>
      </c>
      <c r="B6870" s="549"/>
      <c r="C6870" s="549" t="s">
        <v>86</v>
      </c>
      <c r="D6870" s="3" t="s">
        <v>104</v>
      </c>
      <c r="E6870" s="1497">
        <v>15000</v>
      </c>
      <c r="F6870" s="1497"/>
      <c r="G6870" s="549" t="s">
        <v>56</v>
      </c>
      <c r="H6870" s="3"/>
    </row>
    <row r="6871" spans="1:8">
      <c r="A6871" s="550">
        <v>45622</v>
      </c>
      <c r="B6871" s="549"/>
      <c r="C6871" s="549" t="s">
        <v>205</v>
      </c>
      <c r="D6871" s="3" t="s">
        <v>1852</v>
      </c>
      <c r="E6871" s="1497">
        <v>22500</v>
      </c>
      <c r="F6871" s="1497"/>
      <c r="G6871" s="549" t="s">
        <v>56</v>
      </c>
      <c r="H6871" s="3"/>
    </row>
    <row r="6872" spans="1:8">
      <c r="A6872" s="552">
        <v>45622</v>
      </c>
      <c r="B6872" s="551"/>
      <c r="C6872" s="551" t="s">
        <v>92</v>
      </c>
      <c r="D6872" s="3" t="s">
        <v>3412</v>
      </c>
      <c r="E6872" s="1497"/>
      <c r="F6872" s="1497">
        <v>119200</v>
      </c>
      <c r="G6872" s="551" t="s">
        <v>27</v>
      </c>
      <c r="H6872" s="3"/>
    </row>
    <row r="6873" spans="1:8">
      <c r="A6873" s="552">
        <v>45623</v>
      </c>
      <c r="B6873" s="551"/>
      <c r="C6873" s="551" t="s">
        <v>92</v>
      </c>
      <c r="D6873" s="3" t="s">
        <v>1445</v>
      </c>
      <c r="E6873" s="1497"/>
      <c r="F6873" s="1497">
        <v>142500</v>
      </c>
      <c r="G6873" s="551" t="s">
        <v>996</v>
      </c>
      <c r="H6873" s="3"/>
    </row>
    <row r="6874" spans="1:8">
      <c r="A6874" s="552">
        <v>45623</v>
      </c>
      <c r="B6874" s="551"/>
      <c r="C6874" s="551" t="s">
        <v>205</v>
      </c>
      <c r="D6874" s="15" t="s">
        <v>71</v>
      </c>
      <c r="E6874" s="1497">
        <v>112590</v>
      </c>
      <c r="F6874" s="1497"/>
      <c r="G6874" s="551" t="s">
        <v>27</v>
      </c>
      <c r="H6874" s="3"/>
    </row>
    <row r="6875" spans="1:8">
      <c r="A6875" s="552">
        <v>45623</v>
      </c>
      <c r="B6875" s="551"/>
      <c r="C6875" s="551" t="s">
        <v>205</v>
      </c>
      <c r="D6875" s="15" t="s">
        <v>71</v>
      </c>
      <c r="E6875" s="1497">
        <v>142500</v>
      </c>
      <c r="F6875" s="1497"/>
      <c r="G6875" s="551" t="s">
        <v>996</v>
      </c>
      <c r="H6875" s="45" t="s">
        <v>1445</v>
      </c>
    </row>
    <row r="6876" spans="1:8">
      <c r="A6876" s="552">
        <v>45623</v>
      </c>
      <c r="B6876" s="551"/>
      <c r="C6876" s="551" t="s">
        <v>86</v>
      </c>
      <c r="D6876" s="3" t="s">
        <v>107</v>
      </c>
      <c r="E6876" s="1497">
        <v>20000</v>
      </c>
      <c r="F6876" s="1497"/>
      <c r="G6876" s="551" t="s">
        <v>56</v>
      </c>
      <c r="H6876" s="3"/>
    </row>
    <row r="6877" spans="1:8">
      <c r="A6877" s="552">
        <v>45623</v>
      </c>
      <c r="B6877" s="551"/>
      <c r="C6877" s="551" t="s">
        <v>205</v>
      </c>
      <c r="D6877" s="3" t="s">
        <v>2495</v>
      </c>
      <c r="E6877" s="1497">
        <v>281710</v>
      </c>
      <c r="F6877" s="1497"/>
      <c r="G6877" s="551" t="s">
        <v>996</v>
      </c>
      <c r="H6877" s="3"/>
    </row>
    <row r="6878" spans="1:8">
      <c r="A6878" s="552">
        <v>45623</v>
      </c>
      <c r="B6878" s="551"/>
      <c r="C6878" s="551" t="s">
        <v>205</v>
      </c>
      <c r="D6878" s="3" t="s">
        <v>2495</v>
      </c>
      <c r="E6878" s="1497">
        <v>18487</v>
      </c>
      <c r="F6878" s="1497"/>
      <c r="G6878" s="551" t="s">
        <v>27</v>
      </c>
      <c r="H6878" s="3"/>
    </row>
    <row r="6879" spans="1:8">
      <c r="A6879" s="552">
        <v>45624</v>
      </c>
      <c r="B6879" s="551"/>
      <c r="C6879" s="551" t="s">
        <v>79</v>
      </c>
      <c r="D6879" s="3" t="s">
        <v>2711</v>
      </c>
      <c r="E6879" s="1497">
        <v>530600</v>
      </c>
      <c r="F6879" s="1497"/>
      <c r="G6879" s="551" t="s">
        <v>27</v>
      </c>
      <c r="H6879" s="3"/>
    </row>
    <row r="6880" spans="1:8">
      <c r="A6880" s="552">
        <v>45624</v>
      </c>
      <c r="B6880" s="551"/>
      <c r="C6880" s="551" t="s">
        <v>55</v>
      </c>
      <c r="D6880" s="3" t="s">
        <v>3415</v>
      </c>
      <c r="E6880" s="1497">
        <v>25250</v>
      </c>
      <c r="F6880" s="1497"/>
      <c r="G6880" s="551" t="s">
        <v>27</v>
      </c>
      <c r="H6880" s="3"/>
    </row>
    <row r="6881" spans="1:8">
      <c r="A6881" s="552">
        <v>45624</v>
      </c>
      <c r="B6881" s="551"/>
      <c r="C6881" s="551" t="s">
        <v>79</v>
      </c>
      <c r="D6881" s="3" t="s">
        <v>3414</v>
      </c>
      <c r="E6881" s="1497">
        <v>84024</v>
      </c>
      <c r="F6881" s="1497"/>
      <c r="G6881" s="551" t="s">
        <v>27</v>
      </c>
      <c r="H6881" s="3"/>
    </row>
    <row r="6882" spans="1:8">
      <c r="A6882" s="552">
        <v>45624</v>
      </c>
      <c r="B6882" s="551"/>
      <c r="C6882" s="551" t="s">
        <v>205</v>
      </c>
      <c r="D6882" s="3" t="s">
        <v>3337</v>
      </c>
      <c r="E6882" s="1497">
        <v>130720</v>
      </c>
      <c r="F6882" s="1497"/>
      <c r="G6882" s="551" t="s">
        <v>27</v>
      </c>
      <c r="H6882" s="3"/>
    </row>
    <row r="6883" spans="1:8">
      <c r="A6883" s="552">
        <v>45624</v>
      </c>
      <c r="B6883" s="551"/>
      <c r="C6883" s="551" t="s">
        <v>150</v>
      </c>
      <c r="D6883" s="3" t="s">
        <v>3416</v>
      </c>
      <c r="E6883" s="1497">
        <v>24000</v>
      </c>
      <c r="F6883" s="1497"/>
      <c r="G6883" s="551" t="s">
        <v>27</v>
      </c>
      <c r="H6883" s="3"/>
    </row>
    <row r="6884" spans="1:8">
      <c r="A6884" s="552">
        <v>45624</v>
      </c>
      <c r="B6884" s="551"/>
      <c r="C6884" s="551" t="s">
        <v>150</v>
      </c>
      <c r="D6884" s="3" t="s">
        <v>1080</v>
      </c>
      <c r="E6884" s="1497">
        <v>5040</v>
      </c>
      <c r="F6884" s="1497"/>
      <c r="G6884" s="551" t="s">
        <v>27</v>
      </c>
      <c r="H6884" s="3"/>
    </row>
    <row r="6885" spans="1:8">
      <c r="A6885" s="552">
        <v>45624</v>
      </c>
      <c r="B6885" s="551"/>
      <c r="C6885" s="551" t="s">
        <v>150</v>
      </c>
      <c r="D6885" s="15" t="s">
        <v>1080</v>
      </c>
      <c r="E6885" s="1497">
        <v>720</v>
      </c>
      <c r="F6885" s="1497"/>
      <c r="G6885" s="551" t="s">
        <v>27</v>
      </c>
      <c r="H6885" s="3"/>
    </row>
    <row r="6886" spans="1:8">
      <c r="A6886" s="552">
        <v>45624</v>
      </c>
      <c r="B6886" s="551"/>
      <c r="C6886" s="551" t="s">
        <v>150</v>
      </c>
      <c r="D6886" s="3" t="s">
        <v>2536</v>
      </c>
      <c r="E6886" s="1497">
        <v>2460</v>
      </c>
      <c r="F6886" s="1497"/>
      <c r="G6886" s="551" t="s">
        <v>27</v>
      </c>
      <c r="H6886" s="3"/>
    </row>
    <row r="6887" spans="1:8">
      <c r="A6887" s="552">
        <v>45624</v>
      </c>
      <c r="B6887" s="551"/>
      <c r="C6887" s="551" t="s">
        <v>55</v>
      </c>
      <c r="D6887" s="3" t="s">
        <v>1852</v>
      </c>
      <c r="E6887" s="1497">
        <v>4000</v>
      </c>
      <c r="F6887" s="1497"/>
      <c r="G6887" s="551" t="s">
        <v>56</v>
      </c>
      <c r="H6887" s="3"/>
    </row>
    <row r="6888" spans="1:8">
      <c r="A6888" s="552">
        <v>45624</v>
      </c>
      <c r="B6888" s="551"/>
      <c r="C6888" s="551" t="s">
        <v>55</v>
      </c>
      <c r="D6888" s="3" t="s">
        <v>492</v>
      </c>
      <c r="E6888" s="1497">
        <v>7000</v>
      </c>
      <c r="F6888" s="1497"/>
      <c r="G6888" s="551" t="s">
        <v>56</v>
      </c>
      <c r="H6888" s="3"/>
    </row>
    <row r="6889" spans="1:8">
      <c r="A6889" s="552">
        <v>45624</v>
      </c>
      <c r="B6889" s="551"/>
      <c r="C6889" s="551" t="s">
        <v>55</v>
      </c>
      <c r="D6889" s="3" t="s">
        <v>3417</v>
      </c>
      <c r="E6889" s="1497">
        <v>12000</v>
      </c>
      <c r="F6889" s="1497"/>
      <c r="G6889" s="551" t="s">
        <v>56</v>
      </c>
      <c r="H6889" s="3"/>
    </row>
    <row r="6890" spans="1:8">
      <c r="A6890" s="552">
        <v>45624</v>
      </c>
      <c r="B6890" s="551"/>
      <c r="C6890" s="551" t="s">
        <v>55</v>
      </c>
      <c r="D6890" s="3" t="s">
        <v>63</v>
      </c>
      <c r="E6890" s="1497">
        <v>10170</v>
      </c>
      <c r="F6890" s="1497"/>
      <c r="G6890" s="551" t="s">
        <v>56</v>
      </c>
      <c r="H6890" s="3"/>
    </row>
    <row r="6891" spans="1:8">
      <c r="A6891" s="552">
        <v>45624</v>
      </c>
      <c r="B6891" s="551"/>
      <c r="C6891" s="551" t="s">
        <v>92</v>
      </c>
      <c r="D6891" s="3" t="s">
        <v>2872</v>
      </c>
      <c r="E6891" s="1497"/>
      <c r="F6891" s="1497">
        <v>219275.57</v>
      </c>
      <c r="G6891" s="551" t="s">
        <v>72</v>
      </c>
      <c r="H6891" s="3"/>
    </row>
    <row r="6892" spans="1:8">
      <c r="A6892" s="554">
        <v>45624</v>
      </c>
      <c r="B6892" s="553"/>
      <c r="C6892" s="553" t="s">
        <v>92</v>
      </c>
      <c r="D6892" s="3" t="s">
        <v>2872</v>
      </c>
      <c r="E6892" s="1497"/>
      <c r="F6892" s="1497">
        <v>243230</v>
      </c>
      <c r="G6892" s="553" t="s">
        <v>56</v>
      </c>
      <c r="H6892" s="3"/>
    </row>
    <row r="6893" spans="1:8">
      <c r="A6893" s="554">
        <v>45624</v>
      </c>
      <c r="B6893" s="553"/>
      <c r="C6893" s="553" t="s">
        <v>537</v>
      </c>
      <c r="D6893" s="3" t="s">
        <v>208</v>
      </c>
      <c r="E6893" s="1497">
        <v>100000</v>
      </c>
      <c r="F6893" s="1497"/>
      <c r="G6893" s="553" t="s">
        <v>27</v>
      </c>
      <c r="H6893" s="3"/>
    </row>
    <row r="6894" spans="1:8">
      <c r="A6894" s="554">
        <v>45625</v>
      </c>
      <c r="B6894" s="553"/>
      <c r="C6894" s="553" t="s">
        <v>55</v>
      </c>
      <c r="D6894" s="3" t="s">
        <v>3418</v>
      </c>
      <c r="E6894" s="1497">
        <v>8500</v>
      </c>
      <c r="F6894" s="1497"/>
      <c r="G6894" s="553" t="s">
        <v>56</v>
      </c>
      <c r="H6894" s="3"/>
    </row>
    <row r="6895" spans="1:8">
      <c r="A6895" s="554">
        <v>45625</v>
      </c>
      <c r="B6895" s="553"/>
      <c r="C6895" s="553" t="s">
        <v>62</v>
      </c>
      <c r="D6895" s="15" t="s">
        <v>63</v>
      </c>
      <c r="E6895" s="1497">
        <v>2000</v>
      </c>
      <c r="F6895" s="1497"/>
      <c r="G6895" s="553" t="s">
        <v>56</v>
      </c>
      <c r="H6895" s="3"/>
    </row>
    <row r="6896" spans="1:8">
      <c r="A6896" s="554">
        <v>45625</v>
      </c>
      <c r="B6896" s="553"/>
      <c r="C6896" s="553" t="s">
        <v>537</v>
      </c>
      <c r="D6896" s="3" t="s">
        <v>144</v>
      </c>
      <c r="E6896" s="1497">
        <v>250000</v>
      </c>
      <c r="F6896" s="1497"/>
      <c r="G6896" s="553" t="s">
        <v>27</v>
      </c>
      <c r="H6896" s="3"/>
    </row>
    <row r="6897" spans="1:8">
      <c r="A6897" s="554">
        <v>45625</v>
      </c>
      <c r="B6897" s="553"/>
      <c r="C6897" s="553" t="s">
        <v>537</v>
      </c>
      <c r="D6897" s="3" t="s">
        <v>144</v>
      </c>
      <c r="E6897" s="1497">
        <v>60000</v>
      </c>
      <c r="F6897" s="1497"/>
      <c r="G6897" s="553" t="s">
        <v>56</v>
      </c>
      <c r="H6897" s="3"/>
    </row>
    <row r="6898" spans="1:8">
      <c r="A6898" s="554">
        <v>45625</v>
      </c>
      <c r="B6898" s="553"/>
      <c r="C6898" s="553" t="s">
        <v>537</v>
      </c>
      <c r="D6898" s="3" t="s">
        <v>193</v>
      </c>
      <c r="E6898" s="1497">
        <v>110000</v>
      </c>
      <c r="F6898" s="1497"/>
      <c r="G6898" s="553" t="s">
        <v>56</v>
      </c>
      <c r="H6898" s="3"/>
    </row>
    <row r="6899" spans="1:8" ht="15.75" thickBot="1">
      <c r="A6899" s="554">
        <v>45625</v>
      </c>
      <c r="B6899" s="553"/>
      <c r="C6899" s="553" t="s">
        <v>77</v>
      </c>
      <c r="D6899" s="3" t="s">
        <v>3381</v>
      </c>
      <c r="E6899" s="1497">
        <v>80000</v>
      </c>
      <c r="F6899" s="1497"/>
      <c r="G6899" s="553" t="s">
        <v>56</v>
      </c>
      <c r="H6899" s="3"/>
    </row>
    <row r="6900" spans="1:8" ht="15.75" thickBot="1">
      <c r="H6900" s="201">
        <v>45625</v>
      </c>
    </row>
    <row r="6901" spans="1:8">
      <c r="H6901" s="199" t="s">
        <v>3124</v>
      </c>
    </row>
    <row r="6902" spans="1:8">
      <c r="H6902" s="137" t="s">
        <v>905</v>
      </c>
    </row>
    <row r="6903" spans="1:8">
      <c r="H6903" s="138" t="s">
        <v>3404</v>
      </c>
    </row>
    <row r="6904" spans="1:8">
      <c r="H6904" s="138" t="s">
        <v>3421</v>
      </c>
    </row>
    <row r="6905" spans="1:8">
      <c r="H6905" s="138" t="s">
        <v>3422</v>
      </c>
    </row>
    <row r="6906" spans="1:8">
      <c r="H6906" s="138" t="s">
        <v>3420</v>
      </c>
    </row>
    <row r="6907" spans="1:8">
      <c r="H6907" s="138" t="s">
        <v>1436</v>
      </c>
    </row>
    <row r="6908" spans="1:8">
      <c r="H6908" s="138" t="s">
        <v>3419</v>
      </c>
    </row>
    <row r="6909" spans="1:8" ht="15.75" thickBot="1">
      <c r="H6909" s="139" t="s">
        <v>2151</v>
      </c>
    </row>
    <row r="6910" spans="1:8" ht="15.75" thickBot="1">
      <c r="H6910" s="538" t="s">
        <v>3423</v>
      </c>
    </row>
    <row r="6911" spans="1:8">
      <c r="A6911" s="556">
        <v>45628</v>
      </c>
      <c r="B6911" s="555"/>
      <c r="C6911" s="555" t="s">
        <v>79</v>
      </c>
      <c r="D6911" s="3" t="s">
        <v>19</v>
      </c>
      <c r="E6911" s="1497">
        <v>11649.99</v>
      </c>
      <c r="F6911" s="1497"/>
      <c r="G6911" s="555" t="s">
        <v>27</v>
      </c>
      <c r="H6911" s="5"/>
    </row>
    <row r="6912" spans="1:8">
      <c r="A6912" s="556">
        <v>45628</v>
      </c>
      <c r="B6912" s="555"/>
      <c r="C6912" s="555" t="s">
        <v>65</v>
      </c>
      <c r="D6912" s="3" t="s">
        <v>19</v>
      </c>
      <c r="E6912" s="1497">
        <v>36498.9</v>
      </c>
      <c r="F6912" s="1497"/>
      <c r="G6912" s="555" t="s">
        <v>27</v>
      </c>
      <c r="H6912" s="3"/>
    </row>
    <row r="6913" spans="1:8">
      <c r="A6913" s="556">
        <v>45628</v>
      </c>
      <c r="B6913" s="555"/>
      <c r="C6913" s="555" t="s">
        <v>65</v>
      </c>
      <c r="D6913" s="3" t="s">
        <v>19</v>
      </c>
      <c r="E6913" s="1497">
        <v>11649.99</v>
      </c>
      <c r="F6913" s="1497"/>
      <c r="G6913" s="555" t="s">
        <v>27</v>
      </c>
      <c r="H6913" s="3"/>
    </row>
    <row r="6914" spans="1:8">
      <c r="A6914" s="556">
        <v>45628</v>
      </c>
      <c r="B6914" s="555"/>
      <c r="C6914" s="555" t="s">
        <v>92</v>
      </c>
      <c r="D6914" s="3" t="s">
        <v>3424</v>
      </c>
      <c r="E6914" s="1497"/>
      <c r="F6914" s="1497">
        <v>35100</v>
      </c>
      <c r="G6914" s="555" t="s">
        <v>27</v>
      </c>
      <c r="H6914" s="3"/>
    </row>
    <row r="6915" spans="1:8">
      <c r="A6915" s="556">
        <v>45628</v>
      </c>
      <c r="B6915" s="555"/>
      <c r="C6915" s="555" t="s">
        <v>79</v>
      </c>
      <c r="D6915" s="3" t="s">
        <v>79</v>
      </c>
      <c r="E6915" s="1497">
        <v>46640</v>
      </c>
      <c r="F6915" s="1497"/>
      <c r="G6915" s="555" t="s">
        <v>27</v>
      </c>
      <c r="H6915" s="3"/>
    </row>
    <row r="6916" spans="1:8">
      <c r="A6916" s="556">
        <v>45628</v>
      </c>
      <c r="B6916" s="555"/>
      <c r="C6916" s="555" t="s">
        <v>92</v>
      </c>
      <c r="D6916" s="3" t="s">
        <v>586</v>
      </c>
      <c r="E6916" s="1497"/>
      <c r="F6916" s="1497">
        <v>7420</v>
      </c>
      <c r="G6916" s="555" t="s">
        <v>72</v>
      </c>
      <c r="H6916" s="3"/>
    </row>
    <row r="6917" spans="1:8">
      <c r="A6917" s="556">
        <v>45628</v>
      </c>
      <c r="B6917" s="555"/>
      <c r="C6917" s="555" t="s">
        <v>160</v>
      </c>
      <c r="D6917" s="3" t="s">
        <v>3425</v>
      </c>
      <c r="E6917" s="1497">
        <v>8800</v>
      </c>
      <c r="F6917" s="1497"/>
      <c r="G6917" s="555" t="s">
        <v>56</v>
      </c>
      <c r="H6917" s="3"/>
    </row>
    <row r="6918" spans="1:8">
      <c r="A6918" s="556">
        <v>45628</v>
      </c>
      <c r="B6918" s="555"/>
      <c r="C6918" s="555" t="s">
        <v>205</v>
      </c>
      <c r="D6918" s="3" t="s">
        <v>238</v>
      </c>
      <c r="E6918" s="1497">
        <v>30800</v>
      </c>
      <c r="F6918" s="1497"/>
      <c r="G6918" s="555" t="s">
        <v>27</v>
      </c>
      <c r="H6918" s="3"/>
    </row>
    <row r="6919" spans="1:8">
      <c r="A6919" s="556">
        <v>45628</v>
      </c>
      <c r="B6919" s="555"/>
      <c r="C6919" s="555" t="s">
        <v>79</v>
      </c>
      <c r="D6919" s="3" t="s">
        <v>79</v>
      </c>
      <c r="E6919" s="1497">
        <v>50000</v>
      </c>
      <c r="F6919" s="1497"/>
      <c r="G6919" s="555" t="s">
        <v>56</v>
      </c>
      <c r="H6919" s="3"/>
    </row>
    <row r="6920" spans="1:8">
      <c r="A6920" s="558">
        <v>45629</v>
      </c>
      <c r="B6920" s="555"/>
      <c r="C6920" s="555"/>
      <c r="D6920" s="3" t="s">
        <v>3426</v>
      </c>
      <c r="E6920" s="1497"/>
      <c r="F6920" s="1497">
        <v>730000</v>
      </c>
      <c r="G6920" s="555" t="s">
        <v>56</v>
      </c>
      <c r="H6920" s="3"/>
    </row>
    <row r="6921" spans="1:8">
      <c r="A6921" s="558">
        <v>45629</v>
      </c>
      <c r="B6921" s="557"/>
      <c r="C6921" s="557" t="s">
        <v>79</v>
      </c>
      <c r="D6921" s="3" t="s">
        <v>79</v>
      </c>
      <c r="E6921" s="1497">
        <v>12000</v>
      </c>
      <c r="F6921" s="1497"/>
      <c r="G6921" s="557" t="s">
        <v>56</v>
      </c>
      <c r="H6921" s="3"/>
    </row>
    <row r="6922" spans="1:8">
      <c r="A6922" s="558">
        <v>45629</v>
      </c>
      <c r="B6922" s="557"/>
      <c r="C6922" s="557" t="s">
        <v>86</v>
      </c>
      <c r="D6922" s="3" t="s">
        <v>104</v>
      </c>
      <c r="E6922" s="1497">
        <v>10000</v>
      </c>
      <c r="F6922" s="1497"/>
      <c r="G6922" s="557" t="s">
        <v>56</v>
      </c>
      <c r="H6922" s="3"/>
    </row>
    <row r="6923" spans="1:8">
      <c r="A6923" s="558">
        <v>45629</v>
      </c>
      <c r="B6923" s="557"/>
      <c r="C6923" s="557" t="s">
        <v>537</v>
      </c>
      <c r="D6923" s="15" t="s">
        <v>219</v>
      </c>
      <c r="E6923" s="1497">
        <v>160000</v>
      </c>
      <c r="F6923" s="1497"/>
      <c r="G6923" s="557" t="s">
        <v>56</v>
      </c>
      <c r="H6923" s="3"/>
    </row>
    <row r="6924" spans="1:8">
      <c r="A6924" s="560">
        <v>45630</v>
      </c>
      <c r="B6924" s="559"/>
      <c r="C6924" s="559" t="s">
        <v>86</v>
      </c>
      <c r="D6924" s="3" t="s">
        <v>104</v>
      </c>
      <c r="E6924" s="1497">
        <v>15000</v>
      </c>
      <c r="F6924" s="1497"/>
      <c r="G6924" s="559" t="s">
        <v>56</v>
      </c>
      <c r="H6924" s="3"/>
    </row>
    <row r="6925" spans="1:8">
      <c r="A6925" s="560">
        <v>45630</v>
      </c>
      <c r="B6925" s="559"/>
      <c r="C6925" s="559" t="s">
        <v>77</v>
      </c>
      <c r="D6925" s="3" t="s">
        <v>3427</v>
      </c>
      <c r="E6925" s="1497"/>
      <c r="F6925" s="1497">
        <v>5489599.9800000004</v>
      </c>
      <c r="G6925" s="559" t="s">
        <v>996</v>
      </c>
      <c r="H6925" s="3"/>
    </row>
    <row r="6926" spans="1:8">
      <c r="A6926" s="560">
        <v>45630</v>
      </c>
      <c r="B6926" s="559"/>
      <c r="C6926" s="559" t="s">
        <v>205</v>
      </c>
      <c r="D6926" s="3" t="s">
        <v>71</v>
      </c>
      <c r="E6926" s="1497">
        <v>182866.66</v>
      </c>
      <c r="F6926" s="1497"/>
      <c r="G6926" s="559" t="s">
        <v>996</v>
      </c>
      <c r="H6926" s="3"/>
    </row>
    <row r="6927" spans="1:8">
      <c r="A6927" s="560">
        <v>45630</v>
      </c>
      <c r="B6927" s="559"/>
      <c r="C6927" s="559" t="s">
        <v>94</v>
      </c>
      <c r="D6927" s="15" t="s">
        <v>3428</v>
      </c>
      <c r="E6927" s="1497">
        <v>58794.75</v>
      </c>
      <c r="F6927" s="1497"/>
      <c r="G6927" s="559" t="s">
        <v>27</v>
      </c>
      <c r="H6927" s="3"/>
    </row>
    <row r="6928" spans="1:8">
      <c r="A6928" s="560">
        <v>45630</v>
      </c>
      <c r="B6928" s="559"/>
      <c r="C6928" s="559" t="s">
        <v>205</v>
      </c>
      <c r="D6928" s="3" t="s">
        <v>3429</v>
      </c>
      <c r="E6928" s="1497">
        <v>6917.15</v>
      </c>
      <c r="F6928" s="1497"/>
      <c r="G6928" s="559" t="s">
        <v>56</v>
      </c>
      <c r="H6928" s="3"/>
    </row>
    <row r="6929" spans="1:8">
      <c r="A6929" s="562">
        <v>45631</v>
      </c>
      <c r="B6929" s="559"/>
      <c r="C6929" s="559" t="s">
        <v>174</v>
      </c>
      <c r="D6929" s="3" t="s">
        <v>2630</v>
      </c>
      <c r="E6929" s="1497">
        <v>29253</v>
      </c>
      <c r="F6929" s="1497"/>
      <c r="G6929" s="559" t="s">
        <v>27</v>
      </c>
      <c r="H6929" s="3"/>
    </row>
    <row r="6930" spans="1:8">
      <c r="A6930" s="562">
        <v>45631</v>
      </c>
      <c r="B6930" s="559"/>
      <c r="C6930" s="559" t="s">
        <v>55</v>
      </c>
      <c r="D6930" s="3" t="s">
        <v>562</v>
      </c>
      <c r="E6930" s="1497">
        <v>4966</v>
      </c>
      <c r="F6930" s="1497"/>
      <c r="G6930" s="559" t="s">
        <v>56</v>
      </c>
      <c r="H6930" s="3"/>
    </row>
    <row r="6931" spans="1:8">
      <c r="A6931" s="564">
        <v>45632</v>
      </c>
      <c r="B6931" s="561"/>
      <c r="C6931" s="561" t="s">
        <v>205</v>
      </c>
      <c r="D6931" s="3" t="s">
        <v>80</v>
      </c>
      <c r="E6931" s="1497">
        <v>43000</v>
      </c>
      <c r="F6931" s="1497"/>
      <c r="G6931" s="561" t="s">
        <v>27</v>
      </c>
      <c r="H6931" s="3"/>
    </row>
    <row r="6932" spans="1:8">
      <c r="A6932" s="564">
        <v>45632</v>
      </c>
      <c r="B6932" s="561"/>
      <c r="C6932" s="561" t="s">
        <v>55</v>
      </c>
      <c r="D6932" s="3" t="s">
        <v>514</v>
      </c>
      <c r="E6932" s="1497">
        <v>3000</v>
      </c>
      <c r="F6932" s="1497"/>
      <c r="G6932" s="561" t="s">
        <v>56</v>
      </c>
      <c r="H6932" s="3"/>
    </row>
    <row r="6933" spans="1:8">
      <c r="A6933" s="564">
        <v>45632</v>
      </c>
      <c r="B6933" s="561"/>
      <c r="C6933" s="561" t="s">
        <v>92</v>
      </c>
      <c r="D6933" s="3" t="s">
        <v>3430</v>
      </c>
      <c r="E6933" s="1497"/>
      <c r="F6933" s="1497">
        <v>118000</v>
      </c>
      <c r="G6933" s="561" t="s">
        <v>56</v>
      </c>
      <c r="H6933" s="3"/>
    </row>
    <row r="6934" spans="1:8">
      <c r="A6934" s="564">
        <v>45632</v>
      </c>
      <c r="B6934" s="561"/>
      <c r="C6934" s="561" t="s">
        <v>537</v>
      </c>
      <c r="D6934" s="3" t="s">
        <v>208</v>
      </c>
      <c r="E6934" s="1497">
        <v>200000</v>
      </c>
      <c r="F6934" s="1497"/>
      <c r="G6934" s="561" t="s">
        <v>56</v>
      </c>
      <c r="H6934" s="3"/>
    </row>
    <row r="6935" spans="1:8">
      <c r="A6935" s="564">
        <v>45632</v>
      </c>
      <c r="B6935" s="561"/>
      <c r="C6935" s="563" t="s">
        <v>537</v>
      </c>
      <c r="D6935" s="3" t="s">
        <v>219</v>
      </c>
      <c r="E6935" s="1497">
        <v>210000</v>
      </c>
      <c r="F6935" s="1497"/>
      <c r="G6935" s="563" t="s">
        <v>56</v>
      </c>
      <c r="H6935" s="3"/>
    </row>
    <row r="6936" spans="1:8">
      <c r="A6936" s="564">
        <v>45632</v>
      </c>
      <c r="B6936" s="561"/>
      <c r="C6936" s="563" t="s">
        <v>537</v>
      </c>
      <c r="D6936" s="3" t="s">
        <v>144</v>
      </c>
      <c r="E6936" s="1497">
        <v>250000</v>
      </c>
      <c r="F6936" s="1497"/>
      <c r="G6936" s="561" t="s">
        <v>27</v>
      </c>
      <c r="H6936" s="3"/>
    </row>
    <row r="6937" spans="1:8">
      <c r="A6937" s="564">
        <v>45632</v>
      </c>
      <c r="B6937" s="561"/>
      <c r="C6937" s="563" t="s">
        <v>537</v>
      </c>
      <c r="D6937" s="3" t="s">
        <v>144</v>
      </c>
      <c r="E6937" s="1497">
        <v>50000</v>
      </c>
      <c r="F6937" s="1497"/>
      <c r="G6937" s="561" t="s">
        <v>27</v>
      </c>
      <c r="H6937" s="3"/>
    </row>
    <row r="6938" spans="1:8">
      <c r="A6938" s="564">
        <v>45632</v>
      </c>
      <c r="B6938" s="563"/>
      <c r="C6938" s="563" t="s">
        <v>537</v>
      </c>
      <c r="D6938" s="3" t="s">
        <v>144</v>
      </c>
      <c r="E6938" s="1497">
        <v>100000</v>
      </c>
      <c r="F6938" s="1497"/>
      <c r="G6938" s="563" t="s">
        <v>56</v>
      </c>
      <c r="H6938" s="3"/>
    </row>
    <row r="6939" spans="1:8">
      <c r="A6939" s="564">
        <v>45632</v>
      </c>
      <c r="B6939" s="561"/>
      <c r="C6939" s="563" t="s">
        <v>537</v>
      </c>
      <c r="D6939" s="3" t="s">
        <v>193</v>
      </c>
      <c r="E6939" s="1497">
        <v>110000</v>
      </c>
      <c r="F6939" s="1497"/>
      <c r="G6939" s="561" t="s">
        <v>27</v>
      </c>
      <c r="H6939" s="3"/>
    </row>
    <row r="6940" spans="1:8">
      <c r="A6940" s="564">
        <v>45632</v>
      </c>
      <c r="B6940" s="561"/>
      <c r="C6940" s="561" t="s">
        <v>90</v>
      </c>
      <c r="D6940" s="3" t="s">
        <v>3431</v>
      </c>
      <c r="E6940" s="1497">
        <v>75000</v>
      </c>
      <c r="F6940" s="1497"/>
      <c r="G6940" s="561" t="s">
        <v>56</v>
      </c>
      <c r="H6940" s="3"/>
    </row>
    <row r="6941" spans="1:8" ht="15.75" thickBot="1">
      <c r="A6941" s="564">
        <v>45632</v>
      </c>
      <c r="B6941" s="561"/>
      <c r="C6941" s="561" t="s">
        <v>55</v>
      </c>
      <c r="D6941" s="3" t="s">
        <v>562</v>
      </c>
      <c r="E6941" s="1497">
        <v>7246</v>
      </c>
      <c r="F6941" s="1497"/>
      <c r="G6941" s="561" t="s">
        <v>27</v>
      </c>
      <c r="H6941" s="3"/>
    </row>
    <row r="6942" spans="1:8" ht="15.75" thickBot="1">
      <c r="H6942" s="201">
        <v>45632</v>
      </c>
    </row>
    <row r="6943" spans="1:8">
      <c r="H6943" s="199" t="s">
        <v>3124</v>
      </c>
    </row>
    <row r="6944" spans="1:8">
      <c r="H6944" s="137" t="s">
        <v>905</v>
      </c>
    </row>
    <row r="6945" spans="1:8">
      <c r="H6945" s="138" t="s">
        <v>3432</v>
      </c>
    </row>
    <row r="6946" spans="1:8">
      <c r="H6946" s="138" t="s">
        <v>3434</v>
      </c>
    </row>
    <row r="6947" spans="1:8">
      <c r="H6947" s="138" t="s">
        <v>3422</v>
      </c>
    </row>
    <row r="6948" spans="1:8">
      <c r="H6948" s="138" t="s">
        <v>3433</v>
      </c>
    </row>
    <row r="6949" spans="1:8">
      <c r="H6949" s="138" t="s">
        <v>1436</v>
      </c>
    </row>
    <row r="6950" spans="1:8">
      <c r="H6950" s="138" t="s">
        <v>3435</v>
      </c>
    </row>
    <row r="6951" spans="1:8" ht="15.75" thickBot="1">
      <c r="H6951" s="139" t="s">
        <v>2151</v>
      </c>
    </row>
    <row r="6952" spans="1:8" ht="15.75" thickBot="1">
      <c r="H6952" s="538" t="s">
        <v>3423</v>
      </c>
    </row>
    <row r="6953" spans="1:8">
      <c r="A6953" s="566">
        <v>45635</v>
      </c>
      <c r="B6953" s="565"/>
      <c r="C6953" s="565" t="s">
        <v>79</v>
      </c>
      <c r="D6953" s="71" t="s">
        <v>3436</v>
      </c>
      <c r="E6953" s="1497">
        <v>240000</v>
      </c>
      <c r="F6953" s="1497"/>
      <c r="G6953" s="565" t="s">
        <v>27</v>
      </c>
      <c r="H6953" s="62"/>
    </row>
    <row r="6954" spans="1:8">
      <c r="A6954" s="566">
        <v>45635</v>
      </c>
      <c r="B6954" s="565"/>
      <c r="C6954" s="565" t="s">
        <v>79</v>
      </c>
      <c r="D6954" s="71" t="s">
        <v>918</v>
      </c>
      <c r="E6954" s="1497">
        <v>39505.019999999997</v>
      </c>
      <c r="F6954" s="1497"/>
      <c r="G6954" s="565" t="s">
        <v>27</v>
      </c>
      <c r="H6954" s="565"/>
    </row>
    <row r="6955" spans="1:8">
      <c r="A6955" s="566">
        <v>45635</v>
      </c>
      <c r="B6955" s="565"/>
      <c r="C6955" s="565" t="s">
        <v>79</v>
      </c>
      <c r="D6955" s="71" t="s">
        <v>79</v>
      </c>
      <c r="E6955" s="1497">
        <v>103608</v>
      </c>
      <c r="F6955" s="1497"/>
      <c r="G6955" s="565" t="s">
        <v>27</v>
      </c>
      <c r="H6955" s="565"/>
    </row>
    <row r="6956" spans="1:8">
      <c r="A6956" s="566">
        <v>45635</v>
      </c>
      <c r="B6956" s="565"/>
      <c r="C6956" s="565" t="s">
        <v>94</v>
      </c>
      <c r="D6956" s="71" t="s">
        <v>17</v>
      </c>
      <c r="E6956" s="1497">
        <v>61579.88</v>
      </c>
      <c r="F6956" s="1497"/>
      <c r="G6956" s="565" t="s">
        <v>27</v>
      </c>
      <c r="H6956" s="565"/>
    </row>
    <row r="6957" spans="1:8">
      <c r="A6957" s="566">
        <v>45635</v>
      </c>
      <c r="B6957" s="565"/>
      <c r="C6957" s="565" t="s">
        <v>92</v>
      </c>
      <c r="D6957" s="71" t="s">
        <v>2077</v>
      </c>
      <c r="E6957" s="1497"/>
      <c r="F6957" s="1497">
        <v>37600</v>
      </c>
      <c r="G6957" s="565" t="s">
        <v>27</v>
      </c>
      <c r="H6957" s="565"/>
    </row>
    <row r="6958" spans="1:8">
      <c r="A6958" s="566">
        <v>45635</v>
      </c>
      <c r="B6958" s="565"/>
      <c r="C6958" s="565" t="s">
        <v>205</v>
      </c>
      <c r="D6958" s="71" t="s">
        <v>38</v>
      </c>
      <c r="E6958" s="1497">
        <v>1040</v>
      </c>
      <c r="F6958" s="1497"/>
      <c r="G6958" s="565" t="s">
        <v>56</v>
      </c>
      <c r="H6958" s="565"/>
    </row>
    <row r="6959" spans="1:8">
      <c r="A6959" s="573">
        <v>45636</v>
      </c>
      <c r="B6959" s="565"/>
      <c r="C6959" s="565" t="s">
        <v>92</v>
      </c>
      <c r="D6959" s="3" t="s">
        <v>441</v>
      </c>
      <c r="E6959" s="1497"/>
      <c r="F6959" s="1497">
        <v>379375.59</v>
      </c>
      <c r="G6959" s="565" t="s">
        <v>27</v>
      </c>
      <c r="H6959" s="3"/>
    </row>
    <row r="6960" spans="1:8">
      <c r="A6960" s="573">
        <v>45636</v>
      </c>
      <c r="B6960" s="565"/>
      <c r="C6960" s="565" t="s">
        <v>103</v>
      </c>
      <c r="D6960" s="3" t="s">
        <v>3437</v>
      </c>
      <c r="E6960" s="1497" t="s">
        <v>3439</v>
      </c>
      <c r="F6960" s="1497"/>
      <c r="G6960" s="565" t="s">
        <v>27</v>
      </c>
      <c r="H6960" s="3"/>
    </row>
    <row r="6961" spans="1:8">
      <c r="A6961" s="573">
        <v>45636</v>
      </c>
      <c r="B6961" s="572"/>
      <c r="C6961" s="572" t="s">
        <v>55</v>
      </c>
      <c r="D6961" s="3" t="s">
        <v>3438</v>
      </c>
      <c r="E6961" s="1497">
        <v>33141.9</v>
      </c>
      <c r="F6961" s="1497"/>
      <c r="G6961" s="572" t="s">
        <v>56</v>
      </c>
      <c r="H6961" s="3"/>
    </row>
    <row r="6962" spans="1:8">
      <c r="A6962" s="573">
        <v>45636</v>
      </c>
      <c r="B6962" s="572"/>
      <c r="C6962" s="572" t="s">
        <v>79</v>
      </c>
      <c r="D6962" s="3" t="s">
        <v>918</v>
      </c>
      <c r="E6962" s="1497">
        <v>62503.96</v>
      </c>
      <c r="F6962" s="1497"/>
      <c r="G6962" s="572" t="s">
        <v>27</v>
      </c>
      <c r="H6962" s="3"/>
    </row>
    <row r="6963" spans="1:8">
      <c r="A6963" s="573">
        <v>45636</v>
      </c>
      <c r="B6963" s="572"/>
      <c r="C6963" s="572" t="s">
        <v>79</v>
      </c>
      <c r="D6963" s="3" t="s">
        <v>918</v>
      </c>
      <c r="E6963" s="1497">
        <v>12930</v>
      </c>
      <c r="F6963" s="1497"/>
      <c r="G6963" s="572" t="s">
        <v>27</v>
      </c>
      <c r="H6963" s="3"/>
    </row>
    <row r="6964" spans="1:8">
      <c r="A6964" s="573">
        <v>45636</v>
      </c>
      <c r="B6964" s="572"/>
      <c r="C6964" s="572" t="s">
        <v>86</v>
      </c>
      <c r="D6964" s="3" t="s">
        <v>3440</v>
      </c>
      <c r="E6964" s="1497">
        <v>30034</v>
      </c>
      <c r="F6964" s="1497"/>
      <c r="G6964" s="572" t="s">
        <v>56</v>
      </c>
      <c r="H6964" s="3"/>
    </row>
    <row r="6965" spans="1:8">
      <c r="A6965" s="573">
        <v>45636</v>
      </c>
      <c r="B6965" s="572"/>
      <c r="C6965" s="572" t="s">
        <v>77</v>
      </c>
      <c r="D6965" s="3" t="s">
        <v>3441</v>
      </c>
      <c r="E6965" s="1497"/>
      <c r="F6965" s="1497">
        <v>1493500</v>
      </c>
      <c r="G6965" s="574" t="s">
        <v>996</v>
      </c>
      <c r="H6965" s="3"/>
    </row>
    <row r="6966" spans="1:8">
      <c r="A6966" s="575">
        <v>45637</v>
      </c>
      <c r="B6966" s="572"/>
      <c r="C6966" s="572" t="s">
        <v>156</v>
      </c>
      <c r="D6966" s="3" t="s">
        <v>3200</v>
      </c>
      <c r="E6966" s="1497">
        <v>310212.88</v>
      </c>
      <c r="F6966" s="1497"/>
      <c r="G6966" s="572" t="s">
        <v>27</v>
      </c>
      <c r="H6966" s="3"/>
    </row>
    <row r="6967" spans="1:8">
      <c r="A6967" s="579">
        <v>45638</v>
      </c>
      <c r="B6967" s="572"/>
      <c r="C6967" s="572" t="s">
        <v>77</v>
      </c>
      <c r="D6967" s="3" t="s">
        <v>1181</v>
      </c>
      <c r="E6967" s="1497"/>
      <c r="F6967" s="1497">
        <v>250000</v>
      </c>
      <c r="G6967" s="572" t="s">
        <v>56</v>
      </c>
      <c r="H6967" s="3"/>
    </row>
    <row r="6968" spans="1:8">
      <c r="A6968" s="579">
        <v>45638</v>
      </c>
      <c r="B6968" s="572"/>
      <c r="C6968" s="572" t="s">
        <v>90</v>
      </c>
      <c r="D6968" s="3" t="s">
        <v>2463</v>
      </c>
      <c r="E6968" s="1497">
        <v>10500</v>
      </c>
      <c r="F6968" s="1497"/>
      <c r="G6968" s="572" t="s">
        <v>56</v>
      </c>
      <c r="H6968" s="3"/>
    </row>
    <row r="6969" spans="1:8">
      <c r="A6969" s="579">
        <v>45638</v>
      </c>
      <c r="B6969" s="572"/>
      <c r="C6969" s="572" t="s">
        <v>77</v>
      </c>
      <c r="D6969" s="3" t="s">
        <v>3442</v>
      </c>
      <c r="E6969" s="1497"/>
      <c r="F6969" s="1497">
        <v>2163000</v>
      </c>
      <c r="G6969" s="572" t="s">
        <v>781</v>
      </c>
      <c r="H6969" s="3"/>
    </row>
    <row r="6970" spans="1:8">
      <c r="A6970" s="579">
        <v>45638</v>
      </c>
      <c r="B6970" s="572"/>
      <c r="C6970" s="572" t="s">
        <v>65</v>
      </c>
      <c r="D6970" s="3" t="s">
        <v>3443</v>
      </c>
      <c r="E6970" s="1497">
        <v>74000</v>
      </c>
      <c r="F6970" s="1497"/>
      <c r="G6970" s="572" t="s">
        <v>27</v>
      </c>
      <c r="H6970" s="3"/>
    </row>
    <row r="6971" spans="1:8">
      <c r="A6971" s="579">
        <v>45638</v>
      </c>
      <c r="B6971" s="578"/>
      <c r="C6971" s="578" t="s">
        <v>65</v>
      </c>
      <c r="D6971" s="3" t="s">
        <v>787</v>
      </c>
      <c r="E6971" s="1497">
        <v>82800</v>
      </c>
      <c r="F6971" s="1497"/>
      <c r="G6971" s="578" t="s">
        <v>27</v>
      </c>
      <c r="H6971" s="3"/>
    </row>
    <row r="6972" spans="1:8">
      <c r="A6972" s="579">
        <v>45638</v>
      </c>
      <c r="B6972" s="578"/>
      <c r="C6972" s="578" t="s">
        <v>205</v>
      </c>
      <c r="D6972" s="3" t="s">
        <v>246</v>
      </c>
      <c r="E6972" s="1497">
        <v>18960</v>
      </c>
      <c r="F6972" s="1497"/>
      <c r="G6972" s="578" t="s">
        <v>27</v>
      </c>
      <c r="H6972" s="3"/>
    </row>
    <row r="6973" spans="1:8">
      <c r="A6973" s="579">
        <v>45638</v>
      </c>
      <c r="B6973" s="578"/>
      <c r="C6973" s="578" t="s">
        <v>537</v>
      </c>
      <c r="D6973" s="3" t="s">
        <v>144</v>
      </c>
      <c r="E6973" s="1497">
        <v>25000</v>
      </c>
      <c r="F6973" s="1497"/>
      <c r="G6973" s="578" t="s">
        <v>27</v>
      </c>
      <c r="H6973" s="3"/>
    </row>
    <row r="6974" spans="1:8">
      <c r="A6974" s="579">
        <v>45638</v>
      </c>
      <c r="B6974" s="578"/>
      <c r="C6974" s="578" t="s">
        <v>537</v>
      </c>
      <c r="D6974" s="3" t="s">
        <v>144</v>
      </c>
      <c r="E6974" s="1497">
        <v>175000</v>
      </c>
      <c r="F6974" s="1497"/>
      <c r="G6974" s="578" t="s">
        <v>27</v>
      </c>
      <c r="H6974" s="3"/>
    </row>
    <row r="6975" spans="1:8">
      <c r="A6975" s="579">
        <v>45638</v>
      </c>
      <c r="B6975" s="578"/>
      <c r="C6975" s="578" t="s">
        <v>537</v>
      </c>
      <c r="D6975" s="3" t="s">
        <v>144</v>
      </c>
      <c r="E6975" s="1497">
        <v>20000</v>
      </c>
      <c r="F6975" s="1497"/>
      <c r="G6975" s="578" t="s">
        <v>27</v>
      </c>
      <c r="H6975" s="3"/>
    </row>
    <row r="6976" spans="1:8">
      <c r="A6976" s="582">
        <v>45638</v>
      </c>
      <c r="B6976" s="581"/>
      <c r="C6976" s="581" t="s">
        <v>537</v>
      </c>
      <c r="D6976" s="3" t="s">
        <v>144</v>
      </c>
      <c r="E6976" s="1497">
        <v>180000</v>
      </c>
      <c r="F6976" s="1497"/>
      <c r="G6976" s="581" t="s">
        <v>27</v>
      </c>
      <c r="H6976" s="3"/>
    </row>
    <row r="6977" spans="1:8">
      <c r="A6977" s="582">
        <v>45638</v>
      </c>
      <c r="B6977" s="581"/>
      <c r="C6977" s="581" t="s">
        <v>537</v>
      </c>
      <c r="D6977" s="3" t="s">
        <v>219</v>
      </c>
      <c r="E6977" s="1497">
        <v>210000</v>
      </c>
      <c r="F6977" s="1497"/>
      <c r="G6977" s="581" t="s">
        <v>56</v>
      </c>
      <c r="H6977" s="3"/>
    </row>
    <row r="6978" spans="1:8">
      <c r="A6978" s="582">
        <v>45638</v>
      </c>
      <c r="B6978" s="581"/>
      <c r="C6978" s="581" t="s">
        <v>537</v>
      </c>
      <c r="D6978" s="3" t="s">
        <v>208</v>
      </c>
      <c r="E6978" s="1497">
        <v>200000</v>
      </c>
      <c r="F6978" s="1497"/>
      <c r="G6978" s="581" t="s">
        <v>56</v>
      </c>
      <c r="H6978" s="3"/>
    </row>
    <row r="6979" spans="1:8">
      <c r="A6979" s="582">
        <v>45638</v>
      </c>
      <c r="B6979" s="581"/>
      <c r="C6979" s="581" t="s">
        <v>537</v>
      </c>
      <c r="D6979" s="3" t="s">
        <v>193</v>
      </c>
      <c r="E6979" s="1497">
        <v>110000</v>
      </c>
      <c r="F6979" s="1497"/>
      <c r="G6979" s="581" t="s">
        <v>56</v>
      </c>
      <c r="H6979" s="3"/>
    </row>
    <row r="6980" spans="1:8" ht="15.75" thickBot="1">
      <c r="A6980" s="119">
        <v>45638</v>
      </c>
      <c r="B6980" s="57"/>
      <c r="C6980" s="57" t="s">
        <v>537</v>
      </c>
      <c r="D6980" s="179" t="s">
        <v>3431</v>
      </c>
      <c r="E6980" s="57">
        <v>150000</v>
      </c>
      <c r="F6980" s="57"/>
      <c r="G6980" s="57" t="s">
        <v>56</v>
      </c>
      <c r="H6980" s="85"/>
    </row>
    <row r="6981" spans="1:8" ht="15.75" thickBot="1">
      <c r="A6981" s="1532"/>
      <c r="B6981" s="1533"/>
      <c r="C6981" s="1533"/>
      <c r="D6981" s="1533"/>
      <c r="E6981" s="1533"/>
      <c r="F6981" s="1533"/>
      <c r="G6981" s="1533"/>
      <c r="H6981" s="1534"/>
    </row>
    <row r="6982" spans="1:8">
      <c r="A6982" s="77">
        <v>45642</v>
      </c>
      <c r="B6982" s="62"/>
      <c r="C6982" s="62" t="s">
        <v>79</v>
      </c>
      <c r="D6982" s="5" t="s">
        <v>79</v>
      </c>
      <c r="E6982" s="62">
        <v>49186.98</v>
      </c>
      <c r="F6982" s="62"/>
      <c r="G6982" s="62" t="s">
        <v>27</v>
      </c>
      <c r="H6982" s="5"/>
    </row>
    <row r="6983" spans="1:8">
      <c r="A6983" s="582">
        <v>45642</v>
      </c>
      <c r="B6983" s="581"/>
      <c r="C6983" s="581" t="s">
        <v>156</v>
      </c>
      <c r="D6983" s="3" t="s">
        <v>156</v>
      </c>
      <c r="E6983" s="1497">
        <v>31926.44</v>
      </c>
      <c r="F6983" s="1497"/>
      <c r="G6983" s="581" t="s">
        <v>27</v>
      </c>
      <c r="H6983" s="3"/>
    </row>
    <row r="6984" spans="1:8">
      <c r="A6984" s="582">
        <v>45642</v>
      </c>
      <c r="B6984" s="581"/>
      <c r="C6984" s="581" t="s">
        <v>174</v>
      </c>
      <c r="D6984" s="3" t="s">
        <v>2983</v>
      </c>
      <c r="E6984" s="1497">
        <v>135827.47</v>
      </c>
      <c r="F6984" s="1497"/>
      <c r="G6984" s="581" t="s">
        <v>27</v>
      </c>
      <c r="H6984" s="3"/>
    </row>
    <row r="6985" spans="1:8">
      <c r="A6985" s="584">
        <v>45642</v>
      </c>
      <c r="B6985" s="583"/>
      <c r="C6985" s="583" t="s">
        <v>79</v>
      </c>
      <c r="D6985" s="3" t="s">
        <v>3016</v>
      </c>
      <c r="E6985" s="1497">
        <v>12857.46</v>
      </c>
      <c r="F6985" s="1497"/>
      <c r="G6985" s="583" t="s">
        <v>27</v>
      </c>
      <c r="H6985" s="3"/>
    </row>
    <row r="6986" spans="1:8">
      <c r="A6986" s="584">
        <v>45642</v>
      </c>
      <c r="B6986" s="583"/>
      <c r="C6986" s="583" t="s">
        <v>3446</v>
      </c>
      <c r="D6986" s="3" t="s">
        <v>3445</v>
      </c>
      <c r="E6986" s="1497">
        <v>130720</v>
      </c>
      <c r="F6986" s="1497"/>
      <c r="G6986" s="583" t="s">
        <v>27</v>
      </c>
      <c r="H6986" s="3"/>
    </row>
    <row r="6987" spans="1:8">
      <c r="A6987" s="584">
        <v>45642</v>
      </c>
      <c r="B6987" s="583"/>
      <c r="C6987" s="583" t="s">
        <v>205</v>
      </c>
      <c r="D6987" s="3" t="s">
        <v>63</v>
      </c>
      <c r="E6987" s="1497">
        <v>8154.15</v>
      </c>
      <c r="F6987" s="1497"/>
      <c r="G6987" s="583" t="s">
        <v>27</v>
      </c>
      <c r="H6987" s="3"/>
    </row>
    <row r="6988" spans="1:8">
      <c r="A6988" s="584">
        <v>45642</v>
      </c>
      <c r="B6988" s="583"/>
      <c r="C6988" s="583" t="s">
        <v>79</v>
      </c>
      <c r="D6988" s="3" t="s">
        <v>79</v>
      </c>
      <c r="E6988" s="1497">
        <v>93000</v>
      </c>
      <c r="F6988" s="1497"/>
      <c r="G6988" s="583" t="s">
        <v>72</v>
      </c>
      <c r="H6988" s="3"/>
    </row>
    <row r="6989" spans="1:8">
      <c r="A6989" s="584">
        <v>45642</v>
      </c>
      <c r="B6989" s="583"/>
      <c r="C6989" s="583" t="s">
        <v>6</v>
      </c>
      <c r="D6989" s="3" t="s">
        <v>3447</v>
      </c>
      <c r="E6989" s="1497"/>
      <c r="F6989" s="1497">
        <v>200000</v>
      </c>
      <c r="G6989" s="583" t="s">
        <v>56</v>
      </c>
      <c r="H6989" s="3"/>
    </row>
    <row r="6990" spans="1:8">
      <c r="A6990" s="584">
        <v>45642</v>
      </c>
      <c r="B6990" s="583"/>
      <c r="C6990" s="583" t="s">
        <v>156</v>
      </c>
      <c r="D6990" s="3" t="s">
        <v>3448</v>
      </c>
      <c r="E6990" s="1497">
        <v>13352</v>
      </c>
      <c r="F6990" s="1497"/>
      <c r="G6990" s="583" t="s">
        <v>27</v>
      </c>
      <c r="H6990" s="3"/>
    </row>
    <row r="6991" spans="1:8">
      <c r="A6991" s="584">
        <v>45643</v>
      </c>
      <c r="B6991" s="583"/>
      <c r="C6991" s="583" t="s">
        <v>92</v>
      </c>
      <c r="D6991" s="3" t="s">
        <v>2577</v>
      </c>
      <c r="E6991" s="1497"/>
      <c r="F6991" s="1497">
        <v>49100</v>
      </c>
      <c r="G6991" s="583" t="s">
        <v>56</v>
      </c>
      <c r="H6991" s="3"/>
    </row>
    <row r="6992" spans="1:8">
      <c r="A6992" s="584">
        <v>45643</v>
      </c>
      <c r="B6992" s="583"/>
      <c r="C6992" s="583" t="s">
        <v>86</v>
      </c>
      <c r="D6992" s="3" t="s">
        <v>104</v>
      </c>
      <c r="E6992" s="1497">
        <v>25000</v>
      </c>
      <c r="F6992" s="1497"/>
      <c r="G6992" s="583" t="s">
        <v>27</v>
      </c>
      <c r="H6992" s="3"/>
    </row>
    <row r="6993" spans="1:8">
      <c r="A6993" s="584">
        <v>45643</v>
      </c>
      <c r="B6993" s="583"/>
      <c r="C6993" s="583" t="s">
        <v>3449</v>
      </c>
      <c r="D6993" s="3" t="s">
        <v>238</v>
      </c>
      <c r="E6993" s="1497">
        <v>35770</v>
      </c>
      <c r="F6993" s="1497"/>
      <c r="G6993" s="583" t="s">
        <v>27</v>
      </c>
      <c r="H6993" s="3"/>
    </row>
    <row r="6994" spans="1:8">
      <c r="A6994" s="585">
        <v>45644</v>
      </c>
      <c r="B6994" s="583"/>
      <c r="C6994" s="583" t="s">
        <v>205</v>
      </c>
      <c r="D6994" s="3" t="s">
        <v>48</v>
      </c>
      <c r="E6994" s="1497">
        <v>1000000</v>
      </c>
      <c r="F6994" s="1497"/>
      <c r="G6994" s="583" t="s">
        <v>27</v>
      </c>
      <c r="H6994" s="3"/>
    </row>
    <row r="6995" spans="1:8">
      <c r="A6995" s="585">
        <v>45644</v>
      </c>
      <c r="B6995" s="583"/>
      <c r="C6995" s="583" t="s">
        <v>92</v>
      </c>
      <c r="D6995" s="3" t="s">
        <v>3452</v>
      </c>
      <c r="E6995" s="1497"/>
      <c r="F6995" s="1497">
        <v>53000</v>
      </c>
      <c r="G6995" s="583" t="s">
        <v>27</v>
      </c>
      <c r="H6995" s="3"/>
    </row>
    <row r="6996" spans="1:8">
      <c r="A6996" s="585">
        <v>45644</v>
      </c>
      <c r="B6996" s="583"/>
      <c r="C6996" s="583" t="s">
        <v>79</v>
      </c>
      <c r="D6996" s="3" t="s">
        <v>3451</v>
      </c>
      <c r="E6996" s="1497" t="s">
        <v>3450</v>
      </c>
      <c r="F6996" s="1497"/>
      <c r="G6996" s="583" t="s">
        <v>27</v>
      </c>
      <c r="H6996" s="3"/>
    </row>
    <row r="6997" spans="1:8">
      <c r="A6997" s="585">
        <v>45644</v>
      </c>
      <c r="B6997" s="583"/>
      <c r="C6997" s="583" t="s">
        <v>537</v>
      </c>
      <c r="D6997" s="3" t="s">
        <v>208</v>
      </c>
      <c r="E6997" s="1497">
        <v>30000</v>
      </c>
      <c r="F6997" s="1497"/>
      <c r="G6997" s="583" t="s">
        <v>56</v>
      </c>
      <c r="H6997" s="3"/>
    </row>
    <row r="6998" spans="1:8">
      <c r="A6998" s="585">
        <v>45644</v>
      </c>
      <c r="B6998" s="583"/>
      <c r="C6998" s="583" t="s">
        <v>90</v>
      </c>
      <c r="D6998" s="3" t="s">
        <v>70</v>
      </c>
      <c r="E6998" s="1497">
        <v>11650</v>
      </c>
      <c r="F6998" s="1497"/>
      <c r="G6998" s="583" t="s">
        <v>56</v>
      </c>
      <c r="H6998" s="3"/>
    </row>
    <row r="6999" spans="1:8">
      <c r="A6999" s="585">
        <v>45644</v>
      </c>
      <c r="B6999" s="583"/>
      <c r="C6999" s="583" t="s">
        <v>90</v>
      </c>
      <c r="D6999" s="3" t="s">
        <v>109</v>
      </c>
      <c r="E6999" s="1497">
        <v>45000</v>
      </c>
      <c r="F6999" s="1497"/>
      <c r="G6999" s="583" t="s">
        <v>56</v>
      </c>
      <c r="H6999" s="3"/>
    </row>
    <row r="7000" spans="1:8">
      <c r="A7000" s="585">
        <v>45644</v>
      </c>
      <c r="B7000" s="583"/>
      <c r="C7000" s="583" t="s">
        <v>205</v>
      </c>
      <c r="D7000" s="3" t="s">
        <v>765</v>
      </c>
      <c r="E7000" s="1497">
        <v>186687.5</v>
      </c>
      <c r="F7000" s="1497"/>
      <c r="G7000" s="583" t="s">
        <v>996</v>
      </c>
      <c r="H7000" s="3"/>
    </row>
    <row r="7001" spans="1:8">
      <c r="A7001" s="585">
        <v>45644</v>
      </c>
      <c r="B7001" s="583"/>
      <c r="C7001" s="586" t="s">
        <v>205</v>
      </c>
      <c r="D7001" s="3" t="s">
        <v>765</v>
      </c>
      <c r="E7001" s="1497">
        <v>37505</v>
      </c>
      <c r="F7001" s="1497"/>
      <c r="G7001" s="583" t="s">
        <v>27</v>
      </c>
      <c r="H7001" s="3"/>
    </row>
    <row r="7002" spans="1:8">
      <c r="A7002" s="587">
        <v>45645</v>
      </c>
      <c r="B7002" s="583"/>
      <c r="C7002" s="586" t="s">
        <v>205</v>
      </c>
      <c r="D7002" s="3" t="s">
        <v>765</v>
      </c>
      <c r="E7002" s="1497">
        <v>222960</v>
      </c>
      <c r="F7002" s="1497"/>
      <c r="G7002" s="583" t="s">
        <v>72</v>
      </c>
      <c r="H7002" s="45" t="s">
        <v>3453</v>
      </c>
    </row>
    <row r="7003" spans="1:8">
      <c r="A7003" s="587">
        <v>45645</v>
      </c>
      <c r="B7003" s="583"/>
      <c r="C7003" s="583" t="s">
        <v>90</v>
      </c>
      <c r="D7003" s="3" t="s">
        <v>2463</v>
      </c>
      <c r="E7003" s="1497">
        <v>10500</v>
      </c>
      <c r="F7003" s="1497"/>
      <c r="G7003" s="583" t="s">
        <v>56</v>
      </c>
      <c r="H7003" s="3"/>
    </row>
    <row r="7004" spans="1:8">
      <c r="A7004" s="587">
        <v>45645</v>
      </c>
      <c r="B7004" s="583"/>
      <c r="C7004" s="583" t="s">
        <v>55</v>
      </c>
      <c r="D7004" s="3" t="s">
        <v>3454</v>
      </c>
      <c r="E7004" s="1497">
        <v>5000</v>
      </c>
      <c r="F7004" s="1497"/>
      <c r="G7004" s="588" t="s">
        <v>56</v>
      </c>
      <c r="H7004" s="3"/>
    </row>
    <row r="7005" spans="1:8">
      <c r="A7005" s="589">
        <v>45645</v>
      </c>
      <c r="B7005" s="583"/>
      <c r="C7005" s="583" t="s">
        <v>55</v>
      </c>
      <c r="D7005" s="3" t="s">
        <v>3455</v>
      </c>
      <c r="E7005" s="1497">
        <v>7300</v>
      </c>
      <c r="F7005" s="1497"/>
      <c r="G7005" s="583" t="s">
        <v>27</v>
      </c>
      <c r="H7005" s="3"/>
    </row>
    <row r="7006" spans="1:8">
      <c r="A7006" s="589">
        <v>45645</v>
      </c>
      <c r="B7006" s="583"/>
      <c r="C7006" s="583" t="s">
        <v>79</v>
      </c>
      <c r="D7006" s="3" t="s">
        <v>562</v>
      </c>
      <c r="E7006" s="1497">
        <v>8500</v>
      </c>
      <c r="F7006" s="1497"/>
      <c r="G7006" s="583" t="s">
        <v>27</v>
      </c>
      <c r="H7006" s="3"/>
    </row>
    <row r="7007" spans="1:8">
      <c r="A7007" s="589">
        <v>45646</v>
      </c>
      <c r="B7007" s="583"/>
      <c r="C7007" s="583" t="s">
        <v>77</v>
      </c>
      <c r="D7007" s="3" t="s">
        <v>3442</v>
      </c>
      <c r="E7007" s="1497"/>
      <c r="F7007" s="1497">
        <v>1645300</v>
      </c>
      <c r="G7007" s="588" t="s">
        <v>27</v>
      </c>
      <c r="H7007" s="3"/>
    </row>
    <row r="7008" spans="1:8">
      <c r="A7008" s="589">
        <v>45646</v>
      </c>
      <c r="B7008" s="588"/>
      <c r="C7008" s="588" t="s">
        <v>79</v>
      </c>
      <c r="D7008" s="15" t="s">
        <v>1567</v>
      </c>
      <c r="E7008" s="1497">
        <v>26000</v>
      </c>
      <c r="F7008" s="1497"/>
      <c r="G7008" s="588" t="s">
        <v>27</v>
      </c>
      <c r="H7008" s="3"/>
    </row>
    <row r="7009" spans="1:8">
      <c r="A7009" s="589">
        <v>45646</v>
      </c>
      <c r="B7009" s="588"/>
      <c r="C7009" s="588" t="s">
        <v>79</v>
      </c>
      <c r="D7009" s="3" t="s">
        <v>2463</v>
      </c>
      <c r="E7009" s="1497">
        <v>10000</v>
      </c>
      <c r="F7009" s="1497"/>
      <c r="G7009" s="588" t="s">
        <v>56</v>
      </c>
      <c r="H7009" s="3"/>
    </row>
    <row r="7010" spans="1:8">
      <c r="A7010" s="589">
        <v>45646</v>
      </c>
      <c r="B7010" s="588"/>
      <c r="C7010" s="588" t="s">
        <v>537</v>
      </c>
      <c r="D7010" s="3" t="s">
        <v>219</v>
      </c>
      <c r="E7010" s="1497">
        <v>315000</v>
      </c>
      <c r="F7010" s="1497"/>
      <c r="G7010" s="588" t="s">
        <v>27</v>
      </c>
      <c r="H7010" s="3"/>
    </row>
    <row r="7011" spans="1:8">
      <c r="A7011" s="589">
        <v>45646</v>
      </c>
      <c r="B7011" s="588"/>
      <c r="C7011" s="588" t="s">
        <v>537</v>
      </c>
      <c r="D7011" s="3" t="s">
        <v>208</v>
      </c>
      <c r="E7011" s="1497">
        <v>270000</v>
      </c>
      <c r="F7011" s="1497"/>
      <c r="G7011" s="588" t="s">
        <v>56</v>
      </c>
      <c r="H7011" s="3"/>
    </row>
    <row r="7012" spans="1:8">
      <c r="A7012" s="589">
        <v>45646</v>
      </c>
      <c r="B7012" s="588"/>
      <c r="C7012" s="588" t="s">
        <v>537</v>
      </c>
      <c r="D7012" s="3" t="s">
        <v>193</v>
      </c>
      <c r="E7012" s="1497">
        <v>110000</v>
      </c>
      <c r="F7012" s="1497"/>
      <c r="G7012" s="588" t="s">
        <v>56</v>
      </c>
      <c r="H7012" s="3"/>
    </row>
    <row r="7013" spans="1:8">
      <c r="A7013" s="589">
        <v>45646</v>
      </c>
      <c r="B7013" s="588"/>
      <c r="C7013" s="588" t="s">
        <v>537</v>
      </c>
      <c r="D7013" s="3" t="s">
        <v>259</v>
      </c>
      <c r="E7013" s="1497">
        <v>200000</v>
      </c>
      <c r="F7013" s="1497"/>
      <c r="G7013" s="588" t="s">
        <v>27</v>
      </c>
      <c r="H7013" s="3"/>
    </row>
    <row r="7014" spans="1:8">
      <c r="A7014" s="589">
        <v>45646</v>
      </c>
      <c r="B7014" s="588"/>
      <c r="C7014" s="588" t="s">
        <v>537</v>
      </c>
      <c r="D7014" s="3" t="s">
        <v>259</v>
      </c>
      <c r="E7014" s="1497">
        <v>210000</v>
      </c>
      <c r="F7014" s="1497"/>
      <c r="G7014" s="588" t="s">
        <v>56</v>
      </c>
      <c r="H7014" s="3"/>
    </row>
    <row r="7015" spans="1:8">
      <c r="A7015" s="591">
        <v>45646</v>
      </c>
      <c r="B7015" s="588"/>
      <c r="C7015" s="588" t="s">
        <v>55</v>
      </c>
      <c r="D7015" s="3" t="s">
        <v>2548</v>
      </c>
      <c r="E7015" s="1497">
        <v>50000</v>
      </c>
      <c r="F7015" s="1497"/>
      <c r="G7015" s="588" t="s">
        <v>56</v>
      </c>
      <c r="H7015" s="3"/>
    </row>
    <row r="7016" spans="1:8" ht="15.75" thickBot="1">
      <c r="A7016" s="119">
        <v>45646</v>
      </c>
      <c r="B7016" s="57"/>
      <c r="C7016" s="57" t="s">
        <v>176</v>
      </c>
      <c r="D7016" s="85" t="s">
        <v>175</v>
      </c>
      <c r="E7016" s="57">
        <v>50000</v>
      </c>
      <c r="F7016" s="57"/>
      <c r="G7016" s="57" t="s">
        <v>56</v>
      </c>
      <c r="H7016" s="85"/>
    </row>
    <row r="7017" spans="1:8" ht="15.75" thickBot="1">
      <c r="A7017" s="1532"/>
      <c r="B7017" s="1533"/>
      <c r="C7017" s="1533"/>
      <c r="D7017" s="1533"/>
      <c r="E7017" s="1533"/>
      <c r="F7017" s="1533"/>
      <c r="G7017" s="1533"/>
      <c r="H7017" s="1534"/>
    </row>
    <row r="7018" spans="1:8">
      <c r="A7018" s="77">
        <v>45652</v>
      </c>
      <c r="B7018" s="62"/>
      <c r="C7018" s="62" t="s">
        <v>79</v>
      </c>
      <c r="D7018" s="78" t="s">
        <v>918</v>
      </c>
      <c r="E7018" s="62">
        <v>163221.07</v>
      </c>
      <c r="F7018" s="62"/>
      <c r="G7018" s="62" t="s">
        <v>27</v>
      </c>
      <c r="H7018" s="5"/>
    </row>
    <row r="7019" spans="1:8">
      <c r="A7019" s="591">
        <v>45652</v>
      </c>
      <c r="B7019" s="590"/>
      <c r="C7019" s="590" t="s">
        <v>79</v>
      </c>
      <c r="D7019" s="15" t="s">
        <v>3409</v>
      </c>
      <c r="E7019" s="1497">
        <v>185341.31</v>
      </c>
      <c r="F7019" s="1497"/>
      <c r="G7019" s="590" t="s">
        <v>27</v>
      </c>
      <c r="H7019" s="3"/>
    </row>
    <row r="7020" spans="1:8">
      <c r="A7020" s="591">
        <v>45652</v>
      </c>
      <c r="B7020" s="590"/>
      <c r="C7020" s="590" t="s">
        <v>79</v>
      </c>
      <c r="D7020" s="15" t="s">
        <v>2466</v>
      </c>
      <c r="E7020" s="1497">
        <v>51360</v>
      </c>
      <c r="F7020" s="1497"/>
      <c r="G7020" s="590" t="s">
        <v>27</v>
      </c>
      <c r="H7020" s="3"/>
    </row>
    <row r="7021" spans="1:8">
      <c r="A7021" s="591">
        <v>45652</v>
      </c>
      <c r="B7021" s="590"/>
      <c r="C7021" s="590" t="s">
        <v>1098</v>
      </c>
      <c r="D7021" s="15" t="s">
        <v>2190</v>
      </c>
      <c r="E7021" s="1497">
        <v>440214</v>
      </c>
      <c r="F7021" s="1497"/>
      <c r="G7021" s="590" t="s">
        <v>27</v>
      </c>
      <c r="H7021" s="3"/>
    </row>
    <row r="7022" spans="1:8">
      <c r="A7022" s="591">
        <v>45652</v>
      </c>
      <c r="B7022" s="590"/>
      <c r="C7022" s="590" t="s">
        <v>90</v>
      </c>
      <c r="D7022" s="3" t="s">
        <v>2858</v>
      </c>
      <c r="E7022" s="1497">
        <v>10500</v>
      </c>
      <c r="F7022" s="1497"/>
      <c r="G7022" s="590" t="s">
        <v>56</v>
      </c>
      <c r="H7022" s="3"/>
    </row>
    <row r="7023" spans="1:8">
      <c r="A7023" s="591">
        <v>45652</v>
      </c>
      <c r="B7023" s="590"/>
      <c r="C7023" s="590" t="s">
        <v>1098</v>
      </c>
      <c r="D7023" s="3" t="s">
        <v>2764</v>
      </c>
      <c r="E7023" s="1497">
        <v>3300</v>
      </c>
      <c r="F7023" s="1497"/>
      <c r="G7023" s="590" t="s">
        <v>56</v>
      </c>
      <c r="H7023" s="3"/>
    </row>
    <row r="7024" spans="1:8">
      <c r="A7024" s="591">
        <v>45652</v>
      </c>
      <c r="B7024" s="590"/>
      <c r="C7024" s="590" t="s">
        <v>55</v>
      </c>
      <c r="D7024" s="3" t="s">
        <v>2354</v>
      </c>
      <c r="E7024" s="1497">
        <v>25250</v>
      </c>
      <c r="F7024" s="1497"/>
      <c r="G7024" s="590" t="s">
        <v>27</v>
      </c>
      <c r="H7024" s="3"/>
    </row>
    <row r="7025" spans="1:8">
      <c r="A7025" s="591">
        <v>45652</v>
      </c>
      <c r="B7025" s="590"/>
      <c r="C7025" s="590" t="s">
        <v>90</v>
      </c>
      <c r="D7025" s="3" t="s">
        <v>3309</v>
      </c>
      <c r="E7025" s="1497">
        <v>83500</v>
      </c>
      <c r="F7025" s="1497"/>
      <c r="G7025" s="590" t="s">
        <v>27</v>
      </c>
      <c r="H7025" s="3"/>
    </row>
    <row r="7026" spans="1:8">
      <c r="A7026" s="591">
        <v>45652</v>
      </c>
      <c r="B7026" s="590"/>
      <c r="C7026" s="590" t="s">
        <v>79</v>
      </c>
      <c r="D7026" s="3" t="s">
        <v>2711</v>
      </c>
      <c r="E7026" s="1497">
        <v>24350</v>
      </c>
      <c r="F7026" s="1497"/>
      <c r="G7026" s="590" t="s">
        <v>27</v>
      </c>
      <c r="H7026" s="3"/>
    </row>
    <row r="7027" spans="1:8">
      <c r="A7027" s="591">
        <v>45652</v>
      </c>
      <c r="B7027" s="590"/>
      <c r="C7027" s="590" t="s">
        <v>79</v>
      </c>
      <c r="D7027" s="15" t="s">
        <v>2711</v>
      </c>
      <c r="E7027" s="1497">
        <v>254000</v>
      </c>
      <c r="F7027" s="1497"/>
      <c r="G7027" s="590" t="s">
        <v>27</v>
      </c>
      <c r="H7027" s="3"/>
    </row>
    <row r="7028" spans="1:8">
      <c r="A7028" s="591">
        <v>45652</v>
      </c>
      <c r="B7028" s="590"/>
      <c r="C7028" s="590" t="s">
        <v>79</v>
      </c>
      <c r="D7028" s="15" t="s">
        <v>718</v>
      </c>
      <c r="E7028" s="1497">
        <v>108500</v>
      </c>
      <c r="F7028" s="1497"/>
      <c r="G7028" s="590" t="s">
        <v>27</v>
      </c>
      <c r="H7028" s="3"/>
    </row>
    <row r="7029" spans="1:8">
      <c r="A7029" s="591">
        <v>45653</v>
      </c>
      <c r="B7029" s="590"/>
      <c r="C7029" s="590" t="s">
        <v>79</v>
      </c>
      <c r="D7029" s="3" t="s">
        <v>526</v>
      </c>
      <c r="E7029" s="1497">
        <v>50662.51</v>
      </c>
      <c r="F7029" s="1497"/>
      <c r="G7029" s="592" t="s">
        <v>27</v>
      </c>
      <c r="H7029" s="3"/>
    </row>
    <row r="7030" spans="1:8">
      <c r="A7030" s="593">
        <v>45653</v>
      </c>
      <c r="B7030" s="590"/>
      <c r="C7030" s="590" t="s">
        <v>79</v>
      </c>
      <c r="D7030" s="3" t="s">
        <v>3456</v>
      </c>
      <c r="E7030" s="1497">
        <v>10647.81</v>
      </c>
      <c r="F7030" s="1497"/>
      <c r="G7030" s="592" t="s">
        <v>27</v>
      </c>
      <c r="H7030" s="3"/>
    </row>
    <row r="7031" spans="1:8">
      <c r="A7031" s="593">
        <v>45653</v>
      </c>
      <c r="B7031" s="590"/>
      <c r="C7031" s="590" t="s">
        <v>79</v>
      </c>
      <c r="D7031" s="3" t="s">
        <v>3456</v>
      </c>
      <c r="E7031" s="1497">
        <v>11712.62</v>
      </c>
      <c r="F7031" s="1497"/>
      <c r="G7031" s="592" t="s">
        <v>27</v>
      </c>
      <c r="H7031" s="3"/>
    </row>
    <row r="7032" spans="1:8">
      <c r="A7032" s="593">
        <v>45653</v>
      </c>
      <c r="B7032" s="590"/>
      <c r="C7032" s="590" t="s">
        <v>1098</v>
      </c>
      <c r="D7032" s="3" t="s">
        <v>38</v>
      </c>
      <c r="E7032" s="1497">
        <v>3500</v>
      </c>
      <c r="F7032" s="1497"/>
      <c r="G7032" s="590" t="s">
        <v>56</v>
      </c>
      <c r="H7032" s="3"/>
    </row>
    <row r="7033" spans="1:8">
      <c r="A7033" s="593">
        <v>45653</v>
      </c>
      <c r="B7033" s="592"/>
      <c r="C7033" s="592" t="s">
        <v>88</v>
      </c>
      <c r="D7033" s="3" t="s">
        <v>219</v>
      </c>
      <c r="E7033" s="1497">
        <v>3150000</v>
      </c>
      <c r="F7033" s="1497"/>
      <c r="G7033" s="592" t="s">
        <v>56</v>
      </c>
      <c r="H7033" s="3"/>
    </row>
    <row r="7034" spans="1:8">
      <c r="A7034" s="593">
        <v>45653</v>
      </c>
      <c r="B7034" s="592"/>
      <c r="C7034" s="592" t="s">
        <v>88</v>
      </c>
      <c r="D7034" s="3" t="s">
        <v>208</v>
      </c>
      <c r="E7034" s="1497">
        <v>300000</v>
      </c>
      <c r="F7034" s="1497"/>
      <c r="G7034" s="592" t="s">
        <v>56</v>
      </c>
      <c r="H7034" s="3"/>
    </row>
    <row r="7035" spans="1:8">
      <c r="A7035" s="593">
        <v>45653</v>
      </c>
      <c r="B7035" s="592"/>
      <c r="C7035" s="592" t="s">
        <v>88</v>
      </c>
      <c r="D7035" s="3" t="s">
        <v>144</v>
      </c>
      <c r="E7035" s="1497">
        <v>275000</v>
      </c>
      <c r="F7035" s="1497"/>
      <c r="G7035" s="592" t="s">
        <v>27</v>
      </c>
      <c r="H7035" s="3"/>
    </row>
    <row r="7036" spans="1:8">
      <c r="A7036" s="593">
        <v>45653</v>
      </c>
      <c r="B7036" s="592"/>
      <c r="C7036" s="592" t="s">
        <v>88</v>
      </c>
      <c r="D7036" s="3" t="s">
        <v>144</v>
      </c>
      <c r="E7036" s="1497">
        <v>125000</v>
      </c>
      <c r="F7036" s="1497"/>
      <c r="G7036" s="592" t="s">
        <v>27</v>
      </c>
      <c r="H7036" s="3"/>
    </row>
    <row r="7037" spans="1:8">
      <c r="A7037" s="593">
        <v>45653</v>
      </c>
      <c r="B7037" s="592"/>
      <c r="C7037" s="592" t="s">
        <v>88</v>
      </c>
      <c r="D7037" s="3" t="s">
        <v>193</v>
      </c>
      <c r="E7037" s="1497">
        <v>110000</v>
      </c>
      <c r="F7037" s="1497"/>
      <c r="G7037" s="592" t="s">
        <v>27</v>
      </c>
      <c r="H7037" s="3"/>
    </row>
    <row r="7038" spans="1:8">
      <c r="A7038" s="593">
        <v>45653</v>
      </c>
      <c r="B7038" s="592"/>
      <c r="C7038" s="592" t="s">
        <v>92</v>
      </c>
      <c r="D7038" s="3" t="s">
        <v>2136</v>
      </c>
      <c r="E7038" s="1497"/>
      <c r="F7038" s="1497">
        <v>182500</v>
      </c>
      <c r="G7038" s="592" t="s">
        <v>27</v>
      </c>
      <c r="H7038" s="3"/>
    </row>
    <row r="7039" spans="1:8" ht="15.75" thickBot="1">
      <c r="A7039" s="119">
        <v>45653</v>
      </c>
      <c r="B7039" s="57"/>
      <c r="C7039" s="57" t="s">
        <v>92</v>
      </c>
      <c r="D7039" s="85" t="s">
        <v>3457</v>
      </c>
      <c r="E7039" s="57">
        <v>28520.23</v>
      </c>
      <c r="F7039" s="57"/>
      <c r="G7039" s="57" t="s">
        <v>27</v>
      </c>
      <c r="H7039" s="85"/>
    </row>
    <row r="7040" spans="1:8">
      <c r="A7040" s="1550"/>
      <c r="B7040" s="1551"/>
      <c r="C7040" s="1551"/>
      <c r="D7040" s="1551"/>
      <c r="E7040" s="1551"/>
      <c r="F7040" s="1551"/>
      <c r="G7040" s="1551"/>
      <c r="H7040" s="1552"/>
    </row>
    <row r="7041" spans="1:8">
      <c r="A7041" s="580">
        <v>45656</v>
      </c>
      <c r="B7041" s="221"/>
      <c r="C7041" s="221" t="s">
        <v>176</v>
      </c>
      <c r="D7041" s="603" t="s">
        <v>3461</v>
      </c>
      <c r="E7041" s="221">
        <v>100000</v>
      </c>
      <c r="F7041" s="221"/>
      <c r="G7041" s="221" t="s">
        <v>27</v>
      </c>
      <c r="H7041" s="594"/>
    </row>
    <row r="7042" spans="1:8">
      <c r="A7042" s="77">
        <v>45656</v>
      </c>
      <c r="B7042" s="62"/>
      <c r="C7042" s="62" t="s">
        <v>94</v>
      </c>
      <c r="D7042" s="5" t="s">
        <v>14</v>
      </c>
      <c r="E7042" s="62">
        <v>50000</v>
      </c>
      <c r="F7042" s="62"/>
      <c r="G7042" s="62" t="s">
        <v>27</v>
      </c>
      <c r="H7042" s="5"/>
    </row>
    <row r="7043" spans="1:8">
      <c r="A7043" s="596">
        <v>45656</v>
      </c>
      <c r="B7043" s="592"/>
      <c r="C7043" s="592" t="s">
        <v>205</v>
      </c>
      <c r="D7043" s="3" t="s">
        <v>3458</v>
      </c>
      <c r="E7043" s="1497">
        <v>130720</v>
      </c>
      <c r="F7043" s="1497"/>
      <c r="G7043" s="592" t="s">
        <v>27</v>
      </c>
      <c r="H7043" s="3"/>
    </row>
    <row r="7044" spans="1:8">
      <c r="A7044" s="596">
        <v>45656</v>
      </c>
      <c r="B7044" s="592"/>
      <c r="C7044" s="595" t="s">
        <v>205</v>
      </c>
      <c r="D7044" s="3" t="s">
        <v>3458</v>
      </c>
      <c r="E7044" s="1497">
        <v>440000</v>
      </c>
      <c r="F7044" s="1497"/>
      <c r="G7044" s="592" t="s">
        <v>27</v>
      </c>
      <c r="H7044" s="3"/>
    </row>
    <row r="7045" spans="1:8">
      <c r="A7045" s="596">
        <v>45656</v>
      </c>
      <c r="B7045" s="592"/>
      <c r="C7045" s="592" t="s">
        <v>79</v>
      </c>
      <c r="D7045" s="3" t="s">
        <v>3459</v>
      </c>
      <c r="E7045" s="1497">
        <v>100817.5</v>
      </c>
      <c r="F7045" s="1497"/>
      <c r="G7045" s="595" t="s">
        <v>27</v>
      </c>
      <c r="H7045" s="3"/>
    </row>
    <row r="7046" spans="1:8">
      <c r="A7046" s="119">
        <v>45656</v>
      </c>
      <c r="B7046" s="57"/>
      <c r="C7046" s="57" t="s">
        <v>92</v>
      </c>
      <c r="D7046" s="85" t="s">
        <v>3460</v>
      </c>
      <c r="E7046" s="57"/>
      <c r="F7046" s="57">
        <v>385500</v>
      </c>
      <c r="G7046" s="57" t="s">
        <v>27</v>
      </c>
      <c r="H7046" s="85"/>
    </row>
    <row r="7047" spans="1:8" ht="15.75" thickBot="1">
      <c r="A7047" s="148"/>
      <c r="B7047" s="244"/>
      <c r="C7047" s="244"/>
      <c r="D7047" s="185" t="s">
        <v>3474</v>
      </c>
      <c r="E7047" s="1492"/>
      <c r="F7047" s="1492">
        <v>31600</v>
      </c>
      <c r="G7047" s="244"/>
      <c r="H7047" s="115"/>
    </row>
    <row r="7048" spans="1:8" ht="15.75" thickBot="1">
      <c r="A7048" s="1532"/>
      <c r="B7048" s="1533"/>
      <c r="C7048" s="1533"/>
      <c r="D7048" s="1533"/>
      <c r="E7048" s="1533"/>
      <c r="F7048" s="1533"/>
      <c r="G7048" s="1533"/>
      <c r="H7048" s="1534"/>
    </row>
    <row r="7049" spans="1:8">
      <c r="A7049" s="77">
        <v>45659</v>
      </c>
      <c r="B7049" s="62"/>
      <c r="C7049" s="62" t="s">
        <v>3221</v>
      </c>
      <c r="D7049" s="5" t="s">
        <v>104</v>
      </c>
      <c r="E7049" s="62">
        <v>20000</v>
      </c>
      <c r="F7049" s="62"/>
      <c r="G7049" s="62" t="s">
        <v>56</v>
      </c>
      <c r="H7049" s="5"/>
    </row>
    <row r="7050" spans="1:8">
      <c r="A7050" s="600">
        <v>45659</v>
      </c>
      <c r="B7050" s="595"/>
      <c r="C7050" s="595" t="s">
        <v>55</v>
      </c>
      <c r="D7050" s="3" t="s">
        <v>70</v>
      </c>
      <c r="E7050" s="1497">
        <v>5000</v>
      </c>
      <c r="F7050" s="1497"/>
      <c r="G7050" s="62" t="s">
        <v>56</v>
      </c>
      <c r="H7050" s="3"/>
    </row>
    <row r="7051" spans="1:8">
      <c r="A7051" s="600">
        <v>45659</v>
      </c>
      <c r="B7051" s="595"/>
      <c r="C7051" s="595" t="s">
        <v>92</v>
      </c>
      <c r="D7051" s="3" t="s">
        <v>3442</v>
      </c>
      <c r="E7051" s="1497"/>
      <c r="F7051" s="1497">
        <v>1096300</v>
      </c>
      <c r="G7051" s="595" t="s">
        <v>56</v>
      </c>
      <c r="H7051" s="3"/>
    </row>
    <row r="7052" spans="1:8">
      <c r="A7052" s="600">
        <v>45659</v>
      </c>
      <c r="B7052" s="595"/>
      <c r="C7052" s="595" t="s">
        <v>77</v>
      </c>
      <c r="D7052" s="3" t="s">
        <v>3462</v>
      </c>
      <c r="E7052" s="1497"/>
      <c r="F7052" s="1497">
        <v>1302400</v>
      </c>
      <c r="G7052" s="595" t="s">
        <v>287</v>
      </c>
      <c r="H7052" s="3"/>
    </row>
    <row r="7053" spans="1:8">
      <c r="A7053" s="600">
        <v>45659</v>
      </c>
      <c r="B7053" s="595"/>
      <c r="C7053" s="595" t="s">
        <v>3463</v>
      </c>
      <c r="D7053" s="3" t="s">
        <v>3464</v>
      </c>
      <c r="E7053" s="1497">
        <v>1100000</v>
      </c>
      <c r="F7053" s="1497"/>
      <c r="G7053" s="595" t="s">
        <v>27</v>
      </c>
      <c r="H7053" s="3"/>
    </row>
    <row r="7054" spans="1:8">
      <c r="A7054" s="600">
        <v>45659</v>
      </c>
      <c r="B7054" s="599"/>
      <c r="C7054" s="599"/>
      <c r="D7054" s="3" t="s">
        <v>3465</v>
      </c>
      <c r="E7054" s="1497"/>
      <c r="F7054" s="1497">
        <v>63000</v>
      </c>
      <c r="G7054" s="599" t="s">
        <v>27</v>
      </c>
      <c r="H7054" s="3"/>
    </row>
    <row r="7055" spans="1:8">
      <c r="A7055" s="600">
        <v>45659</v>
      </c>
      <c r="B7055" s="599"/>
      <c r="C7055" s="599" t="s">
        <v>79</v>
      </c>
      <c r="D7055" s="3" t="s">
        <v>79</v>
      </c>
      <c r="E7055" s="1497">
        <v>150000</v>
      </c>
      <c r="F7055" s="1497"/>
      <c r="G7055" s="599" t="s">
        <v>27</v>
      </c>
      <c r="H7055" s="3"/>
    </row>
    <row r="7056" spans="1:8">
      <c r="A7056" s="600">
        <v>45659</v>
      </c>
      <c r="B7056" s="599"/>
      <c r="C7056" s="599" t="s">
        <v>537</v>
      </c>
      <c r="D7056" s="15" t="s">
        <v>208</v>
      </c>
      <c r="E7056" s="1497">
        <v>260000</v>
      </c>
      <c r="F7056" s="1497"/>
      <c r="G7056" s="599" t="s">
        <v>56</v>
      </c>
      <c r="H7056" s="3"/>
    </row>
    <row r="7057" spans="1:8">
      <c r="A7057" s="600">
        <v>45659</v>
      </c>
      <c r="B7057" s="599"/>
      <c r="C7057" s="599" t="s">
        <v>537</v>
      </c>
      <c r="D7057" s="15" t="s">
        <v>219</v>
      </c>
      <c r="E7057" s="1497">
        <v>273000</v>
      </c>
      <c r="F7057" s="1497"/>
      <c r="G7057" s="599" t="s">
        <v>56</v>
      </c>
      <c r="H7057" s="3"/>
    </row>
    <row r="7058" spans="1:8">
      <c r="A7058" s="600">
        <v>45659</v>
      </c>
      <c r="B7058" s="599"/>
      <c r="C7058" s="599" t="s">
        <v>537</v>
      </c>
      <c r="D7058" s="15" t="s">
        <v>193</v>
      </c>
      <c r="E7058" s="1497">
        <v>110000</v>
      </c>
      <c r="F7058" s="1497"/>
      <c r="G7058" s="599" t="s">
        <v>56</v>
      </c>
      <c r="H7058" s="3"/>
    </row>
    <row r="7059" spans="1:8" ht="15.75" thickBot="1">
      <c r="A7059" s="600">
        <v>45659</v>
      </c>
      <c r="B7059" s="57"/>
      <c r="C7059" s="57" t="s">
        <v>537</v>
      </c>
      <c r="D7059" s="179" t="s">
        <v>144</v>
      </c>
      <c r="E7059" s="57">
        <v>100000</v>
      </c>
      <c r="F7059" s="57"/>
      <c r="G7059" s="599" t="s">
        <v>56</v>
      </c>
      <c r="H7059" s="85"/>
    </row>
    <row r="7060" spans="1:8" ht="15.75" thickBot="1">
      <c r="A7060" s="597"/>
      <c r="B7060" s="598"/>
      <c r="C7060" s="598"/>
      <c r="D7060" s="225"/>
      <c r="E7060" s="1490"/>
      <c r="F7060" s="1490"/>
      <c r="G7060" s="598"/>
      <c r="H7060" s="604"/>
    </row>
    <row r="7061" spans="1:8">
      <c r="A7061" s="77">
        <v>45663</v>
      </c>
      <c r="B7061" s="62"/>
      <c r="C7061" s="62" t="s">
        <v>86</v>
      </c>
      <c r="D7061" s="5" t="s">
        <v>3466</v>
      </c>
      <c r="E7061" s="62">
        <v>400000</v>
      </c>
      <c r="F7061" s="62"/>
      <c r="G7061" s="62" t="s">
        <v>27</v>
      </c>
      <c r="H7061" s="5"/>
    </row>
    <row r="7062" spans="1:8">
      <c r="A7062" s="600">
        <v>45663</v>
      </c>
      <c r="B7062" s="599"/>
      <c r="C7062" s="599" t="s">
        <v>831</v>
      </c>
      <c r="D7062" s="3" t="s">
        <v>3467</v>
      </c>
      <c r="E7062" s="1497">
        <v>25000</v>
      </c>
      <c r="F7062" s="1497"/>
      <c r="G7062" s="599" t="s">
        <v>27</v>
      </c>
      <c r="H7062" s="3"/>
    </row>
    <row r="7063" spans="1:8">
      <c r="A7063" s="77">
        <v>45663</v>
      </c>
      <c r="B7063" s="599"/>
      <c r="C7063" s="599" t="s">
        <v>92</v>
      </c>
      <c r="D7063" s="3" t="s">
        <v>3470</v>
      </c>
      <c r="E7063" s="1497"/>
      <c r="F7063" s="1497">
        <v>2500000</v>
      </c>
      <c r="G7063" s="599" t="s">
        <v>27</v>
      </c>
      <c r="H7063" s="3"/>
    </row>
    <row r="7064" spans="1:8">
      <c r="A7064" s="600">
        <v>45663</v>
      </c>
      <c r="B7064" s="599"/>
      <c r="C7064" s="599" t="s">
        <v>92</v>
      </c>
      <c r="D7064" s="3" t="s">
        <v>3468</v>
      </c>
      <c r="E7064" s="1497"/>
      <c r="F7064" s="1497">
        <v>25000</v>
      </c>
      <c r="G7064" s="599" t="s">
        <v>27</v>
      </c>
      <c r="H7064" s="3"/>
    </row>
    <row r="7065" spans="1:8">
      <c r="A7065" s="600">
        <v>45663</v>
      </c>
      <c r="B7065" s="599"/>
      <c r="C7065" s="599" t="s">
        <v>1968</v>
      </c>
      <c r="D7065" s="3" t="s">
        <v>3469</v>
      </c>
      <c r="E7065" s="1497">
        <v>80000</v>
      </c>
      <c r="F7065" s="1497"/>
      <c r="G7065" s="599" t="s">
        <v>27</v>
      </c>
      <c r="H7065" s="3"/>
    </row>
    <row r="7066" spans="1:8">
      <c r="A7066" s="600">
        <v>45663</v>
      </c>
      <c r="B7066" s="599"/>
      <c r="C7066" s="599" t="s">
        <v>537</v>
      </c>
      <c r="D7066" s="3" t="s">
        <v>144</v>
      </c>
      <c r="E7066" s="1497">
        <v>224000</v>
      </c>
      <c r="F7066" s="1497"/>
      <c r="G7066" s="599" t="s">
        <v>27</v>
      </c>
      <c r="H7066" s="3"/>
    </row>
    <row r="7067" spans="1:8">
      <c r="A7067" s="602">
        <v>45664</v>
      </c>
      <c r="B7067" s="599"/>
      <c r="C7067" s="599" t="s">
        <v>77</v>
      </c>
      <c r="D7067" s="3" t="s">
        <v>3471</v>
      </c>
      <c r="E7067" s="1497"/>
      <c r="F7067" s="1497">
        <v>1944000</v>
      </c>
      <c r="G7067" s="601" t="s">
        <v>287</v>
      </c>
      <c r="H7067" s="3"/>
    </row>
    <row r="7068" spans="1:8">
      <c r="A7068" s="613">
        <v>45664</v>
      </c>
      <c r="B7068" s="612"/>
      <c r="C7068" s="612" t="s">
        <v>86</v>
      </c>
      <c r="D7068" s="3" t="s">
        <v>3472</v>
      </c>
      <c r="E7068" s="1497">
        <v>42000</v>
      </c>
      <c r="F7068" s="1497"/>
      <c r="G7068" s="612" t="s">
        <v>56</v>
      </c>
      <c r="H7068" s="3"/>
    </row>
    <row r="7069" spans="1:8">
      <c r="A7069" s="613">
        <v>45664</v>
      </c>
      <c r="B7069" s="612"/>
      <c r="C7069" s="612" t="s">
        <v>205</v>
      </c>
      <c r="D7069" s="3" t="s">
        <v>71</v>
      </c>
      <c r="E7069" s="1497">
        <v>831687.5</v>
      </c>
      <c r="F7069" s="1497"/>
      <c r="G7069" s="612" t="s">
        <v>287</v>
      </c>
      <c r="H7069" s="3"/>
    </row>
    <row r="7070" spans="1:8">
      <c r="A7070" s="606">
        <v>45665</v>
      </c>
      <c r="B7070" s="605"/>
      <c r="C7070" s="605" t="s">
        <v>92</v>
      </c>
      <c r="D7070" s="3" t="s">
        <v>3473</v>
      </c>
      <c r="E7070" s="1497"/>
      <c r="F7070" s="1497">
        <v>62000</v>
      </c>
      <c r="G7070" s="605" t="s">
        <v>56</v>
      </c>
      <c r="H7070" s="3"/>
    </row>
    <row r="7071" spans="1:8">
      <c r="A7071" s="606">
        <v>45665</v>
      </c>
      <c r="B7071" s="605"/>
      <c r="C7071" s="605" t="s">
        <v>831</v>
      </c>
      <c r="D7071" s="3" t="s">
        <v>3476</v>
      </c>
      <c r="E7071" s="1497">
        <v>2000</v>
      </c>
      <c r="F7071" s="1497"/>
      <c r="G7071" s="605" t="s">
        <v>56</v>
      </c>
      <c r="H7071" s="3"/>
    </row>
    <row r="7072" spans="1:8">
      <c r="A7072" s="606">
        <v>45665</v>
      </c>
      <c r="B7072" s="605"/>
      <c r="C7072" s="605" t="s">
        <v>831</v>
      </c>
      <c r="D7072" s="3" t="s">
        <v>3475</v>
      </c>
      <c r="E7072" s="1497">
        <v>320000</v>
      </c>
      <c r="F7072" s="1497"/>
      <c r="G7072" s="605" t="s">
        <v>56</v>
      </c>
      <c r="H7072" s="3"/>
    </row>
    <row r="7073" spans="1:8">
      <c r="A7073" s="608">
        <v>45666</v>
      </c>
      <c r="B7073" s="605"/>
      <c r="C7073" s="605" t="s">
        <v>77</v>
      </c>
      <c r="D7073" s="3" t="s">
        <v>3477</v>
      </c>
      <c r="E7073" s="1497"/>
      <c r="F7073" s="1497">
        <v>6890300</v>
      </c>
      <c r="G7073" s="605" t="s">
        <v>27</v>
      </c>
      <c r="H7073" s="3"/>
    </row>
    <row r="7074" spans="1:8">
      <c r="A7074" s="608">
        <v>45666</v>
      </c>
      <c r="B7074" s="605"/>
      <c r="C7074" s="605" t="s">
        <v>77</v>
      </c>
      <c r="D7074" s="3" t="s">
        <v>3477</v>
      </c>
      <c r="E7074" s="1497">
        <v>341146.15</v>
      </c>
      <c r="F7074" s="1497"/>
      <c r="G7074" s="607" t="s">
        <v>27</v>
      </c>
      <c r="H7074" s="3"/>
    </row>
    <row r="7075" spans="1:8">
      <c r="A7075" s="608">
        <v>45666</v>
      </c>
      <c r="B7075" s="605"/>
      <c r="C7075" s="605" t="s">
        <v>79</v>
      </c>
      <c r="D7075" s="3" t="s">
        <v>1648</v>
      </c>
      <c r="E7075" s="1497">
        <v>186330</v>
      </c>
      <c r="F7075" s="1497"/>
      <c r="G7075" s="605" t="s">
        <v>108</v>
      </c>
      <c r="H7075" s="3"/>
    </row>
    <row r="7076" spans="1:8">
      <c r="A7076" s="608">
        <v>45666</v>
      </c>
      <c r="B7076" s="605"/>
      <c r="C7076" s="605" t="s">
        <v>205</v>
      </c>
      <c r="D7076" s="3" t="s">
        <v>53</v>
      </c>
      <c r="E7076" s="1497">
        <v>30250</v>
      </c>
      <c r="F7076" s="1497"/>
      <c r="G7076" s="605" t="s">
        <v>27</v>
      </c>
      <c r="H7076" s="3"/>
    </row>
    <row r="7077" spans="1:8">
      <c r="A7077" s="608">
        <v>45666</v>
      </c>
      <c r="B7077" s="605"/>
      <c r="C7077" s="605" t="s">
        <v>730</v>
      </c>
      <c r="D7077" s="3" t="s">
        <v>3478</v>
      </c>
      <c r="E7077" s="1497">
        <v>120000</v>
      </c>
      <c r="F7077" s="1497"/>
      <c r="G7077" s="605" t="s">
        <v>27</v>
      </c>
      <c r="H7077" s="3"/>
    </row>
    <row r="7078" spans="1:8">
      <c r="A7078" s="610">
        <v>45667</v>
      </c>
      <c r="B7078" s="607"/>
      <c r="C7078" s="607" t="s">
        <v>715</v>
      </c>
      <c r="D7078" s="3" t="s">
        <v>2630</v>
      </c>
      <c r="E7078" s="1497">
        <v>29248</v>
      </c>
      <c r="F7078" s="1497"/>
      <c r="G7078" s="607" t="s">
        <v>27</v>
      </c>
      <c r="H7078" s="3"/>
    </row>
    <row r="7079" spans="1:8">
      <c r="A7079" s="610">
        <v>45667</v>
      </c>
      <c r="B7079" s="607"/>
      <c r="C7079" s="607" t="s">
        <v>94</v>
      </c>
      <c r="D7079" s="3" t="s">
        <v>17</v>
      </c>
      <c r="E7079" s="1497">
        <v>65488.98</v>
      </c>
      <c r="F7079" s="1497"/>
      <c r="G7079" s="607" t="s">
        <v>27</v>
      </c>
      <c r="H7079" s="3"/>
    </row>
    <row r="7080" spans="1:8">
      <c r="A7080" s="610">
        <v>45667</v>
      </c>
      <c r="B7080" s="607"/>
      <c r="C7080" s="607" t="s">
        <v>79</v>
      </c>
      <c r="D7080" s="3" t="s">
        <v>1648</v>
      </c>
      <c r="E7080" s="1497">
        <v>186330</v>
      </c>
      <c r="F7080" s="1497"/>
      <c r="G7080" s="607" t="s">
        <v>79</v>
      </c>
      <c r="H7080" s="3"/>
    </row>
    <row r="7081" spans="1:8">
      <c r="A7081" s="610">
        <v>45667</v>
      </c>
      <c r="B7081" s="607"/>
      <c r="C7081" s="607" t="s">
        <v>88</v>
      </c>
      <c r="D7081" s="3" t="s">
        <v>208</v>
      </c>
      <c r="E7081" s="1497">
        <v>260000</v>
      </c>
      <c r="F7081" s="1497"/>
      <c r="G7081" s="607" t="s">
        <v>56</v>
      </c>
      <c r="H7081" s="3"/>
    </row>
    <row r="7082" spans="1:8">
      <c r="A7082" s="610">
        <v>45667</v>
      </c>
      <c r="B7082" s="607"/>
      <c r="C7082" s="609" t="s">
        <v>88</v>
      </c>
      <c r="D7082" s="3" t="s">
        <v>219</v>
      </c>
      <c r="E7082" s="1497">
        <v>273000</v>
      </c>
      <c r="F7082" s="1497"/>
      <c r="G7082" s="609" t="s">
        <v>56</v>
      </c>
      <c r="H7082" s="3"/>
    </row>
    <row r="7083" spans="1:8">
      <c r="A7083" s="610">
        <v>45667</v>
      </c>
      <c r="B7083" s="607"/>
      <c r="C7083" s="609" t="s">
        <v>88</v>
      </c>
      <c r="D7083" s="3" t="s">
        <v>144</v>
      </c>
      <c r="E7083" s="1497">
        <v>124000</v>
      </c>
      <c r="F7083" s="1497"/>
      <c r="G7083" s="607" t="s">
        <v>56</v>
      </c>
      <c r="H7083" s="3"/>
    </row>
    <row r="7084" spans="1:8">
      <c r="A7084" s="610">
        <v>45667</v>
      </c>
      <c r="B7084" s="607"/>
      <c r="C7084" s="609" t="s">
        <v>88</v>
      </c>
      <c r="D7084" s="3" t="s">
        <v>144</v>
      </c>
      <c r="E7084" s="1497">
        <v>200000</v>
      </c>
      <c r="F7084" s="1497"/>
      <c r="G7084" s="607" t="s">
        <v>27</v>
      </c>
      <c r="H7084" s="3"/>
    </row>
    <row r="7085" spans="1:8" ht="15.75" thickBot="1">
      <c r="A7085" s="613">
        <v>45667</v>
      </c>
      <c r="B7085" s="612"/>
      <c r="C7085" s="612" t="s">
        <v>79</v>
      </c>
      <c r="D7085" s="3" t="s">
        <v>79</v>
      </c>
      <c r="E7085" s="1497">
        <v>49400</v>
      </c>
      <c r="F7085" s="1497"/>
      <c r="G7085" s="612" t="s">
        <v>27</v>
      </c>
      <c r="H7085" s="85"/>
    </row>
    <row r="7086" spans="1:8" ht="15.75" thickBot="1">
      <c r="A7086" s="244"/>
      <c r="B7086" s="244"/>
      <c r="C7086" s="244"/>
      <c r="D7086" s="115"/>
      <c r="E7086" s="1492"/>
      <c r="F7086" s="1492"/>
      <c r="G7086" s="244"/>
      <c r="H7086" s="201">
        <v>45667</v>
      </c>
    </row>
    <row r="7087" spans="1:8">
      <c r="A7087" s="244"/>
      <c r="B7087" s="244"/>
      <c r="C7087" s="244"/>
      <c r="D7087" s="115"/>
      <c r="E7087" s="1492"/>
      <c r="F7087" s="1492"/>
      <c r="G7087" s="244"/>
      <c r="H7087" s="199" t="s">
        <v>3124</v>
      </c>
    </row>
    <row r="7088" spans="1:8">
      <c r="A7088" s="244"/>
      <c r="B7088" s="244"/>
      <c r="C7088" s="244"/>
      <c r="D7088" s="115"/>
      <c r="E7088" s="1492"/>
      <c r="F7088" s="1492"/>
      <c r="G7088" s="244"/>
      <c r="H7088" s="137" t="s">
        <v>3480</v>
      </c>
    </row>
    <row r="7089" spans="1:8">
      <c r="A7089" s="244"/>
      <c r="B7089" s="244"/>
      <c r="C7089" s="244"/>
      <c r="D7089" s="115"/>
      <c r="E7089" s="1492"/>
      <c r="F7089" s="1492"/>
      <c r="G7089" s="244"/>
      <c r="H7089" s="138" t="s">
        <v>3432</v>
      </c>
    </row>
    <row r="7090" spans="1:8">
      <c r="A7090" s="244"/>
      <c r="B7090" s="244"/>
      <c r="C7090" s="244"/>
      <c r="D7090" s="115"/>
      <c r="E7090" s="1492"/>
      <c r="F7090" s="1492"/>
      <c r="G7090" s="244"/>
      <c r="H7090" s="138" t="s">
        <v>3488</v>
      </c>
    </row>
    <row r="7091" spans="1:8">
      <c r="H7091" s="138" t="s">
        <v>3481</v>
      </c>
    </row>
    <row r="7092" spans="1:8">
      <c r="H7092" s="138" t="s">
        <v>3482</v>
      </c>
    </row>
    <row r="7093" spans="1:8">
      <c r="H7093" s="138" t="s">
        <v>3479</v>
      </c>
    </row>
    <row r="7094" spans="1:8" ht="15.75" thickBot="1">
      <c r="H7094" s="139" t="s">
        <v>2151</v>
      </c>
    </row>
    <row r="7095" spans="1:8" ht="15.75" thickBot="1">
      <c r="H7095" s="538" t="s">
        <v>2599</v>
      </c>
    </row>
    <row r="7096" spans="1:8">
      <c r="A7096" s="613">
        <v>45670</v>
      </c>
      <c r="B7096" s="612"/>
      <c r="C7096" s="612" t="s">
        <v>79</v>
      </c>
      <c r="D7096" s="3" t="s">
        <v>79</v>
      </c>
      <c r="E7096" s="1497">
        <v>250000</v>
      </c>
      <c r="F7096" s="1497"/>
      <c r="G7096" s="612" t="s">
        <v>56</v>
      </c>
      <c r="H7096" s="3"/>
    </row>
    <row r="7097" spans="1:8">
      <c r="A7097" s="613">
        <v>45670</v>
      </c>
      <c r="B7097" s="612"/>
      <c r="C7097" s="612" t="s">
        <v>79</v>
      </c>
      <c r="D7097" s="3" t="s">
        <v>79</v>
      </c>
      <c r="E7097" s="1497">
        <v>127551.05</v>
      </c>
      <c r="F7097" s="1497"/>
      <c r="G7097" s="612" t="s">
        <v>27</v>
      </c>
      <c r="H7097" s="3"/>
    </row>
    <row r="7098" spans="1:8">
      <c r="A7098" s="613">
        <v>45670</v>
      </c>
      <c r="B7098" s="612"/>
      <c r="C7098" s="612" t="s">
        <v>77</v>
      </c>
      <c r="D7098" s="3" t="s">
        <v>3484</v>
      </c>
      <c r="E7098" s="1497">
        <v>882500</v>
      </c>
      <c r="F7098" s="1497"/>
      <c r="G7098" s="612" t="s">
        <v>27</v>
      </c>
      <c r="H7098" s="3"/>
    </row>
    <row r="7099" spans="1:8">
      <c r="A7099" s="613">
        <v>45670</v>
      </c>
      <c r="B7099" s="612"/>
      <c r="C7099" s="612" t="s">
        <v>3485</v>
      </c>
      <c r="D7099" s="3" t="s">
        <v>3483</v>
      </c>
      <c r="E7099" s="1497">
        <v>1100000</v>
      </c>
      <c r="F7099" s="1497"/>
      <c r="G7099" s="612" t="s">
        <v>27</v>
      </c>
      <c r="H7099" s="3"/>
    </row>
    <row r="7100" spans="1:8">
      <c r="A7100" s="613">
        <v>45670</v>
      </c>
      <c r="B7100" s="612"/>
      <c r="C7100" s="612" t="s">
        <v>79</v>
      </c>
      <c r="D7100" s="3" t="s">
        <v>163</v>
      </c>
      <c r="E7100" s="1497" t="s">
        <v>3486</v>
      </c>
      <c r="F7100" s="1497"/>
      <c r="G7100" s="612" t="s">
        <v>27</v>
      </c>
      <c r="H7100" s="3"/>
    </row>
    <row r="7101" spans="1:8">
      <c r="A7101" s="613">
        <v>45670</v>
      </c>
      <c r="B7101" s="612"/>
      <c r="C7101" s="612" t="s">
        <v>79</v>
      </c>
      <c r="D7101" s="3" t="s">
        <v>155</v>
      </c>
      <c r="E7101" s="1497">
        <v>133567.21</v>
      </c>
      <c r="F7101" s="1497"/>
      <c r="G7101" s="612" t="s">
        <v>27</v>
      </c>
      <c r="H7101" s="3"/>
    </row>
    <row r="7102" spans="1:8">
      <c r="A7102" s="613">
        <v>45670</v>
      </c>
      <c r="B7102" s="612"/>
      <c r="C7102" s="612" t="s">
        <v>79</v>
      </c>
      <c r="D7102" s="3" t="s">
        <v>155</v>
      </c>
      <c r="E7102" s="1497">
        <v>19081.03</v>
      </c>
      <c r="F7102" s="1497"/>
      <c r="G7102" s="612" t="s">
        <v>27</v>
      </c>
      <c r="H7102" s="3"/>
    </row>
    <row r="7103" spans="1:8">
      <c r="A7103" s="613">
        <v>45670</v>
      </c>
      <c r="B7103" s="612"/>
      <c r="C7103" s="612" t="s">
        <v>79</v>
      </c>
      <c r="D7103" s="3" t="s">
        <v>2355</v>
      </c>
      <c r="E7103" s="1497">
        <v>28520</v>
      </c>
      <c r="F7103" s="1497"/>
      <c r="G7103" s="612" t="s">
        <v>27</v>
      </c>
      <c r="H7103" s="3"/>
    </row>
    <row r="7104" spans="1:8">
      <c r="A7104" s="613">
        <v>45670</v>
      </c>
      <c r="B7104" s="612"/>
      <c r="C7104" s="612" t="s">
        <v>90</v>
      </c>
      <c r="D7104" s="3" t="s">
        <v>3048</v>
      </c>
      <c r="E7104" s="1497">
        <v>506419.88</v>
      </c>
      <c r="F7104" s="1497"/>
      <c r="G7104" s="612" t="s">
        <v>27</v>
      </c>
      <c r="H7104" s="3"/>
    </row>
    <row r="7105" spans="1:8">
      <c r="A7105" s="613">
        <v>45670</v>
      </c>
      <c r="B7105" s="612"/>
      <c r="C7105" s="612" t="s">
        <v>205</v>
      </c>
      <c r="D7105" s="3" t="s">
        <v>3487</v>
      </c>
      <c r="E7105" s="1497">
        <v>84200</v>
      </c>
      <c r="F7105" s="1497"/>
      <c r="G7105" s="612" t="s">
        <v>27</v>
      </c>
      <c r="H7105" s="3"/>
    </row>
    <row r="7106" spans="1:8">
      <c r="A7106" s="613">
        <v>45670</v>
      </c>
      <c r="B7106" s="612"/>
      <c r="C7106" s="612" t="s">
        <v>205</v>
      </c>
      <c r="D7106" s="3" t="s">
        <v>2058</v>
      </c>
      <c r="E7106" s="1497">
        <v>487025</v>
      </c>
      <c r="F7106" s="1497"/>
      <c r="G7106" s="612" t="s">
        <v>27</v>
      </c>
      <c r="H7106" s="3"/>
    </row>
    <row r="7107" spans="1:8">
      <c r="A7107" s="615">
        <v>45670</v>
      </c>
      <c r="B7107" s="612"/>
      <c r="C7107" s="612" t="s">
        <v>534</v>
      </c>
      <c r="D7107" s="3" t="s">
        <v>104</v>
      </c>
      <c r="E7107" s="1497">
        <v>20000</v>
      </c>
      <c r="F7107" s="1497"/>
      <c r="G7107" s="612" t="s">
        <v>56</v>
      </c>
      <c r="H7107" s="3"/>
    </row>
    <row r="7108" spans="1:8">
      <c r="A7108" s="615">
        <v>45670</v>
      </c>
      <c r="B7108" s="612"/>
      <c r="C7108" s="612" t="s">
        <v>55</v>
      </c>
      <c r="D7108" s="3" t="s">
        <v>3489</v>
      </c>
      <c r="E7108" s="1497">
        <v>750</v>
      </c>
      <c r="F7108" s="1497"/>
      <c r="G7108" s="614" t="s">
        <v>56</v>
      </c>
      <c r="H7108" s="3"/>
    </row>
    <row r="7109" spans="1:8">
      <c r="A7109" s="615">
        <v>45670</v>
      </c>
      <c r="B7109" s="612"/>
      <c r="C7109" s="612" t="s">
        <v>92</v>
      </c>
      <c r="D7109" s="3" t="s">
        <v>3490</v>
      </c>
      <c r="E7109" s="1497"/>
      <c r="F7109" s="1497">
        <v>35000</v>
      </c>
      <c r="G7109" s="612" t="s">
        <v>27</v>
      </c>
      <c r="H7109" s="3"/>
    </row>
    <row r="7110" spans="1:8">
      <c r="A7110" s="617">
        <v>45671</v>
      </c>
      <c r="B7110" s="612"/>
      <c r="C7110" s="612" t="s">
        <v>537</v>
      </c>
      <c r="D7110" s="3" t="s">
        <v>193</v>
      </c>
      <c r="E7110" s="1497">
        <v>110000</v>
      </c>
      <c r="F7110" s="1497"/>
      <c r="G7110" s="612" t="s">
        <v>56</v>
      </c>
      <c r="H7110" s="3"/>
    </row>
    <row r="7111" spans="1:8">
      <c r="A7111" s="617">
        <v>45671</v>
      </c>
      <c r="B7111" s="612"/>
      <c r="C7111" s="612" t="s">
        <v>205</v>
      </c>
      <c r="D7111" s="3" t="s">
        <v>71</v>
      </c>
      <c r="E7111" s="1497">
        <v>36000</v>
      </c>
      <c r="F7111" s="1497"/>
      <c r="G7111" s="612" t="s">
        <v>995</v>
      </c>
      <c r="H7111" s="3"/>
    </row>
    <row r="7112" spans="1:8">
      <c r="A7112" s="617">
        <v>45671</v>
      </c>
      <c r="B7112" s="612"/>
      <c r="C7112" s="616" t="s">
        <v>205</v>
      </c>
      <c r="D7112" s="3" t="s">
        <v>71</v>
      </c>
      <c r="E7112" s="1497">
        <v>324000</v>
      </c>
      <c r="F7112" s="1497"/>
      <c r="G7112" s="612" t="s">
        <v>287</v>
      </c>
      <c r="H7112" s="45" t="s">
        <v>3491</v>
      </c>
    </row>
    <row r="7113" spans="1:8">
      <c r="A7113" s="617">
        <v>45671</v>
      </c>
      <c r="B7113" s="616"/>
      <c r="C7113" s="616" t="s">
        <v>537</v>
      </c>
      <c r="D7113" s="3" t="s">
        <v>208</v>
      </c>
      <c r="E7113" s="1497">
        <v>20000</v>
      </c>
      <c r="F7113" s="1497"/>
      <c r="G7113" s="616" t="s">
        <v>56</v>
      </c>
      <c r="H7113" s="3"/>
    </row>
    <row r="7114" spans="1:8">
      <c r="A7114" s="619">
        <v>45671</v>
      </c>
      <c r="B7114" s="618"/>
      <c r="C7114" s="618" t="s">
        <v>55</v>
      </c>
      <c r="D7114" s="3" t="s">
        <v>3494</v>
      </c>
      <c r="E7114" s="1497">
        <v>2880</v>
      </c>
      <c r="F7114" s="1497"/>
      <c r="G7114" s="618" t="s">
        <v>56</v>
      </c>
      <c r="H7114" s="3"/>
    </row>
    <row r="7115" spans="1:8">
      <c r="A7115" s="619">
        <v>45672</v>
      </c>
      <c r="B7115" s="616"/>
      <c r="C7115" s="616" t="s">
        <v>55</v>
      </c>
      <c r="D7115" s="3" t="s">
        <v>3492</v>
      </c>
      <c r="E7115" s="1497">
        <v>8000</v>
      </c>
      <c r="F7115" s="1497"/>
      <c r="G7115" s="616" t="s">
        <v>27</v>
      </c>
      <c r="H7115" s="3"/>
    </row>
    <row r="7116" spans="1:8">
      <c r="A7116" s="619">
        <v>45672</v>
      </c>
      <c r="B7116" s="616"/>
      <c r="C7116" s="616" t="s">
        <v>94</v>
      </c>
      <c r="D7116" s="3" t="s">
        <v>3493</v>
      </c>
      <c r="E7116" s="1497">
        <v>92257.99</v>
      </c>
      <c r="F7116" s="1497"/>
      <c r="G7116" s="618" t="s">
        <v>27</v>
      </c>
      <c r="H7116" s="3"/>
    </row>
    <row r="7117" spans="1:8">
      <c r="A7117" s="112">
        <v>45672</v>
      </c>
      <c r="B7117" s="70"/>
      <c r="C7117" s="70" t="s">
        <v>86</v>
      </c>
      <c r="D7117" s="113" t="s">
        <v>3496</v>
      </c>
      <c r="E7117" s="70">
        <v>30000</v>
      </c>
      <c r="F7117" s="70"/>
      <c r="G7117" s="70" t="s">
        <v>56</v>
      </c>
      <c r="H7117" s="3"/>
    </row>
    <row r="7118" spans="1:8">
      <c r="A7118" s="621">
        <v>45673</v>
      </c>
      <c r="B7118" s="616"/>
      <c r="C7118" s="616" t="s">
        <v>156</v>
      </c>
      <c r="D7118" s="3" t="s">
        <v>156</v>
      </c>
      <c r="E7118" s="1497">
        <v>32001.68</v>
      </c>
      <c r="F7118" s="1497"/>
      <c r="G7118" s="616" t="s">
        <v>27</v>
      </c>
      <c r="H7118" s="3"/>
    </row>
    <row r="7119" spans="1:8">
      <c r="A7119" s="621">
        <v>45673</v>
      </c>
      <c r="B7119" s="616"/>
      <c r="C7119" s="616" t="s">
        <v>205</v>
      </c>
      <c r="D7119" s="3" t="s">
        <v>11</v>
      </c>
      <c r="E7119" s="1497">
        <v>203735</v>
      </c>
      <c r="F7119" s="1497"/>
      <c r="G7119" s="616" t="s">
        <v>27</v>
      </c>
      <c r="H7119" s="3"/>
    </row>
    <row r="7120" spans="1:8">
      <c r="A7120" s="621">
        <v>45673</v>
      </c>
      <c r="B7120" s="620"/>
      <c r="C7120" s="620"/>
      <c r="D7120" s="3" t="s">
        <v>97</v>
      </c>
      <c r="E7120" s="1497">
        <v>18000</v>
      </c>
      <c r="F7120" s="1497"/>
      <c r="G7120" s="620" t="s">
        <v>27</v>
      </c>
      <c r="H7120" s="3"/>
    </row>
    <row r="7121" spans="1:8">
      <c r="A7121" s="621">
        <v>45673</v>
      </c>
      <c r="B7121" s="616"/>
      <c r="C7121" s="616" t="s">
        <v>79</v>
      </c>
      <c r="D7121" s="3" t="s">
        <v>63</v>
      </c>
      <c r="E7121" s="1497">
        <v>10675.13</v>
      </c>
      <c r="F7121" s="1497"/>
      <c r="G7121" s="616" t="s">
        <v>27</v>
      </c>
      <c r="H7121" s="3"/>
    </row>
    <row r="7122" spans="1:8">
      <c r="A7122" s="621">
        <v>45673</v>
      </c>
      <c r="B7122" s="616"/>
      <c r="C7122" s="616" t="s">
        <v>79</v>
      </c>
      <c r="D7122" s="3" t="s">
        <v>13</v>
      </c>
      <c r="E7122" s="1497">
        <v>23648.73</v>
      </c>
      <c r="F7122" s="1497"/>
      <c r="G7122" s="620" t="s">
        <v>27</v>
      </c>
      <c r="H7122" s="3"/>
    </row>
    <row r="7123" spans="1:8">
      <c r="A7123" s="623">
        <v>45674</v>
      </c>
      <c r="B7123" s="620"/>
      <c r="C7123" s="620" t="s">
        <v>3171</v>
      </c>
      <c r="D7123" s="3" t="s">
        <v>2667</v>
      </c>
      <c r="E7123" s="1497"/>
      <c r="F7123" s="1497">
        <v>418000</v>
      </c>
      <c r="G7123" s="620" t="s">
        <v>56</v>
      </c>
      <c r="H7123" s="3"/>
    </row>
    <row r="7124" spans="1:8">
      <c r="A7124" s="112">
        <v>45674</v>
      </c>
      <c r="B7124" s="70"/>
      <c r="C7124" s="70" t="s">
        <v>86</v>
      </c>
      <c r="D7124" s="113" t="s">
        <v>3495</v>
      </c>
      <c r="E7124" s="70">
        <v>30000</v>
      </c>
      <c r="F7124" s="70"/>
      <c r="G7124" s="70" t="s">
        <v>27</v>
      </c>
      <c r="H7124" s="3"/>
    </row>
    <row r="7125" spans="1:8">
      <c r="A7125" s="112">
        <v>45674</v>
      </c>
      <c r="B7125" s="70"/>
      <c r="C7125" s="70" t="s">
        <v>205</v>
      </c>
      <c r="D7125" s="113" t="s">
        <v>3497</v>
      </c>
      <c r="E7125" s="70">
        <v>32000</v>
      </c>
      <c r="F7125" s="70"/>
      <c r="G7125" s="70" t="s">
        <v>56</v>
      </c>
      <c r="H7125" s="3"/>
    </row>
    <row r="7126" spans="1:8">
      <c r="A7126" s="623">
        <v>45674</v>
      </c>
      <c r="B7126" s="620"/>
      <c r="C7126" s="620" t="s">
        <v>77</v>
      </c>
      <c r="D7126" s="3" t="s">
        <v>3498</v>
      </c>
      <c r="E7126" s="1497"/>
      <c r="F7126" s="1497">
        <v>9970000</v>
      </c>
      <c r="G7126" s="620" t="s">
        <v>56</v>
      </c>
      <c r="H7126" s="3"/>
    </row>
    <row r="7127" spans="1:8">
      <c r="A7127" s="623">
        <v>45674</v>
      </c>
      <c r="B7127" s="622"/>
      <c r="C7127" s="622" t="s">
        <v>205</v>
      </c>
      <c r="D7127" s="3" t="s">
        <v>71</v>
      </c>
      <c r="E7127" s="1497">
        <v>6732335</v>
      </c>
      <c r="F7127" s="1497"/>
      <c r="G7127" s="622" t="s">
        <v>56</v>
      </c>
      <c r="H7127" s="3"/>
    </row>
    <row r="7128" spans="1:8">
      <c r="A7128" s="112">
        <v>45674</v>
      </c>
      <c r="B7128" s="70"/>
      <c r="C7128" s="70" t="s">
        <v>205</v>
      </c>
      <c r="D7128" s="113" t="s">
        <v>238</v>
      </c>
      <c r="E7128" s="70">
        <v>52300</v>
      </c>
      <c r="F7128" s="70"/>
      <c r="G7128" s="70" t="s">
        <v>56</v>
      </c>
      <c r="H7128" s="3"/>
    </row>
    <row r="7129" spans="1:8">
      <c r="A7129" s="112">
        <v>45674</v>
      </c>
      <c r="B7129" s="70"/>
      <c r="C7129" s="70" t="s">
        <v>86</v>
      </c>
      <c r="D7129" s="113" t="s">
        <v>3496</v>
      </c>
      <c r="E7129" s="70">
        <v>40000</v>
      </c>
      <c r="F7129" s="70"/>
      <c r="G7129" s="70" t="s">
        <v>56</v>
      </c>
      <c r="H7129" s="113"/>
    </row>
    <row r="7130" spans="1:8">
      <c r="A7130" s="625">
        <v>45674</v>
      </c>
      <c r="B7130" s="622"/>
      <c r="C7130" s="622" t="s">
        <v>537</v>
      </c>
      <c r="D7130" s="3" t="s">
        <v>208</v>
      </c>
      <c r="E7130" s="1497">
        <v>140000</v>
      </c>
      <c r="F7130" s="1497"/>
      <c r="G7130" s="622" t="s">
        <v>56</v>
      </c>
      <c r="H7130" s="3"/>
    </row>
    <row r="7131" spans="1:8">
      <c r="A7131" s="112">
        <v>45674</v>
      </c>
      <c r="B7131" s="622"/>
      <c r="C7131" s="622" t="s">
        <v>537</v>
      </c>
      <c r="D7131" s="3" t="s">
        <v>219</v>
      </c>
      <c r="E7131" s="1497">
        <v>168000</v>
      </c>
      <c r="F7131" s="1497"/>
      <c r="G7131" s="622" t="s">
        <v>56</v>
      </c>
      <c r="H7131" s="3"/>
    </row>
    <row r="7132" spans="1:8">
      <c r="A7132" s="112">
        <v>45674</v>
      </c>
      <c r="B7132" s="622"/>
      <c r="C7132" s="622" t="s">
        <v>537</v>
      </c>
      <c r="D7132" s="3" t="s">
        <v>193</v>
      </c>
      <c r="E7132" s="1497">
        <v>110000</v>
      </c>
      <c r="F7132" s="1497"/>
      <c r="G7132" s="622" t="s">
        <v>56</v>
      </c>
      <c r="H7132" s="3"/>
    </row>
    <row r="7133" spans="1:8">
      <c r="A7133" s="625">
        <v>45674</v>
      </c>
      <c r="B7133" s="622"/>
      <c r="C7133" s="622" t="s">
        <v>537</v>
      </c>
      <c r="D7133" s="15" t="s">
        <v>144</v>
      </c>
      <c r="E7133" s="1497">
        <v>200000</v>
      </c>
      <c r="F7133" s="1497"/>
      <c r="G7133" s="622" t="s">
        <v>27</v>
      </c>
      <c r="H7133" s="3"/>
    </row>
    <row r="7134" spans="1:8" ht="15.75" thickBot="1">
      <c r="A7134" s="625">
        <v>45674</v>
      </c>
      <c r="B7134" s="622"/>
      <c r="C7134" s="622" t="s">
        <v>537</v>
      </c>
      <c r="D7134" s="15" t="s">
        <v>144</v>
      </c>
      <c r="E7134" s="1497">
        <v>124000</v>
      </c>
      <c r="F7134" s="1497"/>
      <c r="G7134" s="622" t="s">
        <v>56</v>
      </c>
      <c r="H7134" s="3"/>
    </row>
    <row r="7135" spans="1:8" ht="15.75" thickBot="1">
      <c r="A7135" s="112"/>
      <c r="H7135" s="201">
        <v>45674</v>
      </c>
    </row>
    <row r="7136" spans="1:8">
      <c r="H7136" s="199" t="s">
        <v>3124</v>
      </c>
    </row>
    <row r="7137" spans="1:8">
      <c r="H7137" s="137" t="s">
        <v>3501</v>
      </c>
    </row>
    <row r="7138" spans="1:8">
      <c r="H7138" s="138" t="s">
        <v>3499</v>
      </c>
    </row>
    <row r="7139" spans="1:8">
      <c r="H7139" s="138" t="s">
        <v>3500</v>
      </c>
    </row>
    <row r="7140" spans="1:8">
      <c r="H7140" s="138" t="s">
        <v>3503</v>
      </c>
    </row>
    <row r="7141" spans="1:8">
      <c r="H7141" s="138" t="s">
        <v>3138</v>
      </c>
    </row>
    <row r="7142" spans="1:8">
      <c r="H7142" s="138" t="s">
        <v>3502</v>
      </c>
    </row>
    <row r="7143" spans="1:8" ht="15.75" thickBot="1">
      <c r="H7143" s="139" t="s">
        <v>2151</v>
      </c>
    </row>
    <row r="7144" spans="1:8">
      <c r="H7144" s="288" t="s">
        <v>3504</v>
      </c>
    </row>
    <row r="7145" spans="1:8">
      <c r="A7145" s="625">
        <v>45677</v>
      </c>
      <c r="B7145" s="624"/>
      <c r="C7145" s="624" t="s">
        <v>79</v>
      </c>
      <c r="D7145" s="3" t="s">
        <v>79</v>
      </c>
      <c r="E7145" s="1497">
        <v>27100</v>
      </c>
      <c r="F7145" s="1497"/>
      <c r="G7145" s="624" t="s">
        <v>27</v>
      </c>
      <c r="H7145" s="3"/>
    </row>
    <row r="7146" spans="1:8">
      <c r="A7146" s="625">
        <v>45677</v>
      </c>
      <c r="B7146" s="624"/>
      <c r="C7146" s="624" t="s">
        <v>79</v>
      </c>
      <c r="D7146" s="3" t="s">
        <v>79</v>
      </c>
      <c r="E7146" s="1497">
        <v>48850</v>
      </c>
      <c r="F7146" s="1497"/>
      <c r="G7146" s="624" t="s">
        <v>27</v>
      </c>
      <c r="H7146" s="3"/>
    </row>
    <row r="7147" spans="1:8">
      <c r="A7147" s="625">
        <v>45677</v>
      </c>
      <c r="B7147" s="624"/>
      <c r="C7147" s="624" t="s">
        <v>205</v>
      </c>
      <c r="D7147" s="3" t="s">
        <v>11</v>
      </c>
      <c r="E7147" s="1497">
        <v>490000</v>
      </c>
      <c r="F7147" s="1497"/>
      <c r="G7147" s="624" t="s">
        <v>27</v>
      </c>
      <c r="H7147" s="3"/>
    </row>
    <row r="7148" spans="1:8">
      <c r="A7148" s="625">
        <v>45677</v>
      </c>
      <c r="B7148" s="624"/>
      <c r="C7148" s="624" t="s">
        <v>79</v>
      </c>
      <c r="D7148" s="3" t="s">
        <v>79</v>
      </c>
      <c r="E7148" s="1497">
        <v>12000</v>
      </c>
      <c r="F7148" s="1497"/>
      <c r="G7148" s="624" t="s">
        <v>56</v>
      </c>
      <c r="H7148" s="3"/>
    </row>
    <row r="7149" spans="1:8">
      <c r="A7149" s="625">
        <v>45677</v>
      </c>
      <c r="B7149" s="624"/>
      <c r="C7149" s="624" t="s">
        <v>55</v>
      </c>
      <c r="D7149" s="3" t="s">
        <v>60</v>
      </c>
      <c r="E7149" s="1497">
        <v>2600</v>
      </c>
      <c r="F7149" s="1497"/>
      <c r="G7149" s="624" t="s">
        <v>56</v>
      </c>
      <c r="H7149" s="3"/>
    </row>
    <row r="7150" spans="1:8">
      <c r="A7150" s="625">
        <v>45677</v>
      </c>
      <c r="B7150" s="624"/>
      <c r="C7150" s="624" t="s">
        <v>205</v>
      </c>
      <c r="D7150" s="3" t="s">
        <v>448</v>
      </c>
      <c r="E7150" s="1497">
        <v>60000</v>
      </c>
      <c r="F7150" s="1497"/>
      <c r="G7150" s="624" t="s">
        <v>56</v>
      </c>
      <c r="H7150" s="3"/>
    </row>
    <row r="7151" spans="1:8">
      <c r="A7151" s="625">
        <v>45677</v>
      </c>
      <c r="B7151" s="624"/>
      <c r="C7151" s="624" t="s">
        <v>205</v>
      </c>
      <c r="D7151" s="3" t="s">
        <v>448</v>
      </c>
      <c r="E7151" s="1497">
        <v>991466</v>
      </c>
      <c r="F7151" s="1497"/>
      <c r="G7151" s="624" t="s">
        <v>287</v>
      </c>
      <c r="H7151" s="3"/>
    </row>
    <row r="7152" spans="1:8">
      <c r="A7152" s="625">
        <v>45677</v>
      </c>
      <c r="B7152" s="624"/>
      <c r="C7152" s="624" t="s">
        <v>205</v>
      </c>
      <c r="D7152" s="3" t="s">
        <v>448</v>
      </c>
      <c r="E7152" s="1497">
        <v>250000</v>
      </c>
      <c r="F7152" s="1497"/>
      <c r="G7152" s="624" t="s">
        <v>1742</v>
      </c>
      <c r="H7152" s="3"/>
    </row>
    <row r="7153" spans="1:8">
      <c r="A7153" s="625">
        <v>45677</v>
      </c>
      <c r="B7153" s="624"/>
      <c r="C7153" s="624" t="s">
        <v>205</v>
      </c>
      <c r="D7153" s="3" t="s">
        <v>448</v>
      </c>
      <c r="E7153" s="1497">
        <v>2112553.83</v>
      </c>
      <c r="F7153" s="1497"/>
      <c r="G7153" s="624" t="s">
        <v>287</v>
      </c>
      <c r="H7153" s="3"/>
    </row>
    <row r="7154" spans="1:8">
      <c r="A7154" s="625">
        <v>45677</v>
      </c>
      <c r="B7154" s="624"/>
      <c r="C7154" s="624" t="s">
        <v>55</v>
      </c>
      <c r="D7154" s="3" t="s">
        <v>63</v>
      </c>
      <c r="E7154" s="1497">
        <v>7020</v>
      </c>
      <c r="F7154" s="1497"/>
      <c r="G7154" s="624" t="s">
        <v>27</v>
      </c>
      <c r="H7154" s="3"/>
    </row>
    <row r="7155" spans="1:8">
      <c r="A7155" s="625">
        <v>45677</v>
      </c>
      <c r="B7155" s="624"/>
      <c r="C7155" s="624" t="s">
        <v>76</v>
      </c>
      <c r="D7155" s="3" t="s">
        <v>3506</v>
      </c>
      <c r="E7155" s="1497">
        <v>590000</v>
      </c>
      <c r="F7155" s="1497"/>
      <c r="G7155" s="624" t="s">
        <v>56</v>
      </c>
      <c r="H7155" s="3"/>
    </row>
    <row r="7156" spans="1:8">
      <c r="A7156" s="625">
        <v>45677</v>
      </c>
      <c r="B7156" s="624"/>
      <c r="C7156" s="624" t="s">
        <v>92</v>
      </c>
      <c r="D7156" s="3" t="s">
        <v>3505</v>
      </c>
      <c r="E7156" s="1497">
        <v>135000</v>
      </c>
      <c r="F7156" s="1497"/>
      <c r="G7156" s="624" t="s">
        <v>56</v>
      </c>
      <c r="H7156" s="3"/>
    </row>
    <row r="7157" spans="1:8">
      <c r="A7157" s="112">
        <v>45678</v>
      </c>
      <c r="B7157" s="70"/>
      <c r="C7157" s="70" t="s">
        <v>831</v>
      </c>
      <c r="D7157" s="113" t="s">
        <v>3509</v>
      </c>
      <c r="E7157" s="70">
        <v>20000</v>
      </c>
      <c r="F7157" s="70"/>
      <c r="G7157" s="70" t="s">
        <v>56</v>
      </c>
      <c r="H7157" s="3"/>
    </row>
    <row r="7158" spans="1:8">
      <c r="A7158" s="112">
        <v>45678</v>
      </c>
      <c r="B7158" s="70"/>
      <c r="C7158" s="70" t="s">
        <v>55</v>
      </c>
      <c r="D7158" s="113" t="s">
        <v>3507</v>
      </c>
      <c r="E7158" s="70">
        <v>1650</v>
      </c>
      <c r="F7158" s="70"/>
      <c r="G7158" s="70" t="s">
        <v>56</v>
      </c>
      <c r="H7158" s="3"/>
    </row>
    <row r="7159" spans="1:8">
      <c r="A7159" s="112">
        <v>45678</v>
      </c>
      <c r="B7159" s="70"/>
      <c r="C7159" s="70" t="s">
        <v>205</v>
      </c>
      <c r="D7159" s="113" t="s">
        <v>613</v>
      </c>
      <c r="E7159" s="70">
        <v>26689.119999999999</v>
      </c>
      <c r="F7159" s="70"/>
      <c r="G7159" s="70" t="s">
        <v>56</v>
      </c>
      <c r="H7159" s="3"/>
    </row>
    <row r="7160" spans="1:8">
      <c r="A7160" s="112">
        <v>45678</v>
      </c>
      <c r="B7160" s="70"/>
      <c r="C7160" s="70" t="s">
        <v>205</v>
      </c>
      <c r="D7160" s="113" t="s">
        <v>63</v>
      </c>
      <c r="E7160" s="70">
        <v>990</v>
      </c>
      <c r="F7160" s="70"/>
      <c r="G7160" s="70" t="s">
        <v>56</v>
      </c>
      <c r="H7160" s="3"/>
    </row>
    <row r="7161" spans="1:8">
      <c r="A7161" s="112">
        <v>45678</v>
      </c>
      <c r="B7161" s="70"/>
      <c r="C7161" s="70" t="s">
        <v>86</v>
      </c>
      <c r="D7161" s="113" t="s">
        <v>3508</v>
      </c>
      <c r="E7161" s="70">
        <v>40000</v>
      </c>
      <c r="F7161" s="70"/>
      <c r="G7161" s="70" t="s">
        <v>56</v>
      </c>
      <c r="H7161" s="3"/>
    </row>
    <row r="7162" spans="1:8">
      <c r="A7162" s="13">
        <v>45678</v>
      </c>
      <c r="B7162" s="12"/>
      <c r="C7162" s="12" t="s">
        <v>2190</v>
      </c>
      <c r="D7162" s="89" t="s">
        <v>11</v>
      </c>
      <c r="E7162" s="12">
        <v>440214</v>
      </c>
      <c r="F7162" s="12"/>
      <c r="G7162" s="12" t="s">
        <v>27</v>
      </c>
      <c r="H7162" s="3"/>
    </row>
    <row r="7163" spans="1:8">
      <c r="A7163" s="112">
        <v>45678</v>
      </c>
      <c r="B7163" s="70"/>
      <c r="C7163" s="70" t="s">
        <v>55</v>
      </c>
      <c r="D7163" s="207" t="s">
        <v>63</v>
      </c>
      <c r="E7163" s="70">
        <v>17000</v>
      </c>
      <c r="F7163" s="70"/>
      <c r="G7163" s="70" t="s">
        <v>27</v>
      </c>
      <c r="H7163" s="3"/>
    </row>
    <row r="7164" spans="1:8">
      <c r="A7164" s="112">
        <v>45678</v>
      </c>
      <c r="B7164" s="70"/>
      <c r="C7164" s="70" t="s">
        <v>86</v>
      </c>
      <c r="D7164" s="113" t="s">
        <v>3508</v>
      </c>
      <c r="E7164" s="70">
        <v>50000</v>
      </c>
      <c r="F7164" s="70"/>
      <c r="G7164" s="70" t="s">
        <v>56</v>
      </c>
      <c r="H7164" s="113"/>
    </row>
    <row r="7165" spans="1:8">
      <c r="A7165" s="627">
        <v>45678</v>
      </c>
      <c r="B7165" s="626"/>
      <c r="C7165" s="626" t="s">
        <v>205</v>
      </c>
      <c r="D7165" s="3" t="s">
        <v>190</v>
      </c>
      <c r="E7165" s="1497">
        <v>860000</v>
      </c>
      <c r="F7165" s="1497"/>
      <c r="G7165" s="626" t="s">
        <v>72</v>
      </c>
      <c r="H7165" s="3" t="s">
        <v>3510</v>
      </c>
    </row>
    <row r="7166" spans="1:8">
      <c r="A7166" s="627">
        <v>45678</v>
      </c>
      <c r="B7166" s="626"/>
      <c r="C7166" s="626" t="s">
        <v>205</v>
      </c>
      <c r="D7166" s="3" t="s">
        <v>190</v>
      </c>
      <c r="E7166" s="1497">
        <v>500000</v>
      </c>
      <c r="F7166" s="1497"/>
      <c r="G7166" s="626" t="s">
        <v>56</v>
      </c>
      <c r="H7166" s="3"/>
    </row>
    <row r="7167" spans="1:8">
      <c r="A7167" s="644">
        <v>45678</v>
      </c>
      <c r="B7167" s="643"/>
      <c r="C7167" s="643" t="s">
        <v>92</v>
      </c>
      <c r="D7167" s="3" t="s">
        <v>1445</v>
      </c>
      <c r="E7167" s="1497"/>
      <c r="F7167" s="1497">
        <v>55980</v>
      </c>
      <c r="G7167" s="643" t="s">
        <v>287</v>
      </c>
      <c r="H7167" s="3"/>
    </row>
    <row r="7168" spans="1:8">
      <c r="A7168" s="630">
        <v>45678</v>
      </c>
      <c r="B7168" s="9"/>
      <c r="C7168" s="9" t="s">
        <v>77</v>
      </c>
      <c r="D7168" s="173" t="s">
        <v>242</v>
      </c>
      <c r="E7168" s="9"/>
      <c r="F7168" s="9">
        <v>145000</v>
      </c>
      <c r="G7168" s="9" t="s">
        <v>27</v>
      </c>
      <c r="H7168" s="173"/>
    </row>
    <row r="7169" spans="1:8">
      <c r="A7169" s="630">
        <v>45678</v>
      </c>
      <c r="B7169" s="9"/>
      <c r="C7169" s="9" t="s">
        <v>79</v>
      </c>
      <c r="D7169" s="173" t="s">
        <v>79</v>
      </c>
      <c r="E7169" s="9">
        <v>80000</v>
      </c>
      <c r="F7169" s="9"/>
      <c r="G7169" s="9" t="s">
        <v>56</v>
      </c>
      <c r="H7169" s="173"/>
    </row>
    <row r="7170" spans="1:8">
      <c r="A7170" s="630">
        <v>45678</v>
      </c>
      <c r="B7170" s="9"/>
      <c r="C7170" s="9" t="s">
        <v>79</v>
      </c>
      <c r="D7170" s="173" t="s">
        <v>79</v>
      </c>
      <c r="E7170" s="9">
        <v>32500</v>
      </c>
      <c r="F7170" s="9"/>
      <c r="G7170" s="9" t="s">
        <v>56</v>
      </c>
      <c r="H7170" s="173"/>
    </row>
    <row r="7171" spans="1:8">
      <c r="A7171" s="629">
        <v>45679</v>
      </c>
      <c r="B7171" s="626"/>
      <c r="C7171" s="626" t="s">
        <v>79</v>
      </c>
      <c r="D7171" s="3" t="s">
        <v>79</v>
      </c>
      <c r="E7171" s="1497">
        <v>25050</v>
      </c>
      <c r="F7171" s="1497"/>
      <c r="G7171" s="626" t="s">
        <v>27</v>
      </c>
      <c r="H7171" s="3"/>
    </row>
    <row r="7172" spans="1:8">
      <c r="A7172" s="629">
        <v>45679</v>
      </c>
      <c r="B7172" s="626"/>
      <c r="C7172" s="626" t="s">
        <v>79</v>
      </c>
      <c r="D7172" s="3" t="s">
        <v>79</v>
      </c>
      <c r="E7172" s="1497">
        <v>16180</v>
      </c>
      <c r="F7172" s="1497"/>
      <c r="G7172" s="626" t="s">
        <v>27</v>
      </c>
      <c r="H7172" s="3"/>
    </row>
    <row r="7173" spans="1:8">
      <c r="A7173" s="629">
        <v>45679</v>
      </c>
      <c r="B7173" s="628"/>
      <c r="C7173" s="628" t="s">
        <v>205</v>
      </c>
      <c r="D7173" s="3" t="s">
        <v>3511</v>
      </c>
      <c r="E7173" s="1497"/>
      <c r="F7173" s="1497">
        <v>940000</v>
      </c>
      <c r="G7173" s="628" t="s">
        <v>56</v>
      </c>
      <c r="H7173" s="3"/>
    </row>
    <row r="7174" spans="1:8">
      <c r="A7174" s="631">
        <v>45679</v>
      </c>
      <c r="B7174" s="628"/>
      <c r="C7174" s="628" t="s">
        <v>537</v>
      </c>
      <c r="D7174" s="3" t="s">
        <v>208</v>
      </c>
      <c r="E7174" s="1497">
        <v>40000</v>
      </c>
      <c r="F7174" s="1497"/>
      <c r="G7174" s="628" t="s">
        <v>56</v>
      </c>
      <c r="H7174" s="3"/>
    </row>
    <row r="7175" spans="1:8">
      <c r="A7175" s="112">
        <v>45680</v>
      </c>
      <c r="B7175" s="70"/>
      <c r="C7175" s="70" t="s">
        <v>86</v>
      </c>
      <c r="D7175" s="113" t="s">
        <v>3512</v>
      </c>
      <c r="E7175" s="70">
        <v>30000</v>
      </c>
      <c r="F7175" s="70"/>
      <c r="G7175" s="70" t="s">
        <v>56</v>
      </c>
      <c r="H7175" s="3"/>
    </row>
    <row r="7176" spans="1:8">
      <c r="A7176" s="112">
        <v>45680</v>
      </c>
      <c r="B7176" s="70"/>
      <c r="C7176" s="70" t="s">
        <v>86</v>
      </c>
      <c r="D7176" s="113" t="s">
        <v>3513</v>
      </c>
      <c r="E7176" s="70">
        <v>30000</v>
      </c>
      <c r="F7176" s="70"/>
      <c r="G7176" s="70" t="s">
        <v>56</v>
      </c>
      <c r="H7176" s="3"/>
    </row>
    <row r="7177" spans="1:8">
      <c r="A7177" s="112">
        <v>45680</v>
      </c>
      <c r="B7177" s="70"/>
      <c r="C7177" s="70" t="s">
        <v>831</v>
      </c>
      <c r="D7177" s="207" t="s">
        <v>1179</v>
      </c>
      <c r="E7177" s="70">
        <v>40000</v>
      </c>
      <c r="F7177" s="70"/>
      <c r="G7177" s="70" t="s">
        <v>56</v>
      </c>
      <c r="H7177" s="3"/>
    </row>
    <row r="7178" spans="1:8">
      <c r="A7178" s="633">
        <v>45680</v>
      </c>
      <c r="B7178" s="632"/>
      <c r="C7178" s="632" t="s">
        <v>79</v>
      </c>
      <c r="D7178" s="3" t="s">
        <v>1648</v>
      </c>
      <c r="E7178" s="1497">
        <v>400000</v>
      </c>
      <c r="F7178" s="1497"/>
      <c r="G7178" s="632" t="s">
        <v>56</v>
      </c>
      <c r="H7178" s="3"/>
    </row>
    <row r="7179" spans="1:8">
      <c r="A7179" s="633">
        <v>45680</v>
      </c>
      <c r="B7179" s="632"/>
      <c r="C7179" s="632" t="s">
        <v>79</v>
      </c>
      <c r="D7179" s="3" t="s">
        <v>181</v>
      </c>
      <c r="E7179" s="1497">
        <v>54211.16</v>
      </c>
      <c r="F7179" s="1497"/>
      <c r="G7179" s="632" t="s">
        <v>27</v>
      </c>
      <c r="H7179" s="3"/>
    </row>
    <row r="7180" spans="1:8">
      <c r="A7180" s="633">
        <v>45680</v>
      </c>
      <c r="B7180" s="632"/>
      <c r="C7180" s="632" t="s">
        <v>79</v>
      </c>
      <c r="D7180" s="3" t="s">
        <v>1403</v>
      </c>
      <c r="E7180" s="1497">
        <v>10647.81</v>
      </c>
      <c r="F7180" s="1497"/>
      <c r="G7180" s="632" t="s">
        <v>27</v>
      </c>
      <c r="H7180" s="3"/>
    </row>
    <row r="7181" spans="1:8">
      <c r="A7181" s="633">
        <v>45680</v>
      </c>
      <c r="B7181" s="632"/>
      <c r="C7181" s="632" t="s">
        <v>79</v>
      </c>
      <c r="D7181" s="3" t="s">
        <v>1403</v>
      </c>
      <c r="E7181" s="1497">
        <v>11712.61</v>
      </c>
      <c r="F7181" s="1497"/>
      <c r="G7181" s="632" t="s">
        <v>27</v>
      </c>
      <c r="H7181" s="3"/>
    </row>
    <row r="7182" spans="1:8">
      <c r="A7182" s="112">
        <v>45681</v>
      </c>
      <c r="B7182" s="632"/>
      <c r="C7182" s="70" t="s">
        <v>86</v>
      </c>
      <c r="D7182" s="113" t="s">
        <v>3514</v>
      </c>
      <c r="E7182" s="70">
        <v>30000</v>
      </c>
      <c r="F7182" s="70"/>
      <c r="G7182" s="70" t="s">
        <v>56</v>
      </c>
      <c r="H7182" s="3"/>
    </row>
    <row r="7183" spans="1:8">
      <c r="A7183" s="112">
        <v>45681</v>
      </c>
      <c r="B7183" s="632"/>
      <c r="C7183" s="70" t="s">
        <v>86</v>
      </c>
      <c r="D7183" s="113" t="s">
        <v>3512</v>
      </c>
      <c r="E7183" s="70">
        <v>30000</v>
      </c>
      <c r="F7183" s="70"/>
      <c r="G7183" s="70" t="s">
        <v>56</v>
      </c>
      <c r="H7183" s="3"/>
    </row>
    <row r="7184" spans="1:8">
      <c r="A7184" s="637">
        <v>45681</v>
      </c>
      <c r="B7184" s="632"/>
      <c r="C7184" s="70" t="s">
        <v>831</v>
      </c>
      <c r="D7184" s="113" t="s">
        <v>3517</v>
      </c>
      <c r="E7184" s="70">
        <v>40000</v>
      </c>
      <c r="F7184" s="70"/>
      <c r="G7184" s="70" t="s">
        <v>56</v>
      </c>
      <c r="H7184" s="3"/>
    </row>
    <row r="7185" spans="1:8">
      <c r="A7185" s="635">
        <v>45681</v>
      </c>
      <c r="B7185" s="634"/>
      <c r="C7185" s="634" t="s">
        <v>205</v>
      </c>
      <c r="D7185" s="3" t="s">
        <v>35</v>
      </c>
      <c r="E7185" s="1497">
        <v>220186</v>
      </c>
      <c r="F7185" s="1497"/>
      <c r="G7185" s="634" t="s">
        <v>27</v>
      </c>
      <c r="H7185" s="3"/>
    </row>
    <row r="7186" spans="1:8">
      <c r="A7186" s="635">
        <v>45681</v>
      </c>
      <c r="B7186" s="634"/>
      <c r="C7186" s="634" t="s">
        <v>79</v>
      </c>
      <c r="D7186" s="3" t="s">
        <v>166</v>
      </c>
      <c r="E7186" s="1497">
        <v>414950</v>
      </c>
      <c r="F7186" s="1497"/>
      <c r="G7186" s="634" t="s">
        <v>27</v>
      </c>
      <c r="H7186" s="3"/>
    </row>
    <row r="7187" spans="1:8">
      <c r="A7187" s="635">
        <v>45681</v>
      </c>
      <c r="B7187" s="634"/>
      <c r="C7187" s="634" t="s">
        <v>94</v>
      </c>
      <c r="D7187" s="3" t="s">
        <v>3515</v>
      </c>
      <c r="E7187" s="1497">
        <v>22584.31</v>
      </c>
      <c r="F7187" s="1497"/>
      <c r="G7187" s="634" t="s">
        <v>27</v>
      </c>
      <c r="H7187" s="3"/>
    </row>
    <row r="7188" spans="1:8">
      <c r="A7188" s="635">
        <v>45681</v>
      </c>
      <c r="B7188" s="634"/>
      <c r="C7188" s="634" t="s">
        <v>1968</v>
      </c>
      <c r="D7188" s="3" t="s">
        <v>175</v>
      </c>
      <c r="E7188" s="1497">
        <v>200000</v>
      </c>
      <c r="F7188" s="1497"/>
      <c r="G7188" s="634" t="s">
        <v>56</v>
      </c>
      <c r="H7188" s="3"/>
    </row>
    <row r="7189" spans="1:8">
      <c r="A7189" s="112">
        <v>45681</v>
      </c>
      <c r="B7189" s="70"/>
      <c r="C7189" s="70" t="s">
        <v>454</v>
      </c>
      <c r="D7189" s="113" t="s">
        <v>3516</v>
      </c>
      <c r="E7189" s="70">
        <v>108000</v>
      </c>
      <c r="F7189" s="70"/>
      <c r="G7189" s="70" t="s">
        <v>56</v>
      </c>
      <c r="H7189" s="3"/>
    </row>
    <row r="7190" spans="1:8">
      <c r="A7190" s="112">
        <v>45681</v>
      </c>
      <c r="B7190" s="70"/>
      <c r="C7190" s="70" t="s">
        <v>454</v>
      </c>
      <c r="D7190" s="113" t="s">
        <v>3518</v>
      </c>
      <c r="E7190" s="70">
        <v>14117</v>
      </c>
      <c r="F7190" s="70"/>
      <c r="G7190" s="70" t="s">
        <v>56</v>
      </c>
      <c r="H7190" s="3"/>
    </row>
    <row r="7191" spans="1:8">
      <c r="A7191" s="637">
        <v>45681</v>
      </c>
      <c r="B7191" s="634"/>
      <c r="C7191" s="634" t="s">
        <v>537</v>
      </c>
      <c r="D7191" s="3" t="s">
        <v>219</v>
      </c>
      <c r="E7191" s="1497">
        <v>186900</v>
      </c>
      <c r="F7191" s="1497"/>
      <c r="G7191" s="634" t="s">
        <v>56</v>
      </c>
      <c r="H7191" s="3"/>
    </row>
    <row r="7192" spans="1:8">
      <c r="A7192" s="637">
        <v>45681</v>
      </c>
      <c r="B7192" s="634"/>
      <c r="C7192" s="636" t="s">
        <v>537</v>
      </c>
      <c r="D7192" s="3" t="s">
        <v>193</v>
      </c>
      <c r="E7192" s="1497">
        <v>110000</v>
      </c>
      <c r="F7192" s="1497"/>
      <c r="G7192" s="634" t="s">
        <v>56</v>
      </c>
      <c r="H7192" s="3"/>
    </row>
    <row r="7193" spans="1:8">
      <c r="A7193" s="637">
        <v>45681</v>
      </c>
      <c r="B7193" s="634"/>
      <c r="C7193" s="636" t="s">
        <v>537</v>
      </c>
      <c r="D7193" s="3" t="s">
        <v>208</v>
      </c>
      <c r="E7193" s="1497">
        <v>136425</v>
      </c>
      <c r="F7193" s="1497"/>
      <c r="G7193" s="634" t="s">
        <v>56</v>
      </c>
      <c r="H7193" s="3"/>
    </row>
    <row r="7194" spans="1:8">
      <c r="A7194" s="637">
        <v>45681</v>
      </c>
      <c r="B7194" s="634"/>
      <c r="C7194" s="634" t="s">
        <v>537</v>
      </c>
      <c r="D7194" s="3" t="s">
        <v>144</v>
      </c>
      <c r="E7194" s="1497">
        <v>250000</v>
      </c>
      <c r="F7194" s="1497"/>
      <c r="G7194" s="634" t="s">
        <v>27</v>
      </c>
      <c r="H7194" s="3"/>
    </row>
    <row r="7195" spans="1:8">
      <c r="A7195" s="637">
        <v>45681</v>
      </c>
      <c r="B7195" s="634"/>
      <c r="C7195" s="636" t="s">
        <v>537</v>
      </c>
      <c r="D7195" s="3" t="s">
        <v>144</v>
      </c>
      <c r="E7195" s="1497">
        <v>124000</v>
      </c>
      <c r="F7195" s="1497"/>
      <c r="G7195" s="634" t="s">
        <v>56</v>
      </c>
      <c r="H7195" s="3"/>
    </row>
    <row r="7196" spans="1:8" ht="15.75" thickBot="1">
      <c r="A7196" s="637">
        <v>45681</v>
      </c>
      <c r="B7196" s="636"/>
      <c r="C7196" s="636" t="s">
        <v>77</v>
      </c>
      <c r="D7196" s="3" t="s">
        <v>3460</v>
      </c>
      <c r="E7196" s="1497">
        <v>98640</v>
      </c>
      <c r="F7196" s="1497"/>
      <c r="G7196" s="636" t="s">
        <v>27</v>
      </c>
      <c r="H7196" s="115"/>
    </row>
    <row r="7197" spans="1:8" ht="15.75" thickBot="1">
      <c r="A7197" s="634"/>
      <c r="B7197" s="634"/>
      <c r="C7197" s="634"/>
      <c r="D7197" s="3"/>
      <c r="E7197" s="1497"/>
      <c r="F7197" s="1497"/>
      <c r="G7197" s="634"/>
      <c r="H7197" s="201">
        <v>45681</v>
      </c>
    </row>
    <row r="7198" spans="1:8">
      <c r="A7198" s="634"/>
      <c r="B7198" s="634"/>
      <c r="C7198" s="634"/>
      <c r="D7198" s="3"/>
      <c r="E7198" s="1497"/>
      <c r="F7198" s="1497"/>
      <c r="G7198" s="634"/>
      <c r="H7198" s="199" t="s">
        <v>3124</v>
      </c>
    </row>
    <row r="7199" spans="1:8">
      <c r="A7199" s="634"/>
      <c r="B7199" s="634"/>
      <c r="C7199" s="634"/>
      <c r="D7199" s="3"/>
      <c r="E7199" s="1497"/>
      <c r="F7199" s="1497"/>
      <c r="G7199" s="634"/>
      <c r="H7199" s="137" t="s">
        <v>3519</v>
      </c>
    </row>
    <row r="7200" spans="1:8">
      <c r="A7200" s="634"/>
      <c r="B7200" s="634"/>
      <c r="C7200" s="634"/>
      <c r="D7200" s="3"/>
      <c r="E7200" s="1497"/>
      <c r="F7200" s="1497"/>
      <c r="G7200" s="634"/>
      <c r="H7200" s="138" t="s">
        <v>3523</v>
      </c>
    </row>
    <row r="7201" spans="1:8">
      <c r="A7201" s="634"/>
      <c r="B7201" s="634"/>
      <c r="C7201" s="634"/>
      <c r="D7201" s="3"/>
      <c r="E7201" s="1497"/>
      <c r="F7201" s="1497"/>
      <c r="G7201" s="634"/>
      <c r="H7201" s="138" t="s">
        <v>3520</v>
      </c>
    </row>
    <row r="7202" spans="1:8">
      <c r="A7202" s="634"/>
      <c r="B7202" s="634"/>
      <c r="C7202" s="634"/>
      <c r="D7202" s="3"/>
      <c r="E7202" s="1497"/>
      <c r="F7202" s="1497"/>
      <c r="G7202" s="634"/>
      <c r="H7202" s="138" t="s">
        <v>3503</v>
      </c>
    </row>
    <row r="7203" spans="1:8">
      <c r="A7203" s="634"/>
      <c r="B7203" s="634"/>
      <c r="C7203" s="634"/>
      <c r="D7203" s="3"/>
      <c r="E7203" s="1497"/>
      <c r="F7203" s="1497"/>
      <c r="G7203" s="634"/>
      <c r="H7203" s="138" t="s">
        <v>3521</v>
      </c>
    </row>
    <row r="7204" spans="1:8">
      <c r="H7204" s="138" t="s">
        <v>3522</v>
      </c>
    </row>
    <row r="7205" spans="1:8" ht="15.75" thickBot="1">
      <c r="H7205" s="139" t="s">
        <v>3525</v>
      </c>
    </row>
    <row r="7206" spans="1:8" ht="15.75" thickBot="1">
      <c r="H7206" s="538" t="s">
        <v>3524</v>
      </c>
    </row>
    <row r="7207" spans="1:8">
      <c r="A7207" s="639">
        <v>45684</v>
      </c>
      <c r="B7207" s="638"/>
      <c r="C7207" s="638" t="s">
        <v>77</v>
      </c>
      <c r="D7207" s="3" t="s">
        <v>3526</v>
      </c>
      <c r="E7207" s="1497"/>
      <c r="F7207" s="1497">
        <v>400000</v>
      </c>
      <c r="G7207" s="638" t="s">
        <v>27</v>
      </c>
      <c r="H7207" s="5"/>
    </row>
    <row r="7208" spans="1:8">
      <c r="A7208" s="640">
        <v>45684</v>
      </c>
      <c r="B7208" s="638"/>
      <c r="C7208" s="638" t="s">
        <v>86</v>
      </c>
      <c r="D7208" s="3" t="s">
        <v>534</v>
      </c>
      <c r="E7208" s="1497">
        <v>20000</v>
      </c>
      <c r="F7208" s="1497"/>
      <c r="G7208" s="638" t="s">
        <v>56</v>
      </c>
      <c r="H7208" s="3"/>
    </row>
    <row r="7209" spans="1:8">
      <c r="A7209" s="640">
        <v>45684</v>
      </c>
      <c r="B7209" s="638"/>
      <c r="C7209" s="638" t="s">
        <v>77</v>
      </c>
      <c r="D7209" s="3" t="s">
        <v>3498</v>
      </c>
      <c r="E7209" s="1497"/>
      <c r="F7209" s="1497">
        <v>3900000</v>
      </c>
      <c r="G7209" s="638" t="s">
        <v>56</v>
      </c>
      <c r="H7209" s="3"/>
    </row>
    <row r="7210" spans="1:8">
      <c r="A7210" s="642">
        <v>45685</v>
      </c>
      <c r="B7210" s="638"/>
      <c r="C7210" s="638" t="s">
        <v>2190</v>
      </c>
      <c r="D7210" s="3" t="s">
        <v>11</v>
      </c>
      <c r="E7210" s="1497">
        <v>440000</v>
      </c>
      <c r="F7210" s="1497"/>
      <c r="G7210" s="638" t="s">
        <v>27</v>
      </c>
      <c r="H7210" s="3"/>
    </row>
    <row r="7211" spans="1:8">
      <c r="A7211" s="642">
        <v>45685</v>
      </c>
      <c r="B7211" s="638"/>
      <c r="C7211" s="638" t="s">
        <v>55</v>
      </c>
      <c r="D7211" s="3" t="s">
        <v>3494</v>
      </c>
      <c r="E7211" s="1497">
        <v>78000</v>
      </c>
      <c r="F7211" s="1497"/>
      <c r="G7211" s="638" t="s">
        <v>56</v>
      </c>
      <c r="H7211" s="3"/>
    </row>
    <row r="7212" spans="1:8">
      <c r="A7212" s="112">
        <v>45685</v>
      </c>
      <c r="B7212" s="70"/>
      <c r="C7212" s="70" t="s">
        <v>90</v>
      </c>
      <c r="D7212" s="113" t="s">
        <v>3527</v>
      </c>
      <c r="E7212" s="70">
        <v>6000</v>
      </c>
      <c r="F7212" s="70"/>
      <c r="G7212" s="70" t="s">
        <v>56</v>
      </c>
      <c r="H7212" s="3"/>
    </row>
    <row r="7213" spans="1:8">
      <c r="A7213" s="642">
        <v>45685</v>
      </c>
      <c r="B7213" s="638"/>
      <c r="C7213" s="638" t="s">
        <v>79</v>
      </c>
      <c r="D7213" s="3" t="s">
        <v>633</v>
      </c>
      <c r="E7213" s="1497">
        <v>4000</v>
      </c>
      <c r="F7213" s="1497"/>
      <c r="G7213" s="638" t="s">
        <v>56</v>
      </c>
      <c r="H7213" s="3"/>
    </row>
    <row r="7214" spans="1:8">
      <c r="A7214" s="642">
        <v>45685</v>
      </c>
      <c r="B7214" s="641"/>
      <c r="C7214" s="641" t="s">
        <v>79</v>
      </c>
      <c r="D7214" s="3" t="s">
        <v>119</v>
      </c>
      <c r="E7214" s="1497">
        <v>3000</v>
      </c>
      <c r="F7214" s="1497"/>
      <c r="G7214" s="641" t="s">
        <v>56</v>
      </c>
      <c r="H7214" s="3"/>
    </row>
    <row r="7215" spans="1:8">
      <c r="A7215" s="642">
        <v>45685</v>
      </c>
      <c r="B7215" s="641"/>
      <c r="C7215" s="641" t="s">
        <v>205</v>
      </c>
      <c r="D7215" s="3" t="s">
        <v>45</v>
      </c>
      <c r="E7215" s="1497">
        <v>55890</v>
      </c>
      <c r="F7215" s="1497"/>
      <c r="G7215" s="641" t="s">
        <v>287</v>
      </c>
      <c r="H7215" s="3"/>
    </row>
    <row r="7216" spans="1:8">
      <c r="A7216" s="642">
        <v>45685</v>
      </c>
      <c r="B7216" s="641"/>
      <c r="C7216" s="641" t="s">
        <v>205</v>
      </c>
      <c r="D7216" s="3" t="s">
        <v>45</v>
      </c>
      <c r="E7216" s="1497">
        <v>385380</v>
      </c>
      <c r="F7216" s="1497"/>
      <c r="G7216" s="641" t="s">
        <v>27</v>
      </c>
      <c r="H7216" s="3"/>
    </row>
    <row r="7217" spans="1:8">
      <c r="A7217" s="642">
        <v>45685</v>
      </c>
      <c r="B7217" s="641"/>
      <c r="C7217" s="641" t="s">
        <v>205</v>
      </c>
      <c r="D7217" s="15" t="s">
        <v>3056</v>
      </c>
      <c r="E7217" s="1497">
        <v>48000</v>
      </c>
      <c r="F7217" s="1497"/>
      <c r="G7217" s="641" t="s">
        <v>27</v>
      </c>
      <c r="H7217" s="3"/>
    </row>
    <row r="7218" spans="1:8">
      <c r="A7218" s="642">
        <v>45685</v>
      </c>
      <c r="B7218" s="641"/>
      <c r="C7218" s="641" t="s">
        <v>205</v>
      </c>
      <c r="D7218" s="15" t="s">
        <v>790</v>
      </c>
      <c r="E7218" s="1497">
        <v>250000</v>
      </c>
      <c r="F7218" s="1497"/>
      <c r="G7218" s="641" t="s">
        <v>27</v>
      </c>
      <c r="H7218" s="3"/>
    </row>
    <row r="7219" spans="1:8">
      <c r="A7219" s="642">
        <v>45685</v>
      </c>
      <c r="B7219" s="641"/>
      <c r="C7219" s="641" t="s">
        <v>205</v>
      </c>
      <c r="D7219" s="3" t="s">
        <v>1852</v>
      </c>
      <c r="E7219" s="1497">
        <v>22500</v>
      </c>
      <c r="F7219" s="1497"/>
      <c r="G7219" s="641" t="s">
        <v>56</v>
      </c>
      <c r="H7219" s="3"/>
    </row>
    <row r="7220" spans="1:8">
      <c r="A7220" s="642">
        <v>45685</v>
      </c>
      <c r="B7220" s="641"/>
      <c r="C7220" s="641" t="s">
        <v>537</v>
      </c>
      <c r="D7220" s="3" t="s">
        <v>208</v>
      </c>
      <c r="E7220" s="1497">
        <v>30000</v>
      </c>
      <c r="F7220" s="1497"/>
      <c r="G7220" s="641" t="s">
        <v>56</v>
      </c>
      <c r="H7220" s="3"/>
    </row>
    <row r="7221" spans="1:8">
      <c r="A7221" s="644">
        <v>45686</v>
      </c>
      <c r="B7221" s="641"/>
      <c r="C7221" s="641" t="s">
        <v>55</v>
      </c>
      <c r="D7221" s="3" t="s">
        <v>934</v>
      </c>
      <c r="E7221" s="1497">
        <v>10809</v>
      </c>
      <c r="F7221" s="1497"/>
      <c r="G7221" s="641" t="s">
        <v>56</v>
      </c>
      <c r="H7221" s="3"/>
    </row>
    <row r="7222" spans="1:8">
      <c r="A7222" s="644">
        <v>45686</v>
      </c>
      <c r="B7222" s="641"/>
      <c r="C7222" s="641" t="s">
        <v>79</v>
      </c>
      <c r="D7222" s="3" t="s">
        <v>2355</v>
      </c>
      <c r="E7222" s="1497">
        <v>135665</v>
      </c>
      <c r="F7222" s="1497"/>
      <c r="G7222" s="643" t="s">
        <v>56</v>
      </c>
      <c r="H7222" s="3"/>
    </row>
    <row r="7223" spans="1:8">
      <c r="A7223" s="644">
        <v>45686</v>
      </c>
      <c r="B7223" s="643"/>
      <c r="C7223" s="643" t="s">
        <v>433</v>
      </c>
      <c r="D7223" s="3" t="s">
        <v>3528</v>
      </c>
      <c r="E7223" s="1497">
        <v>16620</v>
      </c>
      <c r="F7223" s="1497"/>
      <c r="G7223" s="643" t="s">
        <v>56</v>
      </c>
      <c r="H7223" s="3"/>
    </row>
    <row r="7224" spans="1:8">
      <c r="A7224" s="644">
        <v>45686</v>
      </c>
      <c r="B7224" s="643"/>
      <c r="C7224" s="643" t="s">
        <v>79</v>
      </c>
      <c r="D7224" s="15" t="s">
        <v>934</v>
      </c>
      <c r="E7224" s="1497">
        <v>370000</v>
      </c>
      <c r="F7224" s="1497"/>
      <c r="G7224" s="643" t="s">
        <v>56</v>
      </c>
      <c r="H7224" s="3"/>
    </row>
    <row r="7225" spans="1:8">
      <c r="A7225" s="646">
        <v>45687</v>
      </c>
      <c r="B7225" s="643"/>
      <c r="C7225" s="643" t="s">
        <v>94</v>
      </c>
      <c r="D7225" s="3" t="s">
        <v>3529</v>
      </c>
      <c r="E7225" s="1497">
        <v>43631.43</v>
      </c>
      <c r="F7225" s="1497"/>
      <c r="G7225" s="643" t="s">
        <v>27</v>
      </c>
      <c r="H7225" s="3"/>
    </row>
    <row r="7226" spans="1:8">
      <c r="A7226" s="646">
        <v>45687</v>
      </c>
      <c r="B7226" s="643"/>
      <c r="C7226" s="643" t="s">
        <v>205</v>
      </c>
      <c r="D7226" s="3" t="s">
        <v>3530</v>
      </c>
      <c r="E7226" s="1497">
        <v>746974.59</v>
      </c>
      <c r="F7226" s="1497"/>
      <c r="G7226" s="643" t="s">
        <v>27</v>
      </c>
      <c r="H7226" s="3"/>
    </row>
    <row r="7227" spans="1:8">
      <c r="A7227" s="646">
        <v>45687</v>
      </c>
      <c r="B7227" s="643"/>
      <c r="C7227" s="643" t="s">
        <v>77</v>
      </c>
      <c r="D7227" s="3" t="s">
        <v>2084</v>
      </c>
      <c r="E7227" s="1497"/>
      <c r="F7227" s="1497">
        <v>25754000</v>
      </c>
      <c r="G7227" s="643" t="s">
        <v>27</v>
      </c>
      <c r="H7227" s="3"/>
    </row>
    <row r="7228" spans="1:8">
      <c r="A7228" s="646">
        <v>45687</v>
      </c>
      <c r="B7228" s="643"/>
      <c r="C7228" s="643" t="s">
        <v>76</v>
      </c>
      <c r="D7228" s="3" t="s">
        <v>3533</v>
      </c>
      <c r="E7228" s="1497"/>
      <c r="F7228" s="1497">
        <v>400000</v>
      </c>
      <c r="G7228" s="643" t="s">
        <v>287</v>
      </c>
      <c r="H7228" s="3"/>
    </row>
    <row r="7229" spans="1:8">
      <c r="A7229" s="646">
        <v>45687</v>
      </c>
      <c r="B7229" s="643"/>
      <c r="C7229" s="643" t="s">
        <v>76</v>
      </c>
      <c r="D7229" s="3" t="s">
        <v>3533</v>
      </c>
      <c r="E7229" s="1497"/>
      <c r="F7229" s="1497">
        <v>77950</v>
      </c>
      <c r="G7229" s="643" t="s">
        <v>27</v>
      </c>
      <c r="H7229" s="3"/>
    </row>
    <row r="7230" spans="1:8">
      <c r="A7230" s="646">
        <v>45687</v>
      </c>
      <c r="B7230" s="643"/>
      <c r="C7230" s="643" t="s">
        <v>92</v>
      </c>
      <c r="D7230" s="3" t="s">
        <v>3531</v>
      </c>
      <c r="E7230" s="1497"/>
      <c r="F7230" s="1497">
        <v>123420</v>
      </c>
      <c r="G7230" s="643" t="s">
        <v>27</v>
      </c>
      <c r="H7230" s="3"/>
    </row>
    <row r="7231" spans="1:8">
      <c r="A7231" s="646">
        <v>45687</v>
      </c>
      <c r="B7231" s="643"/>
      <c r="C7231" s="643" t="s">
        <v>205</v>
      </c>
      <c r="D7231" s="3" t="s">
        <v>3532</v>
      </c>
      <c r="E7231" s="1497">
        <v>944527.44</v>
      </c>
      <c r="F7231" s="1497"/>
      <c r="G7231" s="643" t="s">
        <v>27</v>
      </c>
      <c r="H7231" s="3"/>
    </row>
    <row r="7232" spans="1:8">
      <c r="A7232" s="646">
        <v>45687</v>
      </c>
      <c r="B7232" s="645"/>
      <c r="C7232" s="645" t="s">
        <v>205</v>
      </c>
      <c r="D7232" s="3" t="s">
        <v>48</v>
      </c>
      <c r="E7232" s="1497">
        <v>400000</v>
      </c>
      <c r="F7232" s="1497"/>
      <c r="G7232" s="645" t="s">
        <v>287</v>
      </c>
      <c r="H7232" s="3"/>
    </row>
    <row r="7233" spans="1:8">
      <c r="A7233" s="646">
        <v>45687</v>
      </c>
      <c r="B7233" s="645"/>
      <c r="C7233" s="645" t="s">
        <v>205</v>
      </c>
      <c r="D7233" s="3" t="s">
        <v>48</v>
      </c>
      <c r="E7233" s="1497">
        <v>1716000</v>
      </c>
      <c r="F7233" s="1497"/>
      <c r="G7233" s="645" t="s">
        <v>72</v>
      </c>
      <c r="H7233" s="45" t="s">
        <v>3534</v>
      </c>
    </row>
    <row r="7234" spans="1:8">
      <c r="A7234" s="646">
        <v>45687</v>
      </c>
      <c r="B7234" s="645"/>
      <c r="C7234" s="645" t="s">
        <v>88</v>
      </c>
      <c r="D7234" s="3" t="s">
        <v>208</v>
      </c>
      <c r="E7234" s="1497">
        <v>130000</v>
      </c>
      <c r="F7234" s="1497"/>
      <c r="G7234" s="645" t="s">
        <v>56</v>
      </c>
      <c r="H7234" s="3"/>
    </row>
    <row r="7235" spans="1:8">
      <c r="A7235" s="646">
        <v>45687</v>
      </c>
      <c r="B7235" s="645"/>
      <c r="C7235" s="645" t="s">
        <v>88</v>
      </c>
      <c r="D7235" s="3" t="s">
        <v>219</v>
      </c>
      <c r="E7235" s="1497">
        <v>162000</v>
      </c>
      <c r="F7235" s="1497"/>
      <c r="G7235" s="645" t="s">
        <v>56</v>
      </c>
      <c r="H7235" s="3"/>
    </row>
    <row r="7236" spans="1:8">
      <c r="A7236" s="646">
        <v>45687</v>
      </c>
      <c r="B7236" s="645"/>
      <c r="C7236" s="645" t="s">
        <v>88</v>
      </c>
      <c r="D7236" s="3" t="s">
        <v>193</v>
      </c>
      <c r="E7236" s="1497">
        <v>110000</v>
      </c>
      <c r="F7236" s="1497"/>
      <c r="G7236" s="645" t="s">
        <v>56</v>
      </c>
      <c r="H7236" s="3"/>
    </row>
    <row r="7237" spans="1:8">
      <c r="A7237" s="646">
        <v>45687</v>
      </c>
      <c r="B7237" s="645"/>
      <c r="C7237" s="645" t="s">
        <v>88</v>
      </c>
      <c r="D7237" s="3" t="s">
        <v>144</v>
      </c>
      <c r="E7237" s="1497">
        <v>310000</v>
      </c>
      <c r="F7237" s="1497"/>
      <c r="G7237" s="645" t="s">
        <v>27</v>
      </c>
      <c r="H7237" s="3"/>
    </row>
    <row r="7238" spans="1:8">
      <c r="A7238" s="646">
        <v>45687</v>
      </c>
      <c r="B7238" s="645"/>
      <c r="C7238" s="645" t="s">
        <v>88</v>
      </c>
      <c r="D7238" s="3" t="s">
        <v>144</v>
      </c>
      <c r="E7238" s="1497">
        <v>14000</v>
      </c>
      <c r="F7238" s="1497"/>
      <c r="G7238" s="645" t="s">
        <v>56</v>
      </c>
      <c r="H7238" s="3"/>
    </row>
    <row r="7239" spans="1:8" ht="15.75" thickBot="1">
      <c r="A7239" s="112">
        <v>45687</v>
      </c>
      <c r="B7239" s="70"/>
      <c r="C7239" s="70"/>
      <c r="D7239" s="207" t="s">
        <v>726</v>
      </c>
      <c r="E7239" s="70">
        <v>200000</v>
      </c>
      <c r="F7239" s="70"/>
      <c r="G7239" s="70" t="s">
        <v>56</v>
      </c>
      <c r="H7239" s="85"/>
    </row>
    <row r="7240" spans="1:8" ht="15.75" thickBot="1">
      <c r="A7240" s="646"/>
      <c r="H7240" s="201">
        <v>45687</v>
      </c>
    </row>
    <row r="7241" spans="1:8">
      <c r="H7241" s="199" t="s">
        <v>3124</v>
      </c>
    </row>
    <row r="7242" spans="1:8">
      <c r="H7242" s="137" t="s">
        <v>3535</v>
      </c>
    </row>
    <row r="7243" spans="1:8">
      <c r="H7243" s="138" t="s">
        <v>3536</v>
      </c>
    </row>
    <row r="7244" spans="1:8">
      <c r="H7244" s="138" t="s">
        <v>3537</v>
      </c>
    </row>
    <row r="7245" spans="1:8">
      <c r="H7245" s="138" t="s">
        <v>3503</v>
      </c>
    </row>
    <row r="7246" spans="1:8">
      <c r="H7246" s="138" t="s">
        <v>3538</v>
      </c>
    </row>
    <row r="7247" spans="1:8">
      <c r="H7247" s="218" t="s">
        <v>3522</v>
      </c>
    </row>
    <row r="7248" spans="1:8" ht="15.75" thickBot="1">
      <c r="H7248" s="139" t="s">
        <v>3539</v>
      </c>
    </row>
    <row r="7249" spans="1:8">
      <c r="H7249" s="288" t="s">
        <v>3524</v>
      </c>
    </row>
    <row r="7250" spans="1:8">
      <c r="A7250" s="648">
        <v>45688</v>
      </c>
      <c r="B7250" s="647"/>
      <c r="C7250" s="647" t="s">
        <v>55</v>
      </c>
      <c r="D7250" s="3" t="s">
        <v>562</v>
      </c>
      <c r="E7250" s="1497">
        <v>1800</v>
      </c>
      <c r="F7250" s="1497"/>
      <c r="G7250" s="647" t="s">
        <v>56</v>
      </c>
      <c r="H7250" s="3"/>
    </row>
    <row r="7251" spans="1:8">
      <c r="A7251" s="648">
        <v>45688</v>
      </c>
      <c r="B7251" s="647"/>
      <c r="C7251" s="647" t="s">
        <v>205</v>
      </c>
      <c r="D7251" s="3" t="s">
        <v>3540</v>
      </c>
      <c r="E7251" s="1497">
        <v>4900</v>
      </c>
      <c r="F7251" s="1497"/>
      <c r="G7251" s="647" t="s">
        <v>56</v>
      </c>
      <c r="H7251" s="3"/>
    </row>
    <row r="7252" spans="1:8">
      <c r="A7252" s="648">
        <v>45688</v>
      </c>
      <c r="B7252" s="647"/>
      <c r="C7252" s="647" t="s">
        <v>79</v>
      </c>
      <c r="D7252" s="3" t="s">
        <v>13</v>
      </c>
      <c r="E7252" s="1497">
        <v>16000</v>
      </c>
      <c r="F7252" s="1497"/>
      <c r="G7252" s="647" t="s">
        <v>56</v>
      </c>
      <c r="H7252" s="3"/>
    </row>
    <row r="7253" spans="1:8">
      <c r="A7253" s="648">
        <v>45688</v>
      </c>
      <c r="B7253" s="647"/>
      <c r="C7253" s="647" t="s">
        <v>79</v>
      </c>
      <c r="D7253" s="3" t="s">
        <v>3541</v>
      </c>
      <c r="E7253" s="1497">
        <v>17000</v>
      </c>
      <c r="F7253" s="1497"/>
      <c r="G7253" s="647" t="s">
        <v>56</v>
      </c>
      <c r="H7253" s="3"/>
    </row>
    <row r="7254" spans="1:8" ht="15.75" thickBot="1">
      <c r="A7254" s="119">
        <v>45688</v>
      </c>
      <c r="B7254" s="57"/>
      <c r="C7254" s="57" t="s">
        <v>79</v>
      </c>
      <c r="D7254" s="85" t="s">
        <v>3542</v>
      </c>
      <c r="E7254" s="57">
        <v>300000</v>
      </c>
      <c r="F7254" s="57"/>
      <c r="G7254" s="57" t="s">
        <v>108</v>
      </c>
      <c r="H7254" s="85"/>
    </row>
    <row r="7255" spans="1:8" ht="15.75" thickBot="1">
      <c r="A7255" s="654"/>
      <c r="B7255" s="655"/>
      <c r="C7255" s="655"/>
      <c r="D7255" s="656"/>
      <c r="E7255" s="655"/>
      <c r="F7255" s="655"/>
      <c r="G7255" s="655"/>
      <c r="H7255" s="657"/>
    </row>
    <row r="7256" spans="1:8">
      <c r="A7256" s="77">
        <v>45691</v>
      </c>
      <c r="B7256" s="62"/>
      <c r="C7256" s="62" t="s">
        <v>79</v>
      </c>
      <c r="D7256" s="5" t="s">
        <v>435</v>
      </c>
      <c r="E7256" s="62">
        <v>38662.730000000003</v>
      </c>
      <c r="F7256" s="62"/>
      <c r="G7256" s="62" t="s">
        <v>27</v>
      </c>
      <c r="H7256" s="5"/>
    </row>
    <row r="7257" spans="1:8">
      <c r="A7257" s="648">
        <v>45691</v>
      </c>
      <c r="B7257" s="647"/>
      <c r="C7257" s="647" t="s">
        <v>65</v>
      </c>
      <c r="D7257" s="3" t="s">
        <v>437</v>
      </c>
      <c r="E7257" s="1497">
        <v>13400.01</v>
      </c>
      <c r="F7257" s="1497"/>
      <c r="G7257" s="647" t="s">
        <v>27</v>
      </c>
      <c r="H7257" s="3"/>
    </row>
    <row r="7258" spans="1:8">
      <c r="A7258" s="648">
        <v>45691</v>
      </c>
      <c r="B7258" s="647"/>
      <c r="C7258" s="647" t="s">
        <v>65</v>
      </c>
      <c r="D7258" s="15" t="s">
        <v>436</v>
      </c>
      <c r="E7258" s="1497">
        <v>13400.01</v>
      </c>
      <c r="F7258" s="1497"/>
      <c r="G7258" s="647" t="s">
        <v>27</v>
      </c>
      <c r="H7258" s="3"/>
    </row>
    <row r="7259" spans="1:8">
      <c r="A7259" s="648">
        <v>45691</v>
      </c>
      <c r="B7259" s="647"/>
      <c r="C7259" s="647" t="s">
        <v>205</v>
      </c>
      <c r="D7259" s="15" t="s">
        <v>11</v>
      </c>
      <c r="E7259" s="1497">
        <v>487700</v>
      </c>
      <c r="F7259" s="1497"/>
      <c r="G7259" s="647" t="s">
        <v>27</v>
      </c>
      <c r="H7259" s="3"/>
    </row>
    <row r="7260" spans="1:8">
      <c r="A7260" s="648">
        <v>45691</v>
      </c>
      <c r="B7260" s="647"/>
      <c r="C7260" s="647" t="s">
        <v>730</v>
      </c>
      <c r="D7260" s="3" t="s">
        <v>3543</v>
      </c>
      <c r="E7260" s="1497">
        <v>120000</v>
      </c>
      <c r="F7260" s="1497"/>
      <c r="G7260" s="647" t="s">
        <v>27</v>
      </c>
      <c r="H7260" s="3"/>
    </row>
    <row r="7261" spans="1:8">
      <c r="A7261" s="648">
        <v>45691</v>
      </c>
      <c r="B7261" s="647"/>
      <c r="C7261" s="647" t="s">
        <v>86</v>
      </c>
      <c r="D7261" s="3" t="s">
        <v>86</v>
      </c>
      <c r="E7261" s="1497">
        <v>20000</v>
      </c>
      <c r="F7261" s="1497"/>
      <c r="G7261" s="647" t="s">
        <v>56</v>
      </c>
      <c r="H7261" s="3"/>
    </row>
    <row r="7262" spans="1:8">
      <c r="A7262" s="648">
        <v>45691</v>
      </c>
      <c r="B7262" s="647"/>
      <c r="C7262" s="647" t="s">
        <v>205</v>
      </c>
      <c r="D7262" s="15" t="s">
        <v>3544</v>
      </c>
      <c r="E7262" s="1497">
        <v>22500</v>
      </c>
      <c r="F7262" s="1497"/>
      <c r="G7262" s="647" t="s">
        <v>56</v>
      </c>
      <c r="H7262" s="3"/>
    </row>
    <row r="7263" spans="1:8">
      <c r="A7263" s="650">
        <v>45692</v>
      </c>
      <c r="B7263" s="647"/>
      <c r="C7263" s="647" t="s">
        <v>79</v>
      </c>
      <c r="D7263" s="3" t="s">
        <v>434</v>
      </c>
      <c r="E7263" s="1497">
        <v>7420</v>
      </c>
      <c r="F7263" s="1497"/>
      <c r="G7263" s="647" t="s">
        <v>27</v>
      </c>
      <c r="H7263" s="3"/>
    </row>
    <row r="7264" spans="1:8">
      <c r="A7264" s="650">
        <v>45692</v>
      </c>
      <c r="B7264" s="647"/>
      <c r="C7264" s="647" t="s">
        <v>205</v>
      </c>
      <c r="D7264" s="3" t="s">
        <v>3483</v>
      </c>
      <c r="E7264" s="1497">
        <v>1100000</v>
      </c>
      <c r="F7264" s="1497"/>
      <c r="G7264" s="647" t="s">
        <v>27</v>
      </c>
      <c r="H7264" s="3"/>
    </row>
    <row r="7265" spans="1:8">
      <c r="A7265" s="650">
        <v>45692</v>
      </c>
      <c r="B7265" s="649"/>
      <c r="C7265" s="649" t="s">
        <v>90</v>
      </c>
      <c r="D7265" s="3" t="s">
        <v>3546</v>
      </c>
      <c r="E7265" s="1497">
        <v>135000</v>
      </c>
      <c r="F7265" s="1497"/>
      <c r="G7265" s="649" t="s">
        <v>27</v>
      </c>
      <c r="H7265" s="3"/>
    </row>
    <row r="7266" spans="1:8">
      <c r="A7266" s="652">
        <v>45693</v>
      </c>
      <c r="B7266" s="649"/>
      <c r="C7266" s="649" t="s">
        <v>94</v>
      </c>
      <c r="D7266" s="3" t="s">
        <v>3545</v>
      </c>
      <c r="E7266" s="1497">
        <v>36946.410000000003</v>
      </c>
      <c r="F7266" s="1497"/>
      <c r="G7266" s="649" t="s">
        <v>27</v>
      </c>
      <c r="H7266" s="3"/>
    </row>
    <row r="7267" spans="1:8">
      <c r="A7267" s="652">
        <v>45693</v>
      </c>
      <c r="B7267" s="649"/>
      <c r="C7267" s="649" t="s">
        <v>94</v>
      </c>
      <c r="D7267" s="3" t="s">
        <v>3547</v>
      </c>
      <c r="E7267" s="1497">
        <v>96810.76</v>
      </c>
      <c r="F7267" s="1497"/>
      <c r="G7267" s="651" t="s">
        <v>27</v>
      </c>
      <c r="H7267" s="3"/>
    </row>
    <row r="7268" spans="1:8">
      <c r="A7268" s="653">
        <v>45694</v>
      </c>
      <c r="B7268" s="651"/>
      <c r="C7268" s="651" t="s">
        <v>92</v>
      </c>
      <c r="D7268" s="3" t="s">
        <v>3548</v>
      </c>
      <c r="E7268" s="1497"/>
      <c r="F7268" s="1497">
        <v>143000</v>
      </c>
      <c r="G7268" s="651" t="s">
        <v>27</v>
      </c>
      <c r="H7268" s="3"/>
    </row>
    <row r="7269" spans="1:8">
      <c r="A7269" s="662">
        <v>45695</v>
      </c>
      <c r="B7269" s="651"/>
      <c r="C7269" s="651" t="s">
        <v>90</v>
      </c>
      <c r="D7269" s="3" t="s">
        <v>1951</v>
      </c>
      <c r="E7269" s="1497">
        <v>11000</v>
      </c>
      <c r="F7269" s="1497"/>
      <c r="G7269" s="651" t="s">
        <v>56</v>
      </c>
      <c r="H7269" s="3"/>
    </row>
    <row r="7270" spans="1:8">
      <c r="A7270" s="662">
        <v>45695</v>
      </c>
      <c r="B7270" s="651"/>
      <c r="C7270" s="651" t="s">
        <v>55</v>
      </c>
      <c r="D7270" s="3" t="s">
        <v>3549</v>
      </c>
      <c r="E7270" s="1497">
        <v>1000</v>
      </c>
      <c r="F7270" s="1497"/>
      <c r="G7270" s="651" t="s">
        <v>56</v>
      </c>
      <c r="H7270" s="3"/>
    </row>
    <row r="7271" spans="1:8">
      <c r="A7271" s="662">
        <v>45695</v>
      </c>
      <c r="B7271" s="661"/>
      <c r="C7271" s="661" t="s">
        <v>537</v>
      </c>
      <c r="D7271" s="3" t="s">
        <v>208</v>
      </c>
      <c r="E7271" s="1497">
        <v>40000</v>
      </c>
      <c r="F7271" s="1497"/>
      <c r="G7271" s="661" t="s">
        <v>56</v>
      </c>
      <c r="H7271" s="3"/>
    </row>
    <row r="7272" spans="1:8">
      <c r="A7272" s="662">
        <v>45695</v>
      </c>
      <c r="B7272" s="661"/>
      <c r="C7272" s="661" t="s">
        <v>3550</v>
      </c>
      <c r="D7272" s="15" t="s">
        <v>232</v>
      </c>
      <c r="E7272" s="1497">
        <v>60000</v>
      </c>
      <c r="F7272" s="1497"/>
      <c r="G7272" s="661" t="s">
        <v>27</v>
      </c>
      <c r="H7272" s="3"/>
    </row>
    <row r="7273" spans="1:8">
      <c r="A7273" s="662">
        <v>45695</v>
      </c>
      <c r="B7273" s="661"/>
      <c r="C7273" s="661" t="s">
        <v>92</v>
      </c>
      <c r="D7273" s="3" t="s">
        <v>3551</v>
      </c>
      <c r="E7273" s="1497"/>
      <c r="F7273" s="1497">
        <v>28000</v>
      </c>
      <c r="G7273" s="661" t="s">
        <v>27</v>
      </c>
      <c r="H7273" s="3"/>
    </row>
    <row r="7274" spans="1:8">
      <c r="A7274" s="662">
        <v>45695</v>
      </c>
      <c r="B7274" s="661"/>
      <c r="C7274" s="661" t="s">
        <v>537</v>
      </c>
      <c r="D7274" s="3" t="s">
        <v>219</v>
      </c>
      <c r="E7274" s="1497">
        <v>225000</v>
      </c>
      <c r="F7274" s="1497"/>
      <c r="G7274" s="661" t="s">
        <v>56</v>
      </c>
      <c r="H7274" s="3"/>
    </row>
    <row r="7275" spans="1:8">
      <c r="A7275" s="662">
        <v>45695</v>
      </c>
      <c r="B7275" s="661"/>
      <c r="C7275" s="661" t="s">
        <v>537</v>
      </c>
      <c r="D7275" s="3" t="s">
        <v>208</v>
      </c>
      <c r="E7275" s="1497">
        <v>25000</v>
      </c>
      <c r="F7275" s="1497"/>
      <c r="G7275" s="661" t="s">
        <v>27</v>
      </c>
      <c r="H7275" s="3"/>
    </row>
    <row r="7276" spans="1:8">
      <c r="A7276" s="662">
        <v>45695</v>
      </c>
      <c r="B7276" s="661"/>
      <c r="C7276" s="661" t="s">
        <v>537</v>
      </c>
      <c r="D7276" s="3" t="s">
        <v>208</v>
      </c>
      <c r="E7276" s="1497">
        <v>147500</v>
      </c>
      <c r="F7276" s="1497"/>
      <c r="G7276" s="661" t="s">
        <v>56</v>
      </c>
      <c r="H7276" s="3"/>
    </row>
    <row r="7277" spans="1:8">
      <c r="A7277" s="662">
        <v>45695</v>
      </c>
      <c r="B7277" s="661"/>
      <c r="C7277" s="661" t="s">
        <v>537</v>
      </c>
      <c r="D7277" s="3" t="s">
        <v>144</v>
      </c>
      <c r="E7277" s="1497">
        <v>10000</v>
      </c>
      <c r="F7277" s="1497"/>
      <c r="G7277" s="661" t="s">
        <v>27</v>
      </c>
      <c r="H7277" s="3"/>
    </row>
    <row r="7278" spans="1:8">
      <c r="A7278" s="662">
        <v>45695</v>
      </c>
      <c r="B7278" s="661"/>
      <c r="C7278" s="661" t="s">
        <v>537</v>
      </c>
      <c r="D7278" s="3" t="s">
        <v>144</v>
      </c>
      <c r="E7278" s="1497">
        <v>425000</v>
      </c>
      <c r="F7278" s="1497"/>
      <c r="G7278" s="661" t="s">
        <v>56</v>
      </c>
      <c r="H7278" s="3"/>
    </row>
    <row r="7279" spans="1:8">
      <c r="A7279" s="661"/>
      <c r="B7279" s="661"/>
      <c r="C7279" s="661"/>
      <c r="D7279" s="3"/>
      <c r="E7279" s="1497"/>
      <c r="F7279" s="1497"/>
      <c r="G7279" s="661"/>
      <c r="H7279" s="3"/>
    </row>
    <row r="7280" spans="1:8">
      <c r="A7280" s="661"/>
      <c r="B7280" s="661"/>
      <c r="C7280" s="661"/>
      <c r="D7280" s="3"/>
      <c r="E7280" s="1497"/>
      <c r="F7280" s="1497"/>
      <c r="G7280" s="661"/>
      <c r="H7280" s="3"/>
    </row>
    <row r="7281" spans="1:8" ht="15.75" thickBot="1">
      <c r="A7281" s="661"/>
      <c r="B7281" s="661"/>
      <c r="C7281" s="661"/>
      <c r="D7281" s="3"/>
      <c r="E7281" s="1497"/>
      <c r="F7281" s="1497"/>
      <c r="G7281" s="661"/>
      <c r="H7281" s="3"/>
    </row>
    <row r="7282" spans="1:8" ht="15.75" thickBot="1">
      <c r="A7282" s="661"/>
      <c r="B7282" s="661"/>
      <c r="C7282" s="661"/>
      <c r="D7282" s="3"/>
      <c r="E7282" s="1497"/>
      <c r="F7282" s="1497"/>
      <c r="G7282" s="661"/>
      <c r="H7282" s="201">
        <v>45695</v>
      </c>
    </row>
    <row r="7283" spans="1:8">
      <c r="A7283" s="661"/>
      <c r="B7283" s="661"/>
      <c r="C7283" s="661"/>
      <c r="D7283" s="3"/>
      <c r="E7283" s="1497"/>
      <c r="F7283" s="1497"/>
      <c r="G7283" s="661"/>
      <c r="H7283" s="199" t="s">
        <v>3124</v>
      </c>
    </row>
    <row r="7284" spans="1:8">
      <c r="A7284" s="661"/>
      <c r="B7284" s="661"/>
      <c r="C7284" s="661"/>
      <c r="D7284" s="3"/>
      <c r="E7284" s="1497"/>
      <c r="F7284" s="1497"/>
      <c r="G7284" s="661"/>
      <c r="H7284" s="137" t="s">
        <v>3535</v>
      </c>
    </row>
    <row r="7285" spans="1:8">
      <c r="H7285" s="138" t="s">
        <v>3536</v>
      </c>
    </row>
    <row r="7286" spans="1:8">
      <c r="H7286" s="138" t="s">
        <v>3122</v>
      </c>
    </row>
    <row r="7287" spans="1:8">
      <c r="H7287" s="138" t="s">
        <v>3503</v>
      </c>
    </row>
    <row r="7288" spans="1:8">
      <c r="H7288" s="138" t="s">
        <v>3538</v>
      </c>
    </row>
    <row r="7289" spans="1:8">
      <c r="H7289" s="218" t="s">
        <v>3522</v>
      </c>
    </row>
    <row r="7290" spans="1:8" ht="15.75" thickBot="1">
      <c r="H7290" s="139" t="s">
        <v>3539</v>
      </c>
    </row>
    <row r="7291" spans="1:8">
      <c r="H7291" s="288" t="s">
        <v>3524</v>
      </c>
    </row>
    <row r="7292" spans="1:8">
      <c r="A7292" s="664">
        <v>45698</v>
      </c>
      <c r="B7292" s="663"/>
      <c r="C7292" s="663" t="s">
        <v>205</v>
      </c>
      <c r="D7292" s="3" t="s">
        <v>48</v>
      </c>
      <c r="E7292" s="1497">
        <v>1100000</v>
      </c>
      <c r="F7292" s="1497"/>
      <c r="G7292" s="663" t="s">
        <v>27</v>
      </c>
      <c r="H7292" s="3"/>
    </row>
    <row r="7293" spans="1:8">
      <c r="A7293" s="664">
        <v>45698</v>
      </c>
      <c r="B7293" s="663"/>
      <c r="C7293" s="663" t="s">
        <v>79</v>
      </c>
      <c r="D7293" s="3" t="s">
        <v>918</v>
      </c>
      <c r="E7293" s="1497">
        <v>50000</v>
      </c>
      <c r="F7293" s="1497"/>
      <c r="G7293" s="663" t="s">
        <v>27</v>
      </c>
      <c r="H7293" s="3"/>
    </row>
    <row r="7294" spans="1:8">
      <c r="A7294" s="664">
        <v>45698</v>
      </c>
      <c r="B7294" s="663"/>
      <c r="C7294" s="663" t="s">
        <v>55</v>
      </c>
      <c r="D7294" s="3" t="s">
        <v>150</v>
      </c>
      <c r="E7294" s="1497">
        <v>1735.54</v>
      </c>
      <c r="F7294" s="1497"/>
      <c r="G7294" s="663" t="s">
        <v>27</v>
      </c>
      <c r="H7294" s="3"/>
    </row>
    <row r="7295" spans="1:8">
      <c r="A7295" s="664">
        <v>45698</v>
      </c>
      <c r="B7295" s="663"/>
      <c r="C7295" s="663" t="s">
        <v>715</v>
      </c>
      <c r="D7295" s="3" t="s">
        <v>2490</v>
      </c>
      <c r="E7295" s="1497">
        <v>28636</v>
      </c>
      <c r="F7295" s="1497"/>
      <c r="G7295" s="663" t="s">
        <v>27</v>
      </c>
      <c r="H7295" s="3"/>
    </row>
    <row r="7296" spans="1:8">
      <c r="A7296" s="664">
        <v>45698</v>
      </c>
      <c r="B7296" s="663"/>
      <c r="C7296" s="663" t="s">
        <v>55</v>
      </c>
      <c r="D7296" s="3" t="s">
        <v>514</v>
      </c>
      <c r="E7296" s="1497">
        <v>8000</v>
      </c>
      <c r="F7296" s="1497"/>
      <c r="G7296" s="663" t="s">
        <v>27</v>
      </c>
      <c r="H7296" s="3"/>
    </row>
    <row r="7297" spans="1:8">
      <c r="A7297" s="664">
        <v>45698</v>
      </c>
      <c r="B7297" s="663"/>
      <c r="C7297" s="663" t="s">
        <v>79</v>
      </c>
      <c r="D7297" s="3" t="s">
        <v>2355</v>
      </c>
      <c r="E7297" s="1497">
        <v>35860</v>
      </c>
      <c r="F7297" s="1497"/>
      <c r="G7297" s="663" t="s">
        <v>108</v>
      </c>
      <c r="H7297" s="3"/>
    </row>
    <row r="7298" spans="1:8">
      <c r="A7298" s="664">
        <v>45699</v>
      </c>
      <c r="B7298" s="663"/>
      <c r="C7298" s="663" t="s">
        <v>79</v>
      </c>
      <c r="D7298" s="3" t="s">
        <v>1218</v>
      </c>
      <c r="E7298" s="1497">
        <v>241270</v>
      </c>
      <c r="F7298" s="1497"/>
      <c r="G7298" s="663" t="s">
        <v>108</v>
      </c>
      <c r="H7298" s="3"/>
    </row>
    <row r="7299" spans="1:8">
      <c r="A7299" s="664">
        <v>45699</v>
      </c>
      <c r="B7299" s="663"/>
      <c r="C7299" s="663" t="s">
        <v>79</v>
      </c>
      <c r="D7299" s="3" t="s">
        <v>3552</v>
      </c>
      <c r="E7299" s="1497">
        <v>11000</v>
      </c>
      <c r="F7299" s="1497"/>
      <c r="G7299" s="663" t="s">
        <v>56</v>
      </c>
      <c r="H7299" s="3"/>
    </row>
    <row r="7300" spans="1:8">
      <c r="A7300" s="664">
        <v>45699</v>
      </c>
      <c r="B7300" s="663"/>
      <c r="C7300" s="663" t="s">
        <v>90</v>
      </c>
      <c r="D7300" s="3" t="s">
        <v>3553</v>
      </c>
      <c r="E7300" s="1497">
        <v>160000</v>
      </c>
      <c r="F7300" s="1497"/>
      <c r="G7300" s="663" t="s">
        <v>56</v>
      </c>
      <c r="H7300" s="45" t="s">
        <v>3554</v>
      </c>
    </row>
    <row r="7301" spans="1:8">
      <c r="A7301" s="666">
        <v>45699</v>
      </c>
      <c r="B7301" s="665"/>
      <c r="C7301" s="665" t="s">
        <v>205</v>
      </c>
      <c r="D7301" s="185" t="s">
        <v>2755</v>
      </c>
      <c r="E7301" s="1497">
        <v>870</v>
      </c>
      <c r="F7301" s="1497"/>
      <c r="G7301" s="665" t="s">
        <v>56</v>
      </c>
      <c r="H7301" s="3"/>
    </row>
    <row r="7302" spans="1:8">
      <c r="A7302" s="664">
        <v>45699</v>
      </c>
      <c r="B7302" s="663"/>
      <c r="C7302" s="663" t="s">
        <v>205</v>
      </c>
      <c r="D7302" s="3" t="s">
        <v>3555</v>
      </c>
      <c r="E7302" s="1497">
        <v>21600</v>
      </c>
      <c r="F7302" s="1497"/>
      <c r="G7302" s="663" t="s">
        <v>56</v>
      </c>
      <c r="H7302" s="45" t="s">
        <v>3554</v>
      </c>
    </row>
    <row r="7303" spans="1:8">
      <c r="A7303" s="666">
        <v>45700</v>
      </c>
      <c r="B7303" s="665"/>
      <c r="C7303" s="665" t="s">
        <v>94</v>
      </c>
      <c r="D7303" s="3" t="s">
        <v>17</v>
      </c>
      <c r="E7303" s="1497">
        <v>69330.45</v>
      </c>
      <c r="F7303" s="1497"/>
      <c r="G7303" s="665" t="s">
        <v>27</v>
      </c>
      <c r="H7303" s="3"/>
    </row>
    <row r="7304" spans="1:8">
      <c r="A7304" s="666">
        <v>45700</v>
      </c>
      <c r="B7304" s="665"/>
      <c r="C7304" s="665" t="s">
        <v>205</v>
      </c>
      <c r="D7304" s="3" t="s">
        <v>3556</v>
      </c>
      <c r="E7304" s="1497">
        <v>36000</v>
      </c>
      <c r="F7304" s="1497"/>
      <c r="G7304" s="665" t="s">
        <v>56</v>
      </c>
      <c r="H7304" s="3"/>
    </row>
    <row r="7305" spans="1:8">
      <c r="A7305" s="666">
        <v>45700</v>
      </c>
      <c r="B7305" s="665"/>
      <c r="C7305" s="665" t="s">
        <v>205</v>
      </c>
      <c r="D7305" s="15" t="s">
        <v>2755</v>
      </c>
      <c r="E7305" s="1497">
        <v>870</v>
      </c>
      <c r="F7305" s="1497"/>
      <c r="G7305" s="665" t="s">
        <v>56</v>
      </c>
      <c r="H7305" s="45" t="s">
        <v>3554</v>
      </c>
    </row>
    <row r="7306" spans="1:8">
      <c r="A7306" s="666">
        <v>45700</v>
      </c>
      <c r="B7306" s="665"/>
      <c r="C7306" s="665" t="s">
        <v>86</v>
      </c>
      <c r="D7306" s="15" t="s">
        <v>104</v>
      </c>
      <c r="E7306" s="1497">
        <v>200000</v>
      </c>
      <c r="F7306" s="1497"/>
      <c r="G7306" s="665" t="s">
        <v>56</v>
      </c>
      <c r="H7306" s="45"/>
    </row>
    <row r="7307" spans="1:8">
      <c r="A7307" s="668">
        <v>45700</v>
      </c>
      <c r="B7307" s="665"/>
      <c r="C7307" s="665" t="s">
        <v>79</v>
      </c>
      <c r="D7307" s="3" t="s">
        <v>79</v>
      </c>
      <c r="E7307" s="1497">
        <v>500000</v>
      </c>
      <c r="F7307" s="1497"/>
      <c r="G7307" s="665" t="s">
        <v>56</v>
      </c>
      <c r="H7307" s="3"/>
    </row>
    <row r="7308" spans="1:8">
      <c r="A7308" s="668">
        <v>45700</v>
      </c>
      <c r="B7308" s="665"/>
      <c r="C7308" s="665" t="s">
        <v>205</v>
      </c>
      <c r="D7308" s="3" t="s">
        <v>38</v>
      </c>
      <c r="E7308" s="1497">
        <v>10000</v>
      </c>
      <c r="F7308" s="1497"/>
      <c r="G7308" s="665" t="s">
        <v>56</v>
      </c>
      <c r="H7308" s="3"/>
    </row>
    <row r="7309" spans="1:8">
      <c r="A7309" s="670">
        <v>45702</v>
      </c>
      <c r="B7309" s="665"/>
      <c r="C7309" s="665" t="s">
        <v>537</v>
      </c>
      <c r="D7309" s="3" t="s">
        <v>208</v>
      </c>
      <c r="E7309" s="1497">
        <v>212500</v>
      </c>
      <c r="F7309" s="1497"/>
      <c r="G7309" s="669" t="s">
        <v>56</v>
      </c>
      <c r="H7309" s="3"/>
    </row>
    <row r="7310" spans="1:8">
      <c r="A7310" s="670">
        <v>45702</v>
      </c>
      <c r="B7310" s="665"/>
      <c r="C7310" s="669" t="s">
        <v>537</v>
      </c>
      <c r="D7310" s="3" t="s">
        <v>219</v>
      </c>
      <c r="E7310" s="1497">
        <v>225000</v>
      </c>
      <c r="F7310" s="1497"/>
      <c r="G7310" s="669" t="s">
        <v>56</v>
      </c>
      <c r="H7310" s="3"/>
    </row>
    <row r="7311" spans="1:8">
      <c r="A7311" s="670">
        <v>45702</v>
      </c>
      <c r="B7311" s="665"/>
      <c r="C7311" s="669" t="s">
        <v>537</v>
      </c>
      <c r="D7311" s="3" t="s">
        <v>144</v>
      </c>
      <c r="E7311" s="1497">
        <v>435000</v>
      </c>
      <c r="F7311" s="1497"/>
      <c r="G7311" s="669" t="s">
        <v>56</v>
      </c>
      <c r="H7311" s="3"/>
    </row>
    <row r="7312" spans="1:8">
      <c r="A7312" s="670">
        <v>45702</v>
      </c>
      <c r="B7312" s="665"/>
      <c r="C7312" s="669" t="s">
        <v>537</v>
      </c>
      <c r="D7312" s="3" t="s">
        <v>193</v>
      </c>
      <c r="E7312" s="1497">
        <v>120000</v>
      </c>
      <c r="F7312" s="1497"/>
      <c r="G7312" s="669" t="s">
        <v>56</v>
      </c>
      <c r="H7312" s="3"/>
    </row>
    <row r="7313" spans="1:8">
      <c r="A7313" s="670">
        <v>45702</v>
      </c>
      <c r="B7313" s="665"/>
      <c r="C7313" s="665" t="s">
        <v>3557</v>
      </c>
      <c r="D7313" s="3" t="s">
        <v>232</v>
      </c>
      <c r="E7313" s="1497">
        <v>50000</v>
      </c>
      <c r="F7313" s="1497"/>
      <c r="G7313" s="669" t="s">
        <v>56</v>
      </c>
      <c r="H7313" s="3"/>
    </row>
    <row r="7314" spans="1:8">
      <c r="A7314" s="671">
        <v>45705</v>
      </c>
      <c r="B7314" s="665"/>
      <c r="C7314" s="665" t="s">
        <v>156</v>
      </c>
      <c r="D7314" s="3" t="s">
        <v>156</v>
      </c>
      <c r="E7314" s="1497">
        <v>28227.99</v>
      </c>
      <c r="F7314" s="1497"/>
      <c r="G7314" s="665" t="s">
        <v>27</v>
      </c>
      <c r="H7314" s="3"/>
    </row>
    <row r="7315" spans="1:8">
      <c r="A7315" s="671">
        <v>45705</v>
      </c>
      <c r="B7315" s="665"/>
      <c r="C7315" s="665" t="s">
        <v>79</v>
      </c>
      <c r="D7315" s="3" t="s">
        <v>79</v>
      </c>
      <c r="E7315" s="1497">
        <v>32250</v>
      </c>
      <c r="F7315" s="1497"/>
      <c r="G7315" s="665" t="s">
        <v>27</v>
      </c>
      <c r="H7315" s="3"/>
    </row>
    <row r="7316" spans="1:8">
      <c r="A7316" s="674">
        <v>45706</v>
      </c>
      <c r="B7316" s="673"/>
      <c r="C7316" s="673" t="s">
        <v>2190</v>
      </c>
      <c r="D7316" s="3" t="s">
        <v>3561</v>
      </c>
      <c r="E7316" s="1497">
        <v>392000</v>
      </c>
      <c r="F7316" s="1497"/>
      <c r="G7316" s="673" t="s">
        <v>27</v>
      </c>
      <c r="H7316" s="3"/>
    </row>
    <row r="7317" spans="1:8">
      <c r="A7317" s="672">
        <v>45706</v>
      </c>
      <c r="B7317" s="665"/>
      <c r="C7317" s="665" t="s">
        <v>77</v>
      </c>
      <c r="D7317" s="3" t="s">
        <v>3559</v>
      </c>
      <c r="E7317" s="1497"/>
      <c r="F7317" s="1497">
        <v>170000</v>
      </c>
      <c r="G7317" s="665" t="s">
        <v>56</v>
      </c>
      <c r="H7317" s="3"/>
    </row>
    <row r="7318" spans="1:8">
      <c r="A7318" s="674">
        <v>45706</v>
      </c>
      <c r="B7318" s="673"/>
      <c r="C7318" s="673" t="s">
        <v>92</v>
      </c>
      <c r="D7318" s="3" t="s">
        <v>2084</v>
      </c>
      <c r="E7318" s="1497"/>
      <c r="F7318" s="1497">
        <v>995578.35</v>
      </c>
      <c r="G7318" s="673" t="s">
        <v>27</v>
      </c>
      <c r="H7318" s="3"/>
    </row>
    <row r="7319" spans="1:8">
      <c r="A7319" s="674">
        <v>45706</v>
      </c>
      <c r="B7319" s="667"/>
      <c r="C7319" s="667" t="s">
        <v>205</v>
      </c>
      <c r="D7319" s="3" t="s">
        <v>246</v>
      </c>
      <c r="E7319" s="1497">
        <v>102870</v>
      </c>
      <c r="F7319" s="1497"/>
      <c r="G7319" s="667" t="s">
        <v>56</v>
      </c>
      <c r="H7319" s="3"/>
    </row>
    <row r="7320" spans="1:8">
      <c r="A7320" s="675">
        <v>45707</v>
      </c>
      <c r="B7320" s="667"/>
      <c r="C7320" s="667"/>
      <c r="D7320" s="3" t="s">
        <v>97</v>
      </c>
      <c r="E7320" s="1497">
        <v>18000</v>
      </c>
      <c r="F7320" s="1497"/>
      <c r="G7320" s="667" t="s">
        <v>27</v>
      </c>
      <c r="H7320" s="3"/>
    </row>
    <row r="7321" spans="1:8">
      <c r="A7321" s="675">
        <v>45707</v>
      </c>
      <c r="B7321" s="667"/>
      <c r="C7321" s="667" t="s">
        <v>92</v>
      </c>
      <c r="D7321" s="3" t="s">
        <v>83</v>
      </c>
      <c r="E7321" s="1497"/>
      <c r="F7321" s="1497">
        <v>350090</v>
      </c>
      <c r="G7321" s="667" t="s">
        <v>27</v>
      </c>
      <c r="H7321" s="3"/>
    </row>
    <row r="7322" spans="1:8">
      <c r="A7322" s="675">
        <v>45707</v>
      </c>
      <c r="B7322" s="667"/>
      <c r="C7322" s="667" t="s">
        <v>92</v>
      </c>
      <c r="D7322" s="3" t="s">
        <v>3560</v>
      </c>
      <c r="E7322" s="1497"/>
      <c r="F7322" s="1497">
        <v>103850</v>
      </c>
      <c r="G7322" s="667" t="s">
        <v>56</v>
      </c>
      <c r="H7322" s="3"/>
    </row>
    <row r="7323" spans="1:8">
      <c r="A7323" s="675">
        <v>45708</v>
      </c>
      <c r="B7323" s="667"/>
      <c r="C7323" s="667" t="s">
        <v>79</v>
      </c>
      <c r="D7323" s="3" t="s">
        <v>79</v>
      </c>
      <c r="E7323" s="1497">
        <v>34800</v>
      </c>
      <c r="F7323" s="1497"/>
      <c r="G7323" s="667" t="s">
        <v>27</v>
      </c>
      <c r="H7323" s="3"/>
    </row>
    <row r="7324" spans="1:8">
      <c r="A7324" s="675">
        <v>45708</v>
      </c>
      <c r="B7324" s="667"/>
      <c r="C7324" s="667" t="s">
        <v>79</v>
      </c>
      <c r="D7324" s="3" t="s">
        <v>79</v>
      </c>
      <c r="E7324" s="1497">
        <v>13000</v>
      </c>
      <c r="F7324" s="1497"/>
      <c r="G7324" s="667" t="s">
        <v>27</v>
      </c>
      <c r="H7324" s="3"/>
    </row>
    <row r="7325" spans="1:8">
      <c r="A7325" s="675">
        <v>45708</v>
      </c>
      <c r="B7325" s="667"/>
      <c r="C7325" s="667" t="s">
        <v>55</v>
      </c>
      <c r="D7325" s="3" t="s">
        <v>70</v>
      </c>
      <c r="E7325" s="1497">
        <v>16600</v>
      </c>
      <c r="F7325" s="1497"/>
      <c r="G7325" s="667" t="s">
        <v>56</v>
      </c>
      <c r="H7325" s="3"/>
    </row>
    <row r="7326" spans="1:8">
      <c r="A7326" s="675">
        <v>45708</v>
      </c>
      <c r="B7326" s="673"/>
      <c r="C7326" s="673" t="s">
        <v>90</v>
      </c>
      <c r="D7326" s="3" t="s">
        <v>1951</v>
      </c>
      <c r="E7326" s="1497">
        <v>11500</v>
      </c>
      <c r="F7326" s="1497"/>
      <c r="G7326" s="673" t="s">
        <v>56</v>
      </c>
      <c r="H7326" s="3"/>
    </row>
    <row r="7327" spans="1:8">
      <c r="A7327" s="675">
        <v>45708</v>
      </c>
      <c r="B7327" s="673"/>
      <c r="C7327" s="673" t="s">
        <v>92</v>
      </c>
      <c r="D7327" s="3" t="s">
        <v>3562</v>
      </c>
      <c r="E7327" s="1497"/>
      <c r="F7327" s="1497">
        <v>32000</v>
      </c>
      <c r="G7327" s="673" t="s">
        <v>56</v>
      </c>
      <c r="H7327" s="3"/>
    </row>
    <row r="7328" spans="1:8">
      <c r="A7328" s="675">
        <v>45708</v>
      </c>
      <c r="B7328" s="673"/>
      <c r="C7328" s="673" t="s">
        <v>79</v>
      </c>
      <c r="D7328" s="3" t="s">
        <v>166</v>
      </c>
      <c r="E7328" s="1497">
        <v>414950</v>
      </c>
      <c r="F7328" s="1497"/>
      <c r="G7328" s="673" t="s">
        <v>27</v>
      </c>
      <c r="H7328" s="3"/>
    </row>
    <row r="7329" spans="1:8">
      <c r="A7329" s="678">
        <v>45709</v>
      </c>
      <c r="B7329" s="673"/>
      <c r="C7329" s="673" t="s">
        <v>199</v>
      </c>
      <c r="D7329" s="3" t="s">
        <v>48</v>
      </c>
      <c r="E7329" s="1497">
        <v>61200.43</v>
      </c>
      <c r="F7329" s="1497"/>
      <c r="G7329" s="673" t="s">
        <v>27</v>
      </c>
      <c r="H7329" s="3"/>
    </row>
    <row r="7330" spans="1:8">
      <c r="A7330" s="678">
        <v>45709</v>
      </c>
      <c r="B7330" s="673"/>
      <c r="C7330" s="673" t="s">
        <v>86</v>
      </c>
      <c r="D7330" s="3" t="s">
        <v>86</v>
      </c>
      <c r="E7330" s="1497">
        <v>30000</v>
      </c>
      <c r="F7330" s="1497"/>
      <c r="G7330" s="673" t="s">
        <v>27</v>
      </c>
      <c r="H7330" s="3"/>
    </row>
    <row r="7331" spans="1:8">
      <c r="A7331" s="678">
        <v>45709</v>
      </c>
      <c r="B7331" s="673"/>
      <c r="C7331" s="673" t="s">
        <v>537</v>
      </c>
      <c r="D7331" s="3" t="s">
        <v>219</v>
      </c>
      <c r="E7331" s="1497">
        <v>225000</v>
      </c>
      <c r="F7331" s="1497"/>
      <c r="G7331" s="673" t="s">
        <v>56</v>
      </c>
      <c r="H7331" s="3"/>
    </row>
    <row r="7332" spans="1:8">
      <c r="A7332" s="678">
        <v>45709</v>
      </c>
      <c r="B7332" s="676"/>
      <c r="C7332" s="677" t="s">
        <v>537</v>
      </c>
      <c r="D7332" s="3" t="s">
        <v>208</v>
      </c>
      <c r="E7332" s="1497">
        <v>212500</v>
      </c>
      <c r="F7332" s="1497"/>
      <c r="G7332" s="677" t="s">
        <v>56</v>
      </c>
      <c r="H7332" s="3"/>
    </row>
    <row r="7333" spans="1:8">
      <c r="A7333" s="678">
        <v>45709</v>
      </c>
      <c r="B7333" s="676"/>
      <c r="C7333" s="677" t="s">
        <v>537</v>
      </c>
      <c r="D7333" s="3" t="s">
        <v>144</v>
      </c>
      <c r="E7333" s="1497">
        <v>435000</v>
      </c>
      <c r="F7333" s="1497"/>
      <c r="G7333" s="677" t="s">
        <v>56</v>
      </c>
      <c r="H7333" s="3"/>
    </row>
    <row r="7334" spans="1:8" ht="15.75" customHeight="1" thickBot="1">
      <c r="A7334" s="678">
        <v>45709</v>
      </c>
      <c r="B7334" s="676"/>
      <c r="C7334" s="677" t="s">
        <v>537</v>
      </c>
      <c r="D7334" s="3" t="s">
        <v>193</v>
      </c>
      <c r="E7334" s="1497">
        <v>120000</v>
      </c>
      <c r="F7334" s="1497"/>
      <c r="G7334" s="676" t="s">
        <v>56</v>
      </c>
      <c r="H7334" s="3"/>
    </row>
    <row r="7335" spans="1:8" ht="15.75" thickBot="1">
      <c r="A7335" s="676"/>
      <c r="B7335" s="676"/>
      <c r="C7335" s="676"/>
      <c r="D7335" s="3"/>
      <c r="E7335" s="1497"/>
      <c r="F7335" s="1497"/>
      <c r="G7335" s="676"/>
      <c r="H7335" s="201">
        <v>45709</v>
      </c>
    </row>
    <row r="7336" spans="1:8">
      <c r="H7336" s="199" t="s">
        <v>3124</v>
      </c>
    </row>
    <row r="7337" spans="1:8">
      <c r="H7337" s="137" t="s">
        <v>3565</v>
      </c>
    </row>
    <row r="7338" spans="1:8">
      <c r="H7338" s="138" t="s">
        <v>3563</v>
      </c>
    </row>
    <row r="7339" spans="1:8">
      <c r="H7339" s="138" t="s">
        <v>3564</v>
      </c>
    </row>
    <row r="7340" spans="1:8">
      <c r="H7340" s="138" t="s">
        <v>3503</v>
      </c>
    </row>
    <row r="7341" spans="1:8">
      <c r="H7341" s="138" t="s">
        <v>3538</v>
      </c>
    </row>
    <row r="7342" spans="1:8">
      <c r="H7342" s="218" t="s">
        <v>3522</v>
      </c>
    </row>
    <row r="7343" spans="1:8" ht="15.75" thickBot="1">
      <c r="H7343" s="139" t="s">
        <v>3539</v>
      </c>
    </row>
    <row r="7344" spans="1:8" ht="15.75" thickBot="1">
      <c r="H7344" s="538" t="s">
        <v>3524</v>
      </c>
    </row>
    <row r="7345" spans="1:8">
      <c r="A7345" s="680">
        <v>45712</v>
      </c>
      <c r="B7345" s="679"/>
      <c r="C7345" s="679" t="s">
        <v>86</v>
      </c>
      <c r="D7345" s="3" t="s">
        <v>104</v>
      </c>
      <c r="E7345" s="1497">
        <v>20000</v>
      </c>
      <c r="F7345" s="1497"/>
      <c r="G7345" s="679" t="s">
        <v>56</v>
      </c>
      <c r="H7345" s="183"/>
    </row>
    <row r="7346" spans="1:8">
      <c r="A7346" s="680">
        <v>45712</v>
      </c>
      <c r="B7346" s="679"/>
      <c r="C7346" s="679" t="s">
        <v>79</v>
      </c>
      <c r="D7346" s="3" t="s">
        <v>79</v>
      </c>
      <c r="E7346" s="1497">
        <v>48696</v>
      </c>
      <c r="F7346" s="1497"/>
      <c r="G7346" s="679" t="s">
        <v>27</v>
      </c>
      <c r="H7346" s="3"/>
    </row>
    <row r="7347" spans="1:8">
      <c r="A7347" s="680">
        <v>45712</v>
      </c>
      <c r="B7347" s="679"/>
      <c r="C7347" s="679" t="s">
        <v>205</v>
      </c>
      <c r="D7347" s="3" t="s">
        <v>3566</v>
      </c>
      <c r="E7347" s="1497" t="s">
        <v>3567</v>
      </c>
      <c r="F7347" s="1497"/>
      <c r="G7347" s="679" t="s">
        <v>27</v>
      </c>
      <c r="H7347" s="3"/>
    </row>
    <row r="7348" spans="1:8">
      <c r="A7348" s="680">
        <v>45712</v>
      </c>
      <c r="B7348" s="679"/>
      <c r="C7348" s="679" t="s">
        <v>79</v>
      </c>
      <c r="D7348" s="3" t="s">
        <v>79</v>
      </c>
      <c r="E7348" s="1497" t="s">
        <v>3568</v>
      </c>
      <c r="F7348" s="1497"/>
      <c r="G7348" s="679" t="s">
        <v>27</v>
      </c>
      <c r="H7348" s="3"/>
    </row>
    <row r="7349" spans="1:8">
      <c r="A7349" s="680">
        <v>45712</v>
      </c>
      <c r="B7349" s="679"/>
      <c r="C7349" s="679" t="s">
        <v>79</v>
      </c>
      <c r="D7349" s="3" t="s">
        <v>79</v>
      </c>
      <c r="E7349" s="1497">
        <v>14330.5</v>
      </c>
      <c r="F7349" s="1497"/>
      <c r="G7349" s="679" t="s">
        <v>27</v>
      </c>
      <c r="H7349" s="3"/>
    </row>
    <row r="7350" spans="1:8">
      <c r="A7350" s="680">
        <v>45712</v>
      </c>
      <c r="B7350" s="679"/>
      <c r="C7350" s="679" t="s">
        <v>174</v>
      </c>
      <c r="D7350" s="3" t="s">
        <v>181</v>
      </c>
      <c r="E7350" s="1497">
        <v>54211.18</v>
      </c>
      <c r="F7350" s="1497"/>
      <c r="G7350" s="679" t="s">
        <v>27</v>
      </c>
      <c r="H7350" s="3"/>
    </row>
    <row r="7351" spans="1:8">
      <c r="A7351" s="680">
        <v>45712</v>
      </c>
      <c r="B7351" s="679"/>
      <c r="C7351" s="679" t="s">
        <v>174</v>
      </c>
      <c r="D7351" s="3" t="s">
        <v>1403</v>
      </c>
      <c r="E7351" s="1497">
        <v>11499.84</v>
      </c>
      <c r="F7351" s="1497"/>
      <c r="G7351" s="679" t="s">
        <v>27</v>
      </c>
      <c r="H7351" s="3"/>
    </row>
    <row r="7352" spans="1:8">
      <c r="A7352" s="680">
        <v>45712</v>
      </c>
      <c r="B7352" s="679"/>
      <c r="C7352" s="679" t="s">
        <v>174</v>
      </c>
      <c r="D7352" s="3" t="s">
        <v>1403</v>
      </c>
      <c r="E7352" s="1497">
        <v>11712.62</v>
      </c>
      <c r="F7352" s="1497"/>
      <c r="G7352" s="679" t="s">
        <v>27</v>
      </c>
      <c r="H7352" s="3"/>
    </row>
    <row r="7353" spans="1:8">
      <c r="A7353" s="680">
        <v>45713</v>
      </c>
      <c r="B7353" s="679"/>
      <c r="C7353" s="679" t="s">
        <v>55</v>
      </c>
      <c r="D7353" s="3" t="s">
        <v>38</v>
      </c>
      <c r="E7353" s="1497">
        <v>1700</v>
      </c>
      <c r="F7353" s="1497"/>
      <c r="G7353" s="679" t="s">
        <v>56</v>
      </c>
      <c r="H7353" s="3"/>
    </row>
    <row r="7354" spans="1:8">
      <c r="A7354" s="681">
        <v>45713</v>
      </c>
      <c r="B7354" s="679"/>
      <c r="C7354" s="679" t="s">
        <v>79</v>
      </c>
      <c r="D7354" s="3" t="s">
        <v>79</v>
      </c>
      <c r="E7354" s="1497">
        <v>8000</v>
      </c>
      <c r="F7354" s="1497"/>
      <c r="G7354" s="679" t="s">
        <v>56</v>
      </c>
      <c r="H7354" s="3"/>
    </row>
    <row r="7355" spans="1:8">
      <c r="A7355" s="681">
        <v>45713</v>
      </c>
      <c r="B7355" s="679"/>
      <c r="C7355" s="679" t="s">
        <v>77</v>
      </c>
      <c r="D7355" s="3" t="s">
        <v>3569</v>
      </c>
      <c r="E7355" s="1497"/>
      <c r="F7355" s="1497">
        <v>16600000</v>
      </c>
      <c r="G7355" s="679" t="s">
        <v>56</v>
      </c>
      <c r="H7355" s="3"/>
    </row>
    <row r="7356" spans="1:8">
      <c r="A7356" s="681">
        <v>45714</v>
      </c>
      <c r="B7356" s="679"/>
      <c r="C7356" s="679" t="s">
        <v>79</v>
      </c>
      <c r="D7356" s="3" t="s">
        <v>79</v>
      </c>
      <c r="E7356" s="1497">
        <v>800000</v>
      </c>
      <c r="F7356" s="1497"/>
      <c r="G7356" s="682" t="s">
        <v>56</v>
      </c>
      <c r="H7356" s="167" t="s">
        <v>3571</v>
      </c>
    </row>
    <row r="7357" spans="1:8">
      <c r="A7357" s="681">
        <v>45714</v>
      </c>
      <c r="B7357" s="682"/>
      <c r="C7357" s="682" t="s">
        <v>3573</v>
      </c>
      <c r="D7357" s="3" t="s">
        <v>319</v>
      </c>
      <c r="E7357" s="1497"/>
      <c r="F7357" s="1497">
        <v>1700000</v>
      </c>
      <c r="G7357" s="682" t="s">
        <v>56</v>
      </c>
      <c r="H7357" s="167" t="s">
        <v>3571</v>
      </c>
    </row>
    <row r="7358" spans="1:8">
      <c r="A7358" s="684">
        <v>45714</v>
      </c>
      <c r="B7358" s="683"/>
      <c r="C7358" s="683" t="s">
        <v>205</v>
      </c>
      <c r="D7358" s="3" t="s">
        <v>48</v>
      </c>
      <c r="E7358" s="1497">
        <v>500000</v>
      </c>
      <c r="F7358" s="1497"/>
      <c r="G7358" s="683" t="s">
        <v>56</v>
      </c>
      <c r="H7358" s="167" t="s">
        <v>3571</v>
      </c>
    </row>
    <row r="7359" spans="1:8">
      <c r="A7359" s="684">
        <v>45714</v>
      </c>
      <c r="B7359" s="683"/>
      <c r="C7359" s="683" t="s">
        <v>205</v>
      </c>
      <c r="D7359" s="3" t="s">
        <v>41</v>
      </c>
      <c r="E7359" s="1497">
        <v>346200</v>
      </c>
      <c r="F7359" s="1497"/>
      <c r="G7359" s="683" t="s">
        <v>56</v>
      </c>
      <c r="H7359" s="167" t="s">
        <v>3571</v>
      </c>
    </row>
    <row r="7360" spans="1:8">
      <c r="A7360" s="684">
        <v>45715</v>
      </c>
      <c r="B7360" s="683"/>
      <c r="C7360" s="683" t="s">
        <v>150</v>
      </c>
      <c r="D7360" s="3" t="s">
        <v>650</v>
      </c>
      <c r="E7360" s="1497">
        <v>24000</v>
      </c>
      <c r="F7360" s="1497"/>
      <c r="G7360" s="683" t="s">
        <v>27</v>
      </c>
      <c r="H7360" s="3"/>
    </row>
    <row r="7361" spans="1:8">
      <c r="A7361" s="684">
        <v>45715</v>
      </c>
      <c r="B7361" s="683"/>
      <c r="C7361" s="683" t="s">
        <v>150</v>
      </c>
      <c r="D7361" s="3" t="s">
        <v>3572</v>
      </c>
      <c r="E7361" s="1497">
        <v>600</v>
      </c>
      <c r="F7361" s="1497"/>
      <c r="G7361" s="683" t="s">
        <v>27</v>
      </c>
      <c r="H7361" s="3"/>
    </row>
    <row r="7362" spans="1:8">
      <c r="A7362" s="684">
        <v>45715</v>
      </c>
      <c r="B7362" s="683"/>
      <c r="C7362" s="683" t="s">
        <v>150</v>
      </c>
      <c r="D7362" s="15" t="s">
        <v>155</v>
      </c>
      <c r="E7362" s="1497">
        <v>5040</v>
      </c>
      <c r="F7362" s="1497"/>
      <c r="G7362" s="683" t="s">
        <v>27</v>
      </c>
      <c r="H7362" s="3"/>
    </row>
    <row r="7363" spans="1:8">
      <c r="A7363" s="684">
        <v>45715</v>
      </c>
      <c r="B7363" s="683"/>
      <c r="C7363" s="683" t="s">
        <v>205</v>
      </c>
      <c r="D7363" s="3" t="s">
        <v>3570</v>
      </c>
      <c r="E7363" s="1497">
        <v>1662842.5</v>
      </c>
      <c r="F7363" s="1497"/>
      <c r="G7363" s="683" t="s">
        <v>27</v>
      </c>
      <c r="H7363" s="3"/>
    </row>
    <row r="7364" spans="1:8">
      <c r="A7364" s="685">
        <v>45715</v>
      </c>
      <c r="B7364" s="683"/>
      <c r="C7364" s="683" t="s">
        <v>90</v>
      </c>
      <c r="D7364" s="3" t="s">
        <v>1951</v>
      </c>
      <c r="E7364" s="1497">
        <v>14000</v>
      </c>
      <c r="F7364" s="1497"/>
      <c r="G7364" s="683" t="s">
        <v>56</v>
      </c>
      <c r="H7364" s="3"/>
    </row>
    <row r="7365" spans="1:8">
      <c r="A7365" s="685">
        <v>45715</v>
      </c>
      <c r="B7365" s="683"/>
      <c r="C7365" s="683" t="s">
        <v>77</v>
      </c>
      <c r="D7365" s="3" t="s">
        <v>3359</v>
      </c>
      <c r="E7365" s="1497"/>
      <c r="F7365" s="1497">
        <v>9993000</v>
      </c>
      <c r="G7365" s="686" t="s">
        <v>56</v>
      </c>
      <c r="H7365" s="3"/>
    </row>
    <row r="7366" spans="1:8">
      <c r="A7366" s="687">
        <v>45715</v>
      </c>
      <c r="B7366" s="683"/>
      <c r="C7366" s="683" t="s">
        <v>205</v>
      </c>
      <c r="D7366" s="3" t="s">
        <v>71</v>
      </c>
      <c r="E7366" s="1497">
        <v>286040</v>
      </c>
      <c r="F7366" s="1497"/>
      <c r="G7366" s="683" t="s">
        <v>287</v>
      </c>
      <c r="H7366" s="3"/>
    </row>
    <row r="7367" spans="1:8">
      <c r="A7367" s="688">
        <v>45715</v>
      </c>
      <c r="B7367" s="683"/>
      <c r="C7367" s="683" t="s">
        <v>537</v>
      </c>
      <c r="D7367" s="3" t="s">
        <v>144</v>
      </c>
      <c r="E7367" s="1497">
        <v>435000</v>
      </c>
      <c r="F7367" s="1497"/>
      <c r="G7367" s="683" t="s">
        <v>56</v>
      </c>
      <c r="H7367" s="3"/>
    </row>
    <row r="7368" spans="1:8">
      <c r="A7368" s="688">
        <v>45716</v>
      </c>
      <c r="B7368" s="689"/>
      <c r="C7368" s="689" t="s">
        <v>79</v>
      </c>
      <c r="D7368" s="15" t="s">
        <v>3574</v>
      </c>
      <c r="E7368" s="1497">
        <v>20000</v>
      </c>
      <c r="F7368" s="1497"/>
      <c r="G7368" s="689" t="s">
        <v>56</v>
      </c>
      <c r="H7368" s="3"/>
    </row>
    <row r="7369" spans="1:8">
      <c r="A7369" s="688">
        <v>45716</v>
      </c>
      <c r="B7369" s="689"/>
      <c r="C7369" s="689" t="s">
        <v>86</v>
      </c>
      <c r="D7369" s="3" t="s">
        <v>107</v>
      </c>
      <c r="E7369" s="1497">
        <v>20000</v>
      </c>
      <c r="F7369" s="1497"/>
      <c r="G7369" s="689" t="s">
        <v>56</v>
      </c>
      <c r="H7369" s="3"/>
    </row>
    <row r="7370" spans="1:8">
      <c r="A7370" s="688">
        <v>45716</v>
      </c>
      <c r="B7370" s="689"/>
      <c r="C7370" s="689" t="s">
        <v>150</v>
      </c>
      <c r="D7370" s="3" t="s">
        <v>3575</v>
      </c>
      <c r="E7370" s="1497">
        <v>1500000</v>
      </c>
      <c r="F7370" s="1497"/>
      <c r="G7370" s="689" t="s">
        <v>56</v>
      </c>
      <c r="H7370" s="3"/>
    </row>
    <row r="7371" spans="1:8">
      <c r="A7371" s="688">
        <v>45716</v>
      </c>
      <c r="B7371" s="689"/>
      <c r="C7371" s="689" t="s">
        <v>176</v>
      </c>
      <c r="D7371" s="15" t="s">
        <v>3576</v>
      </c>
      <c r="E7371" s="1497">
        <v>130000</v>
      </c>
      <c r="F7371" s="1497"/>
      <c r="G7371" s="689" t="s">
        <v>56</v>
      </c>
      <c r="H7371" s="3"/>
    </row>
    <row r="7372" spans="1:8">
      <c r="A7372" s="688">
        <v>45716</v>
      </c>
      <c r="B7372" s="689"/>
      <c r="C7372" s="689" t="s">
        <v>537</v>
      </c>
      <c r="D7372" s="3" t="s">
        <v>219</v>
      </c>
      <c r="E7372" s="1497">
        <v>225000</v>
      </c>
      <c r="F7372" s="1497"/>
      <c r="G7372" s="689" t="s">
        <v>56</v>
      </c>
      <c r="H7372" s="3"/>
    </row>
    <row r="7373" spans="1:8">
      <c r="A7373" s="688">
        <v>45716</v>
      </c>
      <c r="B7373" s="689"/>
      <c r="C7373" s="689" t="s">
        <v>537</v>
      </c>
      <c r="D7373" s="3" t="s">
        <v>208</v>
      </c>
      <c r="E7373" s="1497">
        <v>168000</v>
      </c>
      <c r="F7373" s="1497"/>
      <c r="G7373" s="689" t="s">
        <v>56</v>
      </c>
      <c r="H7373" s="3"/>
    </row>
    <row r="7374" spans="1:8">
      <c r="A7374" s="688">
        <v>45716</v>
      </c>
      <c r="B7374" s="689"/>
      <c r="C7374" s="689" t="s">
        <v>537</v>
      </c>
      <c r="D7374" s="3" t="s">
        <v>193</v>
      </c>
      <c r="E7374" s="1497">
        <v>120000</v>
      </c>
      <c r="F7374" s="1497"/>
      <c r="G7374" s="689" t="s">
        <v>56</v>
      </c>
      <c r="H7374" s="3"/>
    </row>
    <row r="7375" spans="1:8">
      <c r="A7375" s="1541"/>
      <c r="B7375" s="1542"/>
      <c r="C7375" s="1542"/>
      <c r="D7375" s="1542"/>
      <c r="E7375" s="1542"/>
      <c r="F7375" s="1542"/>
      <c r="G7375" s="1542"/>
      <c r="H7375" s="1543"/>
    </row>
    <row r="7376" spans="1:8">
      <c r="A7376" s="688" t="s">
        <v>3579</v>
      </c>
      <c r="B7376" s="689"/>
      <c r="C7376" s="689" t="s">
        <v>79</v>
      </c>
      <c r="D7376" s="3" t="s">
        <v>3409</v>
      </c>
      <c r="E7376" s="1497">
        <v>10000</v>
      </c>
      <c r="F7376" s="1497"/>
      <c r="G7376" s="689" t="s">
        <v>27</v>
      </c>
      <c r="H7376" s="3"/>
    </row>
    <row r="7377" spans="1:8">
      <c r="A7377" s="688">
        <v>45721</v>
      </c>
      <c r="B7377" s="689"/>
      <c r="C7377" s="689" t="s">
        <v>79</v>
      </c>
      <c r="D7377" s="3" t="s">
        <v>86</v>
      </c>
      <c r="E7377" s="1497">
        <v>155930</v>
      </c>
      <c r="F7377" s="1497"/>
      <c r="G7377" s="689" t="s">
        <v>27</v>
      </c>
      <c r="H7377" s="3"/>
    </row>
    <row r="7378" spans="1:8">
      <c r="A7378" s="688">
        <v>45721</v>
      </c>
      <c r="B7378" s="689"/>
      <c r="C7378" s="689" t="s">
        <v>65</v>
      </c>
      <c r="D7378" s="3" t="s">
        <v>1217</v>
      </c>
      <c r="E7378" s="1497">
        <v>14072.32</v>
      </c>
      <c r="F7378" s="1497"/>
      <c r="G7378" s="689" t="s">
        <v>27</v>
      </c>
      <c r="H7378" s="3"/>
    </row>
    <row r="7379" spans="1:8">
      <c r="A7379" s="688">
        <v>45721</v>
      </c>
      <c r="B7379" s="689"/>
      <c r="C7379" s="689" t="s">
        <v>65</v>
      </c>
      <c r="D7379" s="3" t="s">
        <v>1217</v>
      </c>
      <c r="E7379" s="1497">
        <v>14077.32</v>
      </c>
      <c r="F7379" s="1497"/>
      <c r="G7379" s="689" t="s">
        <v>27</v>
      </c>
      <c r="H7379" s="3"/>
    </row>
    <row r="7380" spans="1:8">
      <c r="A7380" s="688">
        <v>45721</v>
      </c>
      <c r="B7380" s="689"/>
      <c r="C7380" s="689" t="s">
        <v>79</v>
      </c>
      <c r="D7380" s="3" t="s">
        <v>1217</v>
      </c>
      <c r="E7380" s="1497">
        <v>41255.97</v>
      </c>
      <c r="F7380" s="1497"/>
      <c r="G7380" s="689" t="s">
        <v>27</v>
      </c>
      <c r="H7380" s="3"/>
    </row>
    <row r="7381" spans="1:8">
      <c r="A7381" s="688">
        <v>45721</v>
      </c>
      <c r="B7381" s="689"/>
      <c r="C7381" s="689" t="s">
        <v>205</v>
      </c>
      <c r="D7381" s="3" t="s">
        <v>3296</v>
      </c>
      <c r="E7381" s="1497">
        <v>440000</v>
      </c>
      <c r="F7381" s="1497"/>
      <c r="G7381" s="689" t="s">
        <v>27</v>
      </c>
      <c r="H7381" s="3"/>
    </row>
    <row r="7382" spans="1:8">
      <c r="A7382" s="688">
        <v>45721</v>
      </c>
      <c r="B7382" s="689"/>
      <c r="C7382" s="689" t="s">
        <v>205</v>
      </c>
      <c r="D7382" s="3" t="s">
        <v>3296</v>
      </c>
      <c r="E7382" s="1497">
        <v>36000</v>
      </c>
      <c r="F7382" s="1497"/>
      <c r="G7382" s="689" t="s">
        <v>27</v>
      </c>
      <c r="H7382" s="3"/>
    </row>
    <row r="7383" spans="1:8">
      <c r="A7383" s="688">
        <v>45721</v>
      </c>
      <c r="B7383" s="689"/>
      <c r="C7383" s="689" t="s">
        <v>79</v>
      </c>
      <c r="D7383" s="3" t="s">
        <v>667</v>
      </c>
      <c r="E7383" s="1497" t="s">
        <v>3578</v>
      </c>
      <c r="F7383" s="1497"/>
      <c r="G7383" s="689" t="s">
        <v>27</v>
      </c>
      <c r="H7383" s="3"/>
    </row>
    <row r="7384" spans="1:8">
      <c r="A7384" s="688">
        <v>45721</v>
      </c>
      <c r="B7384" s="689"/>
      <c r="C7384" s="689" t="s">
        <v>205</v>
      </c>
      <c r="D7384" s="3" t="s">
        <v>3577</v>
      </c>
      <c r="E7384" s="1497">
        <v>1130000</v>
      </c>
      <c r="F7384" s="1497"/>
      <c r="G7384" s="689" t="s">
        <v>27</v>
      </c>
      <c r="H7384" s="3"/>
    </row>
    <row r="7385" spans="1:8">
      <c r="A7385" s="691">
        <v>45723</v>
      </c>
      <c r="B7385" s="689"/>
      <c r="C7385" s="689" t="s">
        <v>94</v>
      </c>
      <c r="D7385" s="3" t="s">
        <v>3545</v>
      </c>
      <c r="E7385" s="1497">
        <v>39804.76</v>
      </c>
      <c r="F7385" s="1497"/>
      <c r="G7385" s="690" t="s">
        <v>27</v>
      </c>
      <c r="H7385" s="3"/>
    </row>
    <row r="7386" spans="1:8">
      <c r="A7386" s="691">
        <v>45723</v>
      </c>
      <c r="B7386" s="689"/>
      <c r="C7386" s="689" t="s">
        <v>205</v>
      </c>
      <c r="D7386" s="3" t="s">
        <v>48</v>
      </c>
      <c r="E7386" s="1497">
        <v>1716000</v>
      </c>
      <c r="F7386" s="1497"/>
      <c r="G7386" s="689" t="s">
        <v>1279</v>
      </c>
      <c r="H7386" s="3"/>
    </row>
    <row r="7387" spans="1:8">
      <c r="A7387" s="691">
        <v>45723</v>
      </c>
      <c r="B7387" s="689"/>
      <c r="C7387" s="690" t="s">
        <v>205</v>
      </c>
      <c r="D7387" s="3" t="s">
        <v>48</v>
      </c>
      <c r="E7387" s="1497">
        <v>2744799.99</v>
      </c>
      <c r="F7387" s="1497"/>
      <c r="G7387" s="689" t="s">
        <v>287</v>
      </c>
      <c r="H7387" s="3"/>
    </row>
    <row r="7388" spans="1:8">
      <c r="A7388" s="692">
        <v>45723</v>
      </c>
      <c r="B7388" s="693"/>
      <c r="C7388" s="693" t="s">
        <v>88</v>
      </c>
      <c r="D7388" s="3" t="s">
        <v>208</v>
      </c>
      <c r="E7388" s="1497">
        <v>215000</v>
      </c>
      <c r="F7388" s="1497"/>
      <c r="G7388" s="693" t="s">
        <v>56</v>
      </c>
      <c r="H7388" s="3"/>
    </row>
    <row r="7389" spans="1:8">
      <c r="A7389" s="692">
        <v>45723</v>
      </c>
      <c r="B7389" s="693"/>
      <c r="C7389" s="693" t="s">
        <v>88</v>
      </c>
      <c r="D7389" s="15" t="s">
        <v>144</v>
      </c>
      <c r="E7389" s="1497">
        <v>4350000</v>
      </c>
      <c r="F7389" s="1497"/>
      <c r="G7389" s="693" t="s">
        <v>56</v>
      </c>
      <c r="H7389" s="3"/>
    </row>
    <row r="7390" spans="1:8">
      <c r="A7390" s="692">
        <v>45723</v>
      </c>
      <c r="B7390" s="693"/>
      <c r="C7390" s="693" t="s">
        <v>88</v>
      </c>
      <c r="D7390" s="15" t="s">
        <v>219</v>
      </c>
      <c r="E7390" s="1497">
        <v>225000</v>
      </c>
      <c r="F7390" s="1497"/>
      <c r="G7390" s="693" t="s">
        <v>56</v>
      </c>
      <c r="H7390" s="3"/>
    </row>
    <row r="7391" spans="1:8">
      <c r="A7391" s="692">
        <v>45723</v>
      </c>
      <c r="B7391" s="693"/>
      <c r="C7391" s="693" t="s">
        <v>88</v>
      </c>
      <c r="D7391" s="15" t="s">
        <v>193</v>
      </c>
      <c r="E7391" s="1497">
        <v>120000</v>
      </c>
      <c r="F7391" s="1497"/>
      <c r="G7391" s="693" t="s">
        <v>56</v>
      </c>
      <c r="H7391" s="3"/>
    </row>
    <row r="7392" spans="1:8">
      <c r="A7392" s="1538"/>
      <c r="B7392" s="1539"/>
      <c r="C7392" s="1539"/>
      <c r="D7392" s="1539"/>
      <c r="E7392" s="1539"/>
      <c r="F7392" s="1539"/>
      <c r="G7392" s="1539"/>
      <c r="H7392" s="1540"/>
    </row>
    <row r="7393" spans="1:8">
      <c r="A7393" s="692">
        <v>45726</v>
      </c>
      <c r="B7393" s="693"/>
      <c r="C7393" s="693" t="s">
        <v>150</v>
      </c>
      <c r="D7393" s="3" t="s">
        <v>319</v>
      </c>
      <c r="E7393" s="1497">
        <v>800000</v>
      </c>
      <c r="F7393" s="1497"/>
      <c r="G7393" s="693" t="s">
        <v>56</v>
      </c>
      <c r="H7393" s="3"/>
    </row>
    <row r="7394" spans="1:8">
      <c r="A7394" s="692">
        <v>45726</v>
      </c>
      <c r="B7394" s="693"/>
      <c r="C7394" s="693" t="s">
        <v>79</v>
      </c>
      <c r="D7394" s="3" t="s">
        <v>3580</v>
      </c>
      <c r="E7394" s="1497">
        <v>10000</v>
      </c>
      <c r="F7394" s="1497"/>
      <c r="G7394" s="693" t="s">
        <v>56</v>
      </c>
      <c r="H7394" s="3"/>
    </row>
    <row r="7395" spans="1:8">
      <c r="A7395" s="692">
        <v>45726</v>
      </c>
      <c r="B7395" s="693"/>
      <c r="C7395" s="693" t="s">
        <v>174</v>
      </c>
      <c r="D7395" s="3" t="s">
        <v>2630</v>
      </c>
      <c r="E7395" s="1497">
        <v>28636</v>
      </c>
      <c r="F7395" s="1497"/>
      <c r="G7395" s="693" t="s">
        <v>27</v>
      </c>
      <c r="H7395" s="3"/>
    </row>
    <row r="7396" spans="1:8">
      <c r="A7396" s="692">
        <v>45726</v>
      </c>
      <c r="B7396" s="693"/>
      <c r="C7396" s="693" t="s">
        <v>327</v>
      </c>
      <c r="D7396" s="3" t="s">
        <v>3581</v>
      </c>
      <c r="E7396" s="1497"/>
      <c r="F7396" s="1497">
        <v>30000</v>
      </c>
      <c r="G7396" s="693" t="s">
        <v>56</v>
      </c>
      <c r="H7396" s="3"/>
    </row>
    <row r="7397" spans="1:8">
      <c r="A7397" s="692">
        <v>45726</v>
      </c>
      <c r="B7397" s="693"/>
      <c r="C7397" s="693" t="s">
        <v>205</v>
      </c>
      <c r="D7397" s="3" t="s">
        <v>38</v>
      </c>
      <c r="E7397" s="1497">
        <v>2000</v>
      </c>
      <c r="F7397" s="1497"/>
      <c r="G7397" s="693" t="s">
        <v>56</v>
      </c>
      <c r="H7397" s="3"/>
    </row>
    <row r="7398" spans="1:8">
      <c r="A7398" s="695">
        <v>45727</v>
      </c>
      <c r="B7398" s="693"/>
      <c r="C7398" s="693" t="s">
        <v>94</v>
      </c>
      <c r="D7398" s="3" t="s">
        <v>17</v>
      </c>
      <c r="E7398" s="1497">
        <v>74827.62</v>
      </c>
      <c r="F7398" s="1497"/>
      <c r="G7398" s="693" t="s">
        <v>27</v>
      </c>
      <c r="H7398" s="3"/>
    </row>
    <row r="7399" spans="1:8">
      <c r="A7399" s="695">
        <v>45727</v>
      </c>
      <c r="B7399" s="693"/>
      <c r="C7399" s="693" t="s">
        <v>90</v>
      </c>
      <c r="D7399" s="3" t="s">
        <v>3582</v>
      </c>
      <c r="E7399" s="1497" t="s">
        <v>3583</v>
      </c>
      <c r="F7399" s="1497"/>
      <c r="G7399" s="694" t="s">
        <v>27</v>
      </c>
      <c r="H7399" s="3"/>
    </row>
    <row r="7400" spans="1:8">
      <c r="A7400" s="695">
        <v>45727</v>
      </c>
      <c r="B7400" s="693"/>
      <c r="C7400" s="693" t="s">
        <v>94</v>
      </c>
      <c r="D7400" s="3" t="s">
        <v>3584</v>
      </c>
      <c r="E7400" s="1497">
        <v>62542.36</v>
      </c>
      <c r="F7400" s="1497"/>
      <c r="G7400" s="694" t="s">
        <v>27</v>
      </c>
      <c r="H7400" s="3"/>
    </row>
    <row r="7401" spans="1:8">
      <c r="A7401" s="695">
        <v>45727</v>
      </c>
      <c r="B7401" s="693"/>
      <c r="C7401" s="693" t="s">
        <v>94</v>
      </c>
      <c r="D7401" s="3" t="s">
        <v>3585</v>
      </c>
      <c r="E7401" s="1497">
        <v>147998.97</v>
      </c>
      <c r="F7401" s="1497"/>
      <c r="G7401" s="694" t="s">
        <v>27</v>
      </c>
      <c r="H7401" s="3"/>
    </row>
    <row r="7402" spans="1:8">
      <c r="A7402" s="695">
        <v>45727</v>
      </c>
      <c r="B7402" s="693"/>
      <c r="C7402" s="693" t="s">
        <v>205</v>
      </c>
      <c r="D7402" s="3" t="s">
        <v>63</v>
      </c>
      <c r="E7402" s="1497">
        <v>21107.02</v>
      </c>
      <c r="F7402" s="1497"/>
      <c r="G7402" s="693" t="s">
        <v>56</v>
      </c>
      <c r="H7402" s="3"/>
    </row>
    <row r="7403" spans="1:8">
      <c r="A7403" s="695">
        <v>45727</v>
      </c>
      <c r="B7403" s="694"/>
      <c r="C7403" s="694" t="s">
        <v>79</v>
      </c>
      <c r="D7403" s="3" t="s">
        <v>79</v>
      </c>
      <c r="E7403" s="1497">
        <v>12000</v>
      </c>
      <c r="F7403" s="1497"/>
      <c r="G7403" s="694" t="s">
        <v>56</v>
      </c>
      <c r="H7403" s="3"/>
    </row>
    <row r="7404" spans="1:8">
      <c r="A7404" s="696">
        <v>45728</v>
      </c>
      <c r="B7404" s="694"/>
      <c r="C7404" s="697" t="s">
        <v>55</v>
      </c>
      <c r="D7404" s="3" t="s">
        <v>2772</v>
      </c>
      <c r="E7404" s="1497">
        <v>11200</v>
      </c>
      <c r="F7404" s="1497"/>
      <c r="G7404" s="694" t="s">
        <v>56</v>
      </c>
      <c r="H7404" s="3"/>
    </row>
    <row r="7405" spans="1:8">
      <c r="A7405" s="698">
        <v>45729</v>
      </c>
      <c r="B7405" s="694"/>
      <c r="C7405" s="697" t="s">
        <v>55</v>
      </c>
      <c r="D7405" s="3" t="s">
        <v>1430</v>
      </c>
      <c r="E7405" s="1497">
        <v>4800</v>
      </c>
      <c r="F7405" s="1497"/>
      <c r="G7405" s="694" t="s">
        <v>56</v>
      </c>
      <c r="H7405" s="3"/>
    </row>
    <row r="7406" spans="1:8">
      <c r="A7406" s="698">
        <v>45729</v>
      </c>
      <c r="B7406" s="694"/>
      <c r="C7406" s="694" t="s">
        <v>79</v>
      </c>
      <c r="D7406" s="3" t="s">
        <v>640</v>
      </c>
      <c r="E7406" s="1497">
        <v>311770</v>
      </c>
      <c r="F7406" s="1497"/>
      <c r="G7406" s="694" t="s">
        <v>27</v>
      </c>
      <c r="H7406" s="3"/>
    </row>
    <row r="7407" spans="1:8">
      <c r="A7407" s="698">
        <v>45729</v>
      </c>
      <c r="B7407" s="697"/>
      <c r="C7407" s="697" t="s">
        <v>55</v>
      </c>
      <c r="D7407" s="3" t="s">
        <v>514</v>
      </c>
      <c r="E7407" s="1497">
        <v>8000</v>
      </c>
      <c r="F7407" s="1497"/>
      <c r="G7407" s="697" t="s">
        <v>27</v>
      </c>
      <c r="H7407" s="3"/>
    </row>
    <row r="7408" spans="1:8">
      <c r="A7408" s="698">
        <v>45729</v>
      </c>
      <c r="B7408" s="697"/>
      <c r="C7408" s="697" t="s">
        <v>205</v>
      </c>
      <c r="D7408" s="3" t="s">
        <v>63</v>
      </c>
      <c r="E7408" s="1497">
        <v>372000</v>
      </c>
      <c r="F7408" s="1497"/>
      <c r="G7408" s="697" t="s">
        <v>56</v>
      </c>
      <c r="H7408" s="3"/>
    </row>
    <row r="7409" spans="1:8">
      <c r="A7409" s="698">
        <v>45729</v>
      </c>
      <c r="B7409" s="697"/>
      <c r="C7409" s="697" t="s">
        <v>150</v>
      </c>
      <c r="D7409" s="15" t="s">
        <v>252</v>
      </c>
      <c r="E7409" s="1497">
        <v>469899</v>
      </c>
      <c r="F7409" s="1497"/>
      <c r="G7409" s="697" t="s">
        <v>27</v>
      </c>
      <c r="H7409" s="3"/>
    </row>
    <row r="7410" spans="1:8">
      <c r="A7410" s="698">
        <v>45729</v>
      </c>
      <c r="B7410" s="697"/>
      <c r="C7410" s="697" t="s">
        <v>3586</v>
      </c>
      <c r="D7410" s="3" t="s">
        <v>1951</v>
      </c>
      <c r="E7410" s="1497">
        <v>11000</v>
      </c>
      <c r="F7410" s="1497"/>
      <c r="G7410" s="697" t="s">
        <v>56</v>
      </c>
      <c r="H7410" s="3"/>
    </row>
    <row r="7411" spans="1:8">
      <c r="A7411" s="698">
        <v>45729</v>
      </c>
      <c r="B7411" s="697"/>
      <c r="C7411" s="697" t="s">
        <v>55</v>
      </c>
      <c r="D7411" s="3" t="s">
        <v>177</v>
      </c>
      <c r="E7411" s="1497">
        <v>3000</v>
      </c>
      <c r="F7411" s="1497"/>
      <c r="G7411" s="697" t="s">
        <v>56</v>
      </c>
      <c r="H7411" s="3"/>
    </row>
    <row r="7412" spans="1:8">
      <c r="A7412" s="698">
        <v>45729</v>
      </c>
      <c r="B7412" s="697"/>
      <c r="C7412" s="697" t="s">
        <v>205</v>
      </c>
      <c r="D7412" s="3" t="s">
        <v>38</v>
      </c>
      <c r="E7412" s="1497">
        <v>2500</v>
      </c>
      <c r="F7412" s="1497"/>
      <c r="G7412" s="697" t="s">
        <v>56</v>
      </c>
      <c r="H7412" s="3"/>
    </row>
    <row r="7413" spans="1:8">
      <c r="A7413" s="698">
        <v>45729</v>
      </c>
      <c r="B7413" s="697"/>
      <c r="C7413" s="697" t="s">
        <v>205</v>
      </c>
      <c r="D7413" s="3" t="s">
        <v>63</v>
      </c>
      <c r="E7413" s="1497">
        <v>5336.45</v>
      </c>
      <c r="F7413" s="1497"/>
      <c r="G7413" s="697" t="s">
        <v>56</v>
      </c>
      <c r="H7413" s="3"/>
    </row>
    <row r="7414" spans="1:8">
      <c r="A7414" s="699">
        <v>14</v>
      </c>
      <c r="B7414" s="700"/>
      <c r="C7414" s="700" t="s">
        <v>537</v>
      </c>
      <c r="D7414" s="3" t="s">
        <v>193</v>
      </c>
      <c r="E7414" s="1497">
        <v>120000</v>
      </c>
      <c r="F7414" s="1497"/>
      <c r="G7414" s="700" t="s">
        <v>56</v>
      </c>
      <c r="H7414" s="3"/>
    </row>
    <row r="7415" spans="1:8">
      <c r="A7415" s="699">
        <v>45730</v>
      </c>
      <c r="B7415" s="697"/>
      <c r="C7415" s="697" t="s">
        <v>537</v>
      </c>
      <c r="D7415" s="3" t="s">
        <v>219</v>
      </c>
      <c r="E7415" s="1497">
        <v>225000</v>
      </c>
      <c r="F7415" s="1497"/>
      <c r="G7415" s="700" t="s">
        <v>56</v>
      </c>
      <c r="H7415" s="3"/>
    </row>
    <row r="7416" spans="1:8">
      <c r="A7416" s="699">
        <v>45730</v>
      </c>
      <c r="B7416" s="697"/>
      <c r="C7416" s="700" t="s">
        <v>537</v>
      </c>
      <c r="D7416" s="3" t="s">
        <v>208</v>
      </c>
      <c r="E7416" s="1497">
        <v>212500</v>
      </c>
      <c r="F7416" s="1497"/>
      <c r="G7416" s="700" t="s">
        <v>56</v>
      </c>
      <c r="H7416" s="3"/>
    </row>
    <row r="7417" spans="1:8">
      <c r="A7417" s="699">
        <v>45730</v>
      </c>
      <c r="B7417" s="697"/>
      <c r="C7417" s="700" t="s">
        <v>537</v>
      </c>
      <c r="D7417" s="3" t="s">
        <v>144</v>
      </c>
      <c r="E7417" s="1497">
        <v>435000</v>
      </c>
      <c r="F7417" s="1497"/>
      <c r="G7417" s="700" t="s">
        <v>56</v>
      </c>
      <c r="H7417" s="3"/>
    </row>
    <row r="7418" spans="1:8">
      <c r="A7418" s="699">
        <v>45730</v>
      </c>
      <c r="B7418" s="697"/>
      <c r="C7418" s="697" t="s">
        <v>55</v>
      </c>
      <c r="D7418" s="3" t="s">
        <v>60</v>
      </c>
      <c r="E7418" s="1497">
        <v>11500</v>
      </c>
      <c r="F7418" s="1497"/>
      <c r="G7418" s="697" t="s">
        <v>56</v>
      </c>
      <c r="H7418" s="3"/>
    </row>
    <row r="7419" spans="1:8">
      <c r="A7419" s="244"/>
      <c r="B7419" s="244"/>
      <c r="C7419" s="244"/>
      <c r="D7419" s="115"/>
      <c r="E7419" s="1492"/>
      <c r="F7419" s="1492"/>
      <c r="G7419" s="244"/>
      <c r="H7419" s="115"/>
    </row>
    <row r="7420" spans="1:8">
      <c r="A7420" s="244"/>
      <c r="B7420" s="244"/>
      <c r="C7420" s="244"/>
      <c r="D7420" s="115"/>
      <c r="E7420" s="1492"/>
      <c r="F7420" s="1492"/>
      <c r="G7420" s="244"/>
      <c r="H7420" s="115"/>
    </row>
    <row r="7421" spans="1:8">
      <c r="A7421" s="244"/>
      <c r="B7421" s="244"/>
      <c r="C7421" s="244"/>
      <c r="D7421" s="115"/>
      <c r="E7421" s="1492"/>
      <c r="F7421" s="1492"/>
      <c r="G7421" s="244"/>
      <c r="H7421" s="115"/>
    </row>
    <row r="7422" spans="1:8">
      <c r="A7422" s="244"/>
      <c r="B7422" s="244"/>
      <c r="C7422" s="244"/>
      <c r="D7422" s="115"/>
      <c r="E7422" s="1492"/>
      <c r="F7422" s="1492"/>
      <c r="G7422" s="244"/>
      <c r="H7422" s="115"/>
    </row>
    <row r="7423" spans="1:8">
      <c r="A7423" s="244"/>
      <c r="B7423" s="244"/>
      <c r="C7423" s="244"/>
      <c r="D7423" s="115"/>
      <c r="E7423" s="1492"/>
      <c r="F7423" s="1492"/>
      <c r="G7423" s="244"/>
      <c r="H7423" s="115"/>
    </row>
    <row r="7424" spans="1:8">
      <c r="A7424" s="244"/>
      <c r="B7424" s="244"/>
      <c r="C7424" s="244"/>
      <c r="D7424" s="115"/>
      <c r="E7424" s="1492"/>
      <c r="F7424" s="1492"/>
      <c r="G7424" s="244"/>
      <c r="H7424" s="115"/>
    </row>
    <row r="7429" spans="1:8">
      <c r="A7429" s="699">
        <v>45733</v>
      </c>
      <c r="B7429" s="700"/>
      <c r="C7429" s="700" t="s">
        <v>156</v>
      </c>
      <c r="D7429" s="3" t="s">
        <v>156</v>
      </c>
      <c r="E7429" s="1497">
        <v>28262.3</v>
      </c>
      <c r="F7429" s="1497"/>
      <c r="G7429" s="700" t="s">
        <v>27</v>
      </c>
      <c r="H7429" s="3"/>
    </row>
    <row r="7430" spans="1:8">
      <c r="A7430" s="699">
        <v>45733</v>
      </c>
      <c r="B7430" s="700"/>
      <c r="C7430" s="700"/>
      <c r="D7430" s="3" t="s">
        <v>3587</v>
      </c>
      <c r="E7430" s="1497">
        <v>6000</v>
      </c>
      <c r="F7430" s="1497"/>
      <c r="G7430" s="700" t="s">
        <v>56</v>
      </c>
      <c r="H7430" s="3"/>
    </row>
    <row r="7431" spans="1:8">
      <c r="A7431" s="699">
        <v>45733</v>
      </c>
      <c r="B7431" s="700"/>
      <c r="C7431" s="700" t="s">
        <v>79</v>
      </c>
      <c r="D7431" s="3" t="s">
        <v>3588</v>
      </c>
      <c r="E7431" s="1497">
        <v>7000</v>
      </c>
      <c r="F7431" s="1497"/>
      <c r="G7431" s="700" t="s">
        <v>56</v>
      </c>
      <c r="H7431" s="3"/>
    </row>
    <row r="7432" spans="1:8">
      <c r="A7432" s="699">
        <v>45733</v>
      </c>
      <c r="B7432" s="700"/>
      <c r="C7432" s="700" t="s">
        <v>77</v>
      </c>
      <c r="D7432" s="3" t="s">
        <v>3589</v>
      </c>
      <c r="E7432" s="1497"/>
      <c r="F7432" s="1497">
        <v>10358800</v>
      </c>
      <c r="G7432" s="700" t="s">
        <v>56</v>
      </c>
      <c r="H7432" s="3"/>
    </row>
    <row r="7433" spans="1:8">
      <c r="A7433" s="702">
        <v>45733</v>
      </c>
      <c r="B7433" s="701"/>
      <c r="C7433" s="701" t="s">
        <v>92</v>
      </c>
      <c r="D7433" s="3" t="s">
        <v>3591</v>
      </c>
      <c r="E7433" s="1497"/>
      <c r="F7433" s="1497">
        <v>254000</v>
      </c>
      <c r="G7433" s="729" t="s">
        <v>56</v>
      </c>
      <c r="H7433" s="3"/>
    </row>
    <row r="7434" spans="1:8">
      <c r="A7434" s="702">
        <v>45734</v>
      </c>
      <c r="B7434" s="700"/>
      <c r="C7434" s="700" t="s">
        <v>92</v>
      </c>
      <c r="D7434" s="3" t="s">
        <v>3590</v>
      </c>
      <c r="E7434" s="1497"/>
      <c r="F7434" s="1497">
        <v>7126800</v>
      </c>
      <c r="G7434" s="700" t="s">
        <v>27</v>
      </c>
      <c r="H7434" s="3"/>
    </row>
    <row r="7435" spans="1:8">
      <c r="A7435" s="702">
        <v>45734</v>
      </c>
      <c r="B7435" s="700"/>
      <c r="C7435" s="700" t="s">
        <v>92</v>
      </c>
      <c r="D7435" s="3" t="s">
        <v>3590</v>
      </c>
      <c r="E7435" s="1497">
        <v>92625.58</v>
      </c>
      <c r="F7435" s="1497"/>
      <c r="G7435" s="700" t="s">
        <v>27</v>
      </c>
      <c r="H7435" s="3"/>
    </row>
    <row r="7436" spans="1:8">
      <c r="A7436" s="702">
        <v>45734</v>
      </c>
      <c r="B7436" s="701"/>
      <c r="C7436" s="701" t="s">
        <v>205</v>
      </c>
      <c r="D7436" s="3" t="s">
        <v>238</v>
      </c>
      <c r="E7436" s="1497" t="s">
        <v>3592</v>
      </c>
      <c r="F7436" s="1497"/>
      <c r="G7436" s="701" t="s">
        <v>27</v>
      </c>
      <c r="H7436" s="3" t="s">
        <v>3243</v>
      </c>
    </row>
    <row r="7437" spans="1:8">
      <c r="A7437" s="703">
        <v>45734</v>
      </c>
      <c r="B7437" s="704"/>
      <c r="C7437" s="704" t="s">
        <v>205</v>
      </c>
      <c r="D7437" s="3" t="s">
        <v>113</v>
      </c>
      <c r="E7437" s="1497">
        <v>179200</v>
      </c>
      <c r="F7437" s="1497"/>
      <c r="G7437" s="704" t="s">
        <v>27</v>
      </c>
      <c r="H7437" s="3"/>
    </row>
    <row r="7438" spans="1:8">
      <c r="A7438" s="703">
        <v>45734</v>
      </c>
      <c r="B7438" s="704"/>
      <c r="C7438" s="704" t="s">
        <v>205</v>
      </c>
      <c r="D7438" s="3" t="s">
        <v>790</v>
      </c>
      <c r="E7438" s="1497">
        <v>19850</v>
      </c>
      <c r="F7438" s="1497"/>
      <c r="G7438" s="704" t="s">
        <v>27</v>
      </c>
      <c r="H7438" s="3"/>
    </row>
    <row r="7439" spans="1:8">
      <c r="A7439" s="702">
        <v>45734</v>
      </c>
      <c r="B7439" s="701"/>
      <c r="C7439" s="701" t="s">
        <v>79</v>
      </c>
      <c r="D7439" s="3" t="s">
        <v>79</v>
      </c>
      <c r="E7439" s="1497">
        <v>60000</v>
      </c>
      <c r="F7439" s="1497"/>
      <c r="G7439" s="701" t="s">
        <v>56</v>
      </c>
      <c r="H7439" s="3"/>
    </row>
    <row r="7440" spans="1:8">
      <c r="A7440" s="703">
        <v>45734</v>
      </c>
      <c r="B7440" s="701"/>
      <c r="C7440" s="701" t="s">
        <v>3594</v>
      </c>
      <c r="D7440" s="3" t="s">
        <v>86</v>
      </c>
      <c r="E7440" s="1497">
        <v>30000</v>
      </c>
      <c r="F7440" s="1497"/>
      <c r="G7440" s="701" t="s">
        <v>27</v>
      </c>
      <c r="H7440" s="3"/>
    </row>
    <row r="7441" spans="1:8">
      <c r="A7441" s="703">
        <v>45735</v>
      </c>
      <c r="B7441" s="701"/>
      <c r="C7441" s="701" t="s">
        <v>176</v>
      </c>
      <c r="D7441" s="3" t="s">
        <v>3593</v>
      </c>
      <c r="E7441" s="1497">
        <v>518000</v>
      </c>
      <c r="F7441" s="1497"/>
      <c r="G7441" s="701" t="s">
        <v>56</v>
      </c>
      <c r="H7441" s="3"/>
    </row>
    <row r="7442" spans="1:8">
      <c r="A7442" s="703">
        <v>45735</v>
      </c>
      <c r="B7442" s="701"/>
      <c r="C7442" s="701" t="s">
        <v>205</v>
      </c>
      <c r="D7442" s="3" t="s">
        <v>71</v>
      </c>
      <c r="E7442" s="1497">
        <v>170000</v>
      </c>
      <c r="F7442" s="1497"/>
      <c r="G7442" s="701" t="s">
        <v>27</v>
      </c>
      <c r="H7442" s="3"/>
    </row>
    <row r="7443" spans="1:8">
      <c r="A7443" s="705">
        <v>45735</v>
      </c>
      <c r="B7443" s="701"/>
      <c r="C7443" s="701" t="s">
        <v>79</v>
      </c>
      <c r="D7443" s="3" t="s">
        <v>79</v>
      </c>
      <c r="E7443" s="1497">
        <v>100000</v>
      </c>
      <c r="F7443" s="1497"/>
      <c r="G7443" s="701" t="s">
        <v>56</v>
      </c>
      <c r="H7443" s="3"/>
    </row>
    <row r="7444" spans="1:8">
      <c r="A7444" s="707">
        <v>45735</v>
      </c>
      <c r="B7444" s="708"/>
      <c r="C7444" s="708"/>
      <c r="D7444" s="3"/>
      <c r="E7444" s="1497">
        <v>11000</v>
      </c>
      <c r="F7444" s="1497"/>
      <c r="G7444" s="708" t="s">
        <v>56</v>
      </c>
      <c r="H7444" s="3"/>
    </row>
    <row r="7445" spans="1:8">
      <c r="A7445" s="706">
        <v>45736</v>
      </c>
      <c r="B7445" s="704"/>
      <c r="C7445" s="704" t="s">
        <v>76</v>
      </c>
      <c r="D7445" s="3" t="s">
        <v>3595</v>
      </c>
      <c r="E7445" s="1497"/>
      <c r="F7445" s="1497">
        <v>950000</v>
      </c>
      <c r="G7445" s="704" t="s">
        <v>56</v>
      </c>
      <c r="H7445" s="3" t="s">
        <v>3596</v>
      </c>
    </row>
    <row r="7446" spans="1:8">
      <c r="A7446" s="707">
        <v>45736</v>
      </c>
      <c r="B7446" s="704"/>
      <c r="C7446" s="704" t="s">
        <v>86</v>
      </c>
      <c r="D7446" s="3" t="s">
        <v>3508</v>
      </c>
      <c r="E7446" s="1497">
        <v>40000</v>
      </c>
      <c r="F7446" s="1497"/>
      <c r="G7446" s="704" t="s">
        <v>56</v>
      </c>
      <c r="H7446" s="3"/>
    </row>
    <row r="7447" spans="1:8">
      <c r="A7447" s="707">
        <v>45736</v>
      </c>
      <c r="B7447" s="708"/>
      <c r="C7447" s="708" t="s">
        <v>92</v>
      </c>
      <c r="D7447" s="3" t="s">
        <v>1708</v>
      </c>
      <c r="E7447" s="1497">
        <v>7200</v>
      </c>
      <c r="F7447" s="1497"/>
      <c r="G7447" s="708" t="s">
        <v>56</v>
      </c>
      <c r="H7447" s="3"/>
    </row>
    <row r="7448" spans="1:8">
      <c r="A7448" s="707">
        <v>45737</v>
      </c>
      <c r="B7448" s="704"/>
      <c r="C7448" s="729" t="s">
        <v>92</v>
      </c>
      <c r="D7448" s="3" t="s">
        <v>831</v>
      </c>
      <c r="E7448" s="1497">
        <v>30000</v>
      </c>
      <c r="F7448" s="1497"/>
      <c r="G7448" s="704" t="s">
        <v>56</v>
      </c>
      <c r="H7448" s="3"/>
    </row>
    <row r="7449" spans="1:8">
      <c r="A7449" s="707">
        <v>45737</v>
      </c>
      <c r="B7449" s="704"/>
      <c r="C7449" s="704" t="s">
        <v>77</v>
      </c>
      <c r="D7449" s="3" t="s">
        <v>3597</v>
      </c>
      <c r="E7449" s="1497"/>
      <c r="F7449" s="1497">
        <v>214600</v>
      </c>
      <c r="G7449" s="708" t="s">
        <v>56</v>
      </c>
      <c r="H7449" s="3"/>
    </row>
    <row r="7450" spans="1:8">
      <c r="A7450" s="707">
        <v>45737</v>
      </c>
      <c r="B7450" s="704"/>
      <c r="C7450" s="704" t="s">
        <v>205</v>
      </c>
      <c r="D7450" s="3" t="s">
        <v>49</v>
      </c>
      <c r="E7450" s="1497">
        <v>1000000</v>
      </c>
      <c r="F7450" s="1497"/>
      <c r="G7450" s="704" t="s">
        <v>72</v>
      </c>
      <c r="H7450" s="3" t="s">
        <v>3598</v>
      </c>
    </row>
    <row r="7451" spans="1:8">
      <c r="A7451" s="707">
        <v>45737</v>
      </c>
      <c r="B7451" s="708"/>
      <c r="C7451" s="708" t="s">
        <v>150</v>
      </c>
      <c r="D7451" s="3" t="s">
        <v>319</v>
      </c>
      <c r="E7451" s="1497">
        <v>1100000</v>
      </c>
      <c r="F7451" s="1497"/>
      <c r="G7451" s="708" t="s">
        <v>56</v>
      </c>
      <c r="H7451" s="3" t="s">
        <v>3599</v>
      </c>
    </row>
    <row r="7452" spans="1:8">
      <c r="A7452" s="707">
        <v>45737</v>
      </c>
      <c r="B7452" s="708"/>
      <c r="C7452" s="708" t="s">
        <v>205</v>
      </c>
      <c r="D7452" s="15" t="s">
        <v>48</v>
      </c>
      <c r="E7452" s="1497">
        <v>2000000</v>
      </c>
      <c r="F7452" s="1497"/>
      <c r="G7452" s="708" t="s">
        <v>56</v>
      </c>
      <c r="H7452" s="3" t="s">
        <v>3599</v>
      </c>
    </row>
    <row r="7453" spans="1:8">
      <c r="A7453" s="707">
        <v>45737</v>
      </c>
      <c r="B7453" s="708"/>
      <c r="C7453" s="708" t="s">
        <v>205</v>
      </c>
      <c r="D7453" s="15" t="s">
        <v>48</v>
      </c>
      <c r="E7453" s="1497">
        <v>1430000</v>
      </c>
      <c r="F7453" s="1497"/>
      <c r="G7453" s="708" t="s">
        <v>72</v>
      </c>
      <c r="H7453" s="3"/>
    </row>
    <row r="7454" spans="1:8">
      <c r="A7454" s="707">
        <v>45737</v>
      </c>
      <c r="B7454" s="708"/>
      <c r="C7454" s="708" t="s">
        <v>205</v>
      </c>
      <c r="D7454" s="15" t="s">
        <v>48</v>
      </c>
      <c r="E7454" s="1497">
        <v>1725000</v>
      </c>
      <c r="F7454" s="1497"/>
      <c r="G7454" s="708" t="s">
        <v>72</v>
      </c>
      <c r="H7454" s="3"/>
    </row>
    <row r="7455" spans="1:8">
      <c r="A7455" s="707">
        <v>45737</v>
      </c>
      <c r="B7455" s="708"/>
      <c r="C7455" s="708" t="s">
        <v>79</v>
      </c>
      <c r="D7455" s="15" t="s">
        <v>3414</v>
      </c>
      <c r="E7455" s="1497">
        <v>143000</v>
      </c>
      <c r="F7455" s="1497"/>
      <c r="G7455" s="708" t="s">
        <v>27</v>
      </c>
      <c r="H7455" s="3"/>
    </row>
    <row r="7456" spans="1:8">
      <c r="A7456" s="707">
        <v>45737</v>
      </c>
      <c r="B7456" s="708"/>
      <c r="C7456" s="708" t="s">
        <v>79</v>
      </c>
      <c r="D7456" s="3" t="s">
        <v>166</v>
      </c>
      <c r="E7456" s="1497">
        <v>436000</v>
      </c>
      <c r="F7456" s="1497"/>
      <c r="G7456" s="708" t="s">
        <v>27</v>
      </c>
      <c r="H7456" s="3"/>
    </row>
    <row r="7457" spans="1:8">
      <c r="A7457" s="707">
        <v>45737</v>
      </c>
      <c r="B7457" s="708"/>
      <c r="C7457" s="708" t="s">
        <v>77</v>
      </c>
      <c r="D7457" s="15" t="s">
        <v>3600</v>
      </c>
      <c r="E7457" s="1497"/>
      <c r="F7457" s="1497">
        <v>198000</v>
      </c>
      <c r="G7457" s="708" t="s">
        <v>56</v>
      </c>
      <c r="H7457" s="3"/>
    </row>
    <row r="7458" spans="1:8">
      <c r="A7458" s="707">
        <v>45737</v>
      </c>
      <c r="B7458" s="708"/>
      <c r="C7458" s="708" t="s">
        <v>77</v>
      </c>
      <c r="D7458" s="3" t="s">
        <v>3601</v>
      </c>
      <c r="E7458" s="1497"/>
      <c r="F7458" s="1497">
        <v>13000</v>
      </c>
      <c r="G7458" s="708" t="s">
        <v>56</v>
      </c>
      <c r="H7458" s="3"/>
    </row>
    <row r="7459" spans="1:8">
      <c r="A7459" s="707">
        <v>45737</v>
      </c>
      <c r="B7459" s="708"/>
      <c r="C7459" s="708" t="s">
        <v>831</v>
      </c>
      <c r="D7459" s="3" t="s">
        <v>3602</v>
      </c>
      <c r="E7459" s="1497">
        <v>35000</v>
      </c>
      <c r="F7459" s="1497"/>
      <c r="G7459" s="708" t="s">
        <v>56</v>
      </c>
      <c r="H7459" s="3"/>
    </row>
    <row r="7460" spans="1:8">
      <c r="A7460" s="707">
        <v>45737</v>
      </c>
      <c r="B7460" s="708"/>
      <c r="C7460" s="708" t="s">
        <v>79</v>
      </c>
      <c r="D7460" s="3" t="s">
        <v>79</v>
      </c>
      <c r="E7460" s="1497">
        <v>7000</v>
      </c>
      <c r="F7460" s="1497"/>
      <c r="G7460" s="708" t="s">
        <v>56</v>
      </c>
      <c r="H7460" s="3"/>
    </row>
    <row r="7461" spans="1:8">
      <c r="A7461" s="707">
        <v>45737</v>
      </c>
      <c r="B7461" s="708"/>
      <c r="C7461" s="708" t="s">
        <v>537</v>
      </c>
      <c r="D7461" s="15" t="s">
        <v>193</v>
      </c>
      <c r="E7461" s="1497">
        <v>120000</v>
      </c>
      <c r="F7461" s="1497"/>
      <c r="G7461" s="708" t="s">
        <v>56</v>
      </c>
      <c r="H7461" s="3"/>
    </row>
    <row r="7462" spans="1:8">
      <c r="A7462" s="707">
        <v>45737</v>
      </c>
      <c r="B7462" s="708"/>
      <c r="C7462" s="708" t="s">
        <v>537</v>
      </c>
      <c r="D7462" s="15" t="s">
        <v>208</v>
      </c>
      <c r="E7462" s="1497">
        <v>212500</v>
      </c>
      <c r="F7462" s="1497"/>
      <c r="G7462" s="708" t="s">
        <v>56</v>
      </c>
      <c r="H7462" s="3"/>
    </row>
    <row r="7463" spans="1:8">
      <c r="A7463" s="707">
        <v>45737</v>
      </c>
      <c r="B7463" s="708"/>
      <c r="C7463" s="708" t="s">
        <v>537</v>
      </c>
      <c r="D7463" s="3" t="s">
        <v>219</v>
      </c>
      <c r="E7463" s="1497">
        <v>225000</v>
      </c>
      <c r="F7463" s="1497"/>
      <c r="G7463" s="708" t="s">
        <v>56</v>
      </c>
      <c r="H7463" s="3"/>
    </row>
    <row r="7464" spans="1:8">
      <c r="A7464" s="707">
        <v>45737</v>
      </c>
      <c r="B7464" s="708"/>
      <c r="C7464" s="708" t="s">
        <v>537</v>
      </c>
      <c r="D7464" s="3" t="s">
        <v>144</v>
      </c>
      <c r="E7464" s="1497">
        <v>435000</v>
      </c>
      <c r="F7464" s="1497"/>
      <c r="G7464" s="708" t="s">
        <v>56</v>
      </c>
      <c r="H7464" s="3"/>
    </row>
    <row r="7465" spans="1:8" ht="15.75" thickBot="1">
      <c r="A7465" s="707">
        <v>45737</v>
      </c>
      <c r="B7465" s="708"/>
      <c r="C7465" s="708" t="s">
        <v>160</v>
      </c>
      <c r="D7465" s="3" t="s">
        <v>3603</v>
      </c>
      <c r="E7465" s="1497"/>
      <c r="F7465" s="1497">
        <v>88000</v>
      </c>
      <c r="G7465" s="708" t="s">
        <v>27</v>
      </c>
      <c r="H7465" s="577" t="s">
        <v>3606</v>
      </c>
    </row>
    <row r="7466" spans="1:8" ht="15.75" thickBot="1">
      <c r="H7466" s="201">
        <v>45709</v>
      </c>
    </row>
    <row r="7467" spans="1:8">
      <c r="H7467" s="199" t="s">
        <v>3124</v>
      </c>
    </row>
    <row r="7468" spans="1:8">
      <c r="H7468" s="137" t="s">
        <v>905</v>
      </c>
    </row>
    <row r="7469" spans="1:8">
      <c r="H7469" s="138" t="s">
        <v>808</v>
      </c>
    </row>
    <row r="7470" spans="1:8">
      <c r="H7470" s="138" t="s">
        <v>3605</v>
      </c>
    </row>
    <row r="7471" spans="1:8">
      <c r="H7471" s="138" t="s">
        <v>3503</v>
      </c>
    </row>
    <row r="7472" spans="1:8">
      <c r="H7472" s="138" t="s">
        <v>3604</v>
      </c>
    </row>
    <row r="7473" spans="1:8">
      <c r="H7473" s="218" t="s">
        <v>3522</v>
      </c>
    </row>
    <row r="7474" spans="1:8" ht="15.75" thickBot="1">
      <c r="H7474" s="139" t="s">
        <v>3539</v>
      </c>
    </row>
    <row r="7475" spans="1:8" ht="15.75" thickBot="1">
      <c r="H7475" s="538" t="s">
        <v>3524</v>
      </c>
    </row>
    <row r="7476" spans="1:8">
      <c r="A7476" s="710">
        <v>45741</v>
      </c>
      <c r="B7476" s="709"/>
      <c r="C7476" s="709" t="s">
        <v>205</v>
      </c>
      <c r="D7476" s="3" t="s">
        <v>71</v>
      </c>
      <c r="E7476" s="1497">
        <v>490000</v>
      </c>
      <c r="F7476" s="1497"/>
      <c r="G7476" s="709" t="s">
        <v>27</v>
      </c>
      <c r="H7476" s="3"/>
    </row>
    <row r="7477" spans="1:8">
      <c r="A7477" s="710">
        <v>45741</v>
      </c>
      <c r="B7477" s="709"/>
      <c r="C7477" s="709" t="s">
        <v>79</v>
      </c>
      <c r="D7477" s="15" t="s">
        <v>79</v>
      </c>
      <c r="E7477" s="1497">
        <v>43069</v>
      </c>
      <c r="F7477" s="1497"/>
      <c r="G7477" s="709" t="s">
        <v>27</v>
      </c>
      <c r="H7477" s="3"/>
    </row>
    <row r="7478" spans="1:8">
      <c r="A7478" s="710">
        <v>45741</v>
      </c>
      <c r="B7478" s="709"/>
      <c r="C7478" s="709" t="s">
        <v>92</v>
      </c>
      <c r="D7478" s="15" t="s">
        <v>3607</v>
      </c>
      <c r="E7478" s="1497"/>
      <c r="F7478" s="1497">
        <v>50300</v>
      </c>
      <c r="G7478" s="709" t="s">
        <v>56</v>
      </c>
      <c r="H7478" s="3"/>
    </row>
    <row r="7479" spans="1:8">
      <c r="A7479" s="710">
        <v>45741</v>
      </c>
      <c r="B7479" s="709"/>
      <c r="C7479" s="709" t="s">
        <v>79</v>
      </c>
      <c r="D7479" s="3" t="s">
        <v>2711</v>
      </c>
      <c r="E7479" s="1497">
        <v>540500</v>
      </c>
      <c r="F7479" s="1497"/>
      <c r="G7479" s="709" t="s">
        <v>56</v>
      </c>
      <c r="H7479" s="3"/>
    </row>
    <row r="7480" spans="1:8">
      <c r="A7480" s="710">
        <v>45742</v>
      </c>
      <c r="B7480" s="709"/>
      <c r="C7480" s="709" t="s">
        <v>77</v>
      </c>
      <c r="D7480" s="3" t="s">
        <v>3591</v>
      </c>
      <c r="E7480" s="1497"/>
      <c r="F7480" s="1497">
        <v>800000</v>
      </c>
      <c r="G7480" s="709" t="s">
        <v>27</v>
      </c>
      <c r="H7480" s="3" t="s">
        <v>3609</v>
      </c>
    </row>
    <row r="7481" spans="1:8">
      <c r="A7481" s="711">
        <v>45742</v>
      </c>
      <c r="B7481" s="712"/>
      <c r="C7481" s="712" t="s">
        <v>79</v>
      </c>
      <c r="D7481" s="3" t="s">
        <v>181</v>
      </c>
      <c r="E7481" s="1497">
        <v>54211.18</v>
      </c>
      <c r="F7481" s="1497"/>
      <c r="G7481" s="712" t="s">
        <v>27</v>
      </c>
      <c r="H7481" s="712"/>
    </row>
    <row r="7482" spans="1:8">
      <c r="A7482" s="711">
        <v>45742</v>
      </c>
      <c r="B7482" s="712"/>
      <c r="C7482" s="712" t="s">
        <v>79</v>
      </c>
      <c r="D7482" s="3" t="s">
        <v>379</v>
      </c>
      <c r="E7482" s="1497">
        <v>11499.84</v>
      </c>
      <c r="F7482" s="1497"/>
      <c r="G7482" s="712" t="s">
        <v>27</v>
      </c>
      <c r="H7482" s="3"/>
    </row>
    <row r="7483" spans="1:8">
      <c r="A7483" s="711">
        <v>45742</v>
      </c>
      <c r="B7483" s="712"/>
      <c r="C7483" s="712" t="s">
        <v>79</v>
      </c>
      <c r="D7483" s="3" t="s">
        <v>379</v>
      </c>
      <c r="E7483" s="1497">
        <v>12649.84</v>
      </c>
      <c r="F7483" s="1497"/>
      <c r="G7483" s="712" t="s">
        <v>27</v>
      </c>
      <c r="H7483" s="3"/>
    </row>
    <row r="7484" spans="1:8">
      <c r="A7484" s="711">
        <v>45742</v>
      </c>
      <c r="B7484" s="712"/>
      <c r="C7484" s="712" t="s">
        <v>79</v>
      </c>
      <c r="D7484" s="3" t="s">
        <v>79</v>
      </c>
      <c r="E7484" s="1497">
        <v>10000</v>
      </c>
      <c r="F7484" s="1497"/>
      <c r="G7484" s="712" t="s">
        <v>56</v>
      </c>
      <c r="H7484" s="3"/>
    </row>
    <row r="7485" spans="1:8">
      <c r="A7485" s="714">
        <v>45743</v>
      </c>
      <c r="B7485" s="712"/>
      <c r="C7485" s="712" t="s">
        <v>77</v>
      </c>
      <c r="D7485" s="3" t="s">
        <v>1318</v>
      </c>
      <c r="E7485" s="1497"/>
      <c r="F7485" s="1497">
        <v>1396928.58</v>
      </c>
      <c r="G7485" s="712" t="s">
        <v>27</v>
      </c>
      <c r="H7485" s="3"/>
    </row>
    <row r="7486" spans="1:8">
      <c r="A7486" s="714">
        <v>45743</v>
      </c>
      <c r="B7486" s="712"/>
      <c r="C7486" s="712" t="s">
        <v>3608</v>
      </c>
      <c r="D7486" s="3" t="s">
        <v>17</v>
      </c>
      <c r="E7486" s="1497">
        <v>4342.26</v>
      </c>
      <c r="F7486" s="1497"/>
      <c r="G7486" s="712" t="s">
        <v>27</v>
      </c>
      <c r="H7486" s="3"/>
    </row>
    <row r="7487" spans="1:8">
      <c r="A7487" s="714">
        <v>45743</v>
      </c>
      <c r="B7487" s="712"/>
      <c r="C7487" s="712" t="s">
        <v>68</v>
      </c>
      <c r="D7487" s="3" t="s">
        <v>1951</v>
      </c>
      <c r="E7487" s="1497">
        <v>11000</v>
      </c>
      <c r="F7487" s="1497"/>
      <c r="G7487" s="712" t="s">
        <v>56</v>
      </c>
      <c r="H7487" s="3"/>
    </row>
    <row r="7488" spans="1:8">
      <c r="A7488" s="714">
        <v>45743</v>
      </c>
      <c r="B7488" s="712"/>
      <c r="C7488" s="712" t="s">
        <v>537</v>
      </c>
      <c r="D7488" s="3" t="s">
        <v>144</v>
      </c>
      <c r="E7488" s="1497">
        <v>435000</v>
      </c>
      <c r="F7488" s="1497"/>
      <c r="G7488" s="712" t="s">
        <v>27</v>
      </c>
      <c r="H7488" s="3"/>
    </row>
    <row r="7489" spans="1:8">
      <c r="A7489" s="714">
        <v>45743</v>
      </c>
      <c r="B7489" s="712"/>
      <c r="C7489" s="712" t="s">
        <v>79</v>
      </c>
      <c r="D7489" s="3" t="s">
        <v>79</v>
      </c>
      <c r="E7489" s="1497">
        <v>13000</v>
      </c>
      <c r="F7489" s="1497"/>
      <c r="G7489" s="712" t="s">
        <v>56</v>
      </c>
      <c r="H7489" s="3"/>
    </row>
    <row r="7490" spans="1:8">
      <c r="A7490" s="715">
        <v>45743</v>
      </c>
      <c r="B7490" s="716"/>
      <c r="C7490" s="716" t="s">
        <v>79</v>
      </c>
      <c r="D7490" s="3" t="s">
        <v>79</v>
      </c>
      <c r="E7490" s="1497">
        <v>10000</v>
      </c>
      <c r="F7490" s="1497"/>
      <c r="G7490" s="716"/>
      <c r="H7490" s="3"/>
    </row>
    <row r="7491" spans="1:8">
      <c r="A7491" s="715">
        <v>45744</v>
      </c>
      <c r="B7491" s="712"/>
      <c r="C7491" s="712" t="s">
        <v>205</v>
      </c>
      <c r="D7491" s="3" t="s">
        <v>1922</v>
      </c>
      <c r="E7491" s="1497">
        <v>84000</v>
      </c>
      <c r="F7491" s="1497"/>
      <c r="G7491" s="712" t="s">
        <v>56</v>
      </c>
      <c r="H7491" s="45" t="s">
        <v>614</v>
      </c>
    </row>
    <row r="7492" spans="1:8">
      <c r="A7492" s="715">
        <v>45744</v>
      </c>
      <c r="B7492" s="713"/>
      <c r="C7492" s="713" t="s">
        <v>205</v>
      </c>
      <c r="D7492" s="3" t="s">
        <v>48</v>
      </c>
      <c r="E7492" s="1497">
        <v>75682.039999999994</v>
      </c>
      <c r="F7492" s="1497"/>
      <c r="G7492" s="713" t="s">
        <v>27</v>
      </c>
      <c r="H7492" s="45" t="s">
        <v>199</v>
      </c>
    </row>
    <row r="7493" spans="1:8">
      <c r="A7493" s="715">
        <v>45744</v>
      </c>
      <c r="B7493" s="713"/>
      <c r="C7493" s="713" t="s">
        <v>2190</v>
      </c>
      <c r="D7493" s="3" t="s">
        <v>3610</v>
      </c>
      <c r="E7493" s="1497">
        <v>487713</v>
      </c>
      <c r="F7493" s="1497"/>
      <c r="G7493" s="713" t="s">
        <v>27</v>
      </c>
      <c r="H7493" s="3"/>
    </row>
    <row r="7494" spans="1:8">
      <c r="A7494" s="715">
        <v>45744</v>
      </c>
      <c r="B7494" s="713"/>
      <c r="C7494" s="713" t="s">
        <v>86</v>
      </c>
      <c r="D7494" s="113" t="s">
        <v>104</v>
      </c>
      <c r="E7494" s="70">
        <v>25000</v>
      </c>
      <c r="F7494" s="1497"/>
      <c r="G7494" s="713" t="s">
        <v>56</v>
      </c>
      <c r="H7494" s="3"/>
    </row>
    <row r="7495" spans="1:8">
      <c r="A7495" s="715">
        <v>45744</v>
      </c>
      <c r="B7495" s="713"/>
      <c r="C7495" s="716" t="s">
        <v>86</v>
      </c>
      <c r="D7495" s="113" t="s">
        <v>107</v>
      </c>
      <c r="E7495" s="70">
        <v>25000</v>
      </c>
      <c r="F7495" s="1497"/>
      <c r="G7495" s="716" t="s">
        <v>56</v>
      </c>
      <c r="H7495" s="3"/>
    </row>
    <row r="7496" spans="1:8">
      <c r="A7496" s="715">
        <v>45744</v>
      </c>
      <c r="B7496" s="713"/>
      <c r="C7496" s="713" t="s">
        <v>55</v>
      </c>
      <c r="D7496" s="3" t="s">
        <v>3611</v>
      </c>
      <c r="E7496" s="1497">
        <v>5000</v>
      </c>
      <c r="F7496" s="1497"/>
      <c r="G7496" s="713" t="s">
        <v>1866</v>
      </c>
      <c r="H7496" s="3"/>
    </row>
    <row r="7497" spans="1:8">
      <c r="A7497" s="715">
        <v>45744</v>
      </c>
      <c r="B7497" s="716"/>
      <c r="C7497" s="716" t="s">
        <v>537</v>
      </c>
      <c r="D7497" s="3" t="s">
        <v>219</v>
      </c>
      <c r="E7497" s="1497">
        <v>225000</v>
      </c>
      <c r="F7497" s="1497"/>
      <c r="G7497" s="716" t="s">
        <v>56</v>
      </c>
      <c r="H7497" s="3"/>
    </row>
    <row r="7498" spans="1:8">
      <c r="A7498" s="715">
        <v>45744</v>
      </c>
      <c r="B7498" s="716"/>
      <c r="C7498" s="716" t="s">
        <v>537</v>
      </c>
      <c r="D7498" s="3" t="s">
        <v>208</v>
      </c>
      <c r="E7498" s="1497">
        <v>212500</v>
      </c>
      <c r="F7498" s="1497"/>
      <c r="G7498" s="716" t="s">
        <v>56</v>
      </c>
      <c r="H7498" s="3"/>
    </row>
    <row r="7499" spans="1:8">
      <c r="A7499" s="715">
        <v>45744</v>
      </c>
      <c r="B7499" s="716"/>
      <c r="C7499" s="716" t="s">
        <v>537</v>
      </c>
      <c r="D7499" s="3" t="s">
        <v>193</v>
      </c>
      <c r="E7499" s="1497">
        <v>120000</v>
      </c>
      <c r="F7499" s="1497"/>
      <c r="G7499" s="716" t="s">
        <v>56</v>
      </c>
      <c r="H7499" s="3"/>
    </row>
    <row r="7500" spans="1:8">
      <c r="A7500" s="717">
        <v>45744</v>
      </c>
      <c r="B7500" s="716"/>
      <c r="C7500" s="716" t="s">
        <v>176</v>
      </c>
      <c r="D7500" s="3" t="s">
        <v>175</v>
      </c>
      <c r="E7500" s="1497">
        <v>200000</v>
      </c>
      <c r="F7500" s="1497"/>
      <c r="G7500" s="716" t="s">
        <v>56</v>
      </c>
      <c r="H7500" s="3"/>
    </row>
    <row r="7501" spans="1:8">
      <c r="A7501" s="717">
        <v>45747</v>
      </c>
      <c r="B7501" s="716"/>
      <c r="C7501" s="716" t="s">
        <v>79</v>
      </c>
      <c r="D7501" s="3" t="s">
        <v>79</v>
      </c>
      <c r="E7501" s="1497">
        <v>58620</v>
      </c>
      <c r="F7501" s="1497"/>
      <c r="G7501" s="716" t="s">
        <v>27</v>
      </c>
      <c r="H7501" s="3"/>
    </row>
    <row r="7502" spans="1:8" ht="15.75" thickBot="1">
      <c r="A7502" s="119">
        <v>45747</v>
      </c>
      <c r="B7502" s="57"/>
      <c r="C7502" s="57" t="s">
        <v>79</v>
      </c>
      <c r="D7502" s="85" t="s">
        <v>79</v>
      </c>
      <c r="E7502" s="57">
        <v>30000</v>
      </c>
      <c r="F7502" s="57"/>
      <c r="G7502" s="57" t="s">
        <v>27</v>
      </c>
      <c r="H7502" s="85"/>
    </row>
    <row r="7503" spans="1:8" ht="15.75" thickBot="1">
      <c r="A7503" s="1535"/>
      <c r="B7503" s="1536"/>
      <c r="C7503" s="1536"/>
      <c r="D7503" s="1536"/>
      <c r="E7503" s="1536"/>
      <c r="F7503" s="1536"/>
      <c r="G7503" s="1536"/>
      <c r="H7503" s="1537"/>
    </row>
    <row r="7504" spans="1:8">
      <c r="A7504" s="77">
        <v>45748</v>
      </c>
      <c r="B7504" s="62"/>
      <c r="C7504" s="62" t="s">
        <v>77</v>
      </c>
      <c r="D7504" s="723" t="s">
        <v>3612</v>
      </c>
      <c r="E7504" s="62"/>
      <c r="F7504" s="62">
        <v>298900</v>
      </c>
      <c r="G7504" s="62" t="s">
        <v>27</v>
      </c>
      <c r="H7504" s="125" t="s">
        <v>3613</v>
      </c>
    </row>
    <row r="7505" spans="1:8">
      <c r="A7505" s="719">
        <v>45748</v>
      </c>
      <c r="B7505" s="720"/>
      <c r="C7505" s="720" t="s">
        <v>205</v>
      </c>
      <c r="D7505" s="3" t="s">
        <v>48</v>
      </c>
      <c r="E7505" s="1497">
        <v>1000000</v>
      </c>
      <c r="F7505" s="1497"/>
      <c r="G7505" s="720" t="s">
        <v>56</v>
      </c>
      <c r="H7505" s="3"/>
    </row>
    <row r="7506" spans="1:8">
      <c r="A7506" s="719">
        <v>45748</v>
      </c>
      <c r="B7506" s="720"/>
      <c r="C7506" s="720" t="s">
        <v>150</v>
      </c>
      <c r="D7506" s="3" t="s">
        <v>150</v>
      </c>
      <c r="E7506" s="1497"/>
      <c r="F7506" s="1497">
        <v>333100</v>
      </c>
      <c r="G7506" s="720" t="s">
        <v>72</v>
      </c>
      <c r="H7506" s="3"/>
    </row>
    <row r="7507" spans="1:8">
      <c r="A7507" s="719">
        <v>45748</v>
      </c>
      <c r="B7507" s="720"/>
      <c r="C7507" s="720" t="s">
        <v>205</v>
      </c>
      <c r="D7507" s="15" t="s">
        <v>48</v>
      </c>
      <c r="E7507" s="1497">
        <v>343466.36</v>
      </c>
      <c r="F7507" s="1497"/>
      <c r="G7507" s="720" t="s">
        <v>56</v>
      </c>
      <c r="H7507" s="3"/>
    </row>
    <row r="7508" spans="1:8">
      <c r="A7508" s="722">
        <v>45748</v>
      </c>
      <c r="B7508" s="721"/>
      <c r="C7508" s="721" t="s">
        <v>3615</v>
      </c>
      <c r="D7508" s="15" t="s">
        <v>48</v>
      </c>
      <c r="E7508" s="1497">
        <v>1100000</v>
      </c>
      <c r="F7508" s="1497"/>
      <c r="G7508" s="721" t="s">
        <v>27</v>
      </c>
      <c r="H7508" s="3"/>
    </row>
    <row r="7509" spans="1:8">
      <c r="A7509" s="112">
        <v>45750</v>
      </c>
      <c r="B7509" s="70"/>
      <c r="C7509" s="70" t="s">
        <v>86</v>
      </c>
      <c r="D7509" s="113" t="s">
        <v>3496</v>
      </c>
      <c r="E7509" s="70">
        <v>400000</v>
      </c>
      <c r="F7509" s="70"/>
      <c r="G7509" s="70" t="s">
        <v>56</v>
      </c>
      <c r="H7509" s="3"/>
    </row>
    <row r="7510" spans="1:8">
      <c r="A7510" s="112">
        <v>45750</v>
      </c>
      <c r="B7510" s="70"/>
      <c r="C7510" s="70" t="s">
        <v>831</v>
      </c>
      <c r="D7510" s="113" t="s">
        <v>3621</v>
      </c>
      <c r="E7510" s="70">
        <v>35000</v>
      </c>
      <c r="F7510" s="70"/>
      <c r="G7510" s="70" t="s">
        <v>56</v>
      </c>
      <c r="H7510" s="3"/>
    </row>
    <row r="7511" spans="1:8">
      <c r="A7511" s="722">
        <v>45750</v>
      </c>
      <c r="B7511" s="721"/>
      <c r="C7511" s="721" t="s">
        <v>65</v>
      </c>
      <c r="D7511" s="3" t="s">
        <v>1217</v>
      </c>
      <c r="E7511" s="1497">
        <v>14077.32</v>
      </c>
      <c r="F7511" s="1497"/>
      <c r="G7511" s="721" t="s">
        <v>27</v>
      </c>
      <c r="H7511" s="3"/>
    </row>
    <row r="7512" spans="1:8">
      <c r="A7512" s="722">
        <v>45750</v>
      </c>
      <c r="B7512" s="721"/>
      <c r="C7512" s="721" t="s">
        <v>65</v>
      </c>
      <c r="D7512" s="3" t="s">
        <v>1217</v>
      </c>
      <c r="E7512" s="1497">
        <v>14077.32</v>
      </c>
      <c r="F7512" s="1497"/>
      <c r="G7512" s="721" t="s">
        <v>27</v>
      </c>
      <c r="H7512" s="3"/>
    </row>
    <row r="7513" spans="1:8">
      <c r="A7513" s="722">
        <v>45750</v>
      </c>
      <c r="B7513" s="721"/>
      <c r="C7513" s="721" t="s">
        <v>79</v>
      </c>
      <c r="D7513" s="3" t="s">
        <v>3614</v>
      </c>
      <c r="E7513" s="1497">
        <v>40974.32</v>
      </c>
      <c r="F7513" s="1497"/>
      <c r="G7513" s="721" t="s">
        <v>27</v>
      </c>
      <c r="H7513" s="3"/>
    </row>
    <row r="7514" spans="1:8">
      <c r="A7514" s="722">
        <v>45750</v>
      </c>
      <c r="B7514" s="721"/>
      <c r="C7514" s="721" t="s">
        <v>90</v>
      </c>
      <c r="D7514" s="3" t="s">
        <v>1951</v>
      </c>
      <c r="E7514" s="1497">
        <v>11000</v>
      </c>
      <c r="F7514" s="1497"/>
      <c r="G7514" s="721" t="s">
        <v>56</v>
      </c>
      <c r="H7514" s="3"/>
    </row>
    <row r="7515" spans="1:8">
      <c r="A7515" s="722">
        <v>45750</v>
      </c>
      <c r="B7515" s="721"/>
      <c r="C7515" s="721" t="s">
        <v>199</v>
      </c>
      <c r="D7515" s="3" t="s">
        <v>3616</v>
      </c>
      <c r="E7515" s="1497"/>
      <c r="F7515" s="1497">
        <v>300000</v>
      </c>
      <c r="G7515" s="721" t="s">
        <v>56</v>
      </c>
      <c r="H7515" s="3"/>
    </row>
    <row r="7516" spans="1:8">
      <c r="A7516" s="722">
        <v>45750</v>
      </c>
      <c r="B7516" s="721"/>
      <c r="C7516" s="721" t="s">
        <v>199</v>
      </c>
      <c r="D7516" s="3" t="s">
        <v>3616</v>
      </c>
      <c r="E7516" s="1497"/>
      <c r="F7516" s="1497">
        <v>280000</v>
      </c>
      <c r="G7516" s="721" t="s">
        <v>72</v>
      </c>
      <c r="H7516" s="3"/>
    </row>
    <row r="7517" spans="1:8">
      <c r="A7517" s="722">
        <v>45750</v>
      </c>
      <c r="B7517" s="721"/>
      <c r="C7517" s="721" t="s">
        <v>199</v>
      </c>
      <c r="D7517" s="3" t="s">
        <v>3617</v>
      </c>
      <c r="E7517" s="1497"/>
      <c r="F7517" s="1497">
        <v>639000</v>
      </c>
      <c r="G7517" s="721" t="s">
        <v>287</v>
      </c>
      <c r="H7517" s="3"/>
    </row>
    <row r="7518" spans="1:8">
      <c r="A7518" s="722">
        <v>45750</v>
      </c>
      <c r="B7518" s="721"/>
      <c r="C7518" s="721" t="s">
        <v>77</v>
      </c>
      <c r="D7518" s="3" t="s">
        <v>3619</v>
      </c>
      <c r="E7518" s="1497"/>
      <c r="F7518" s="1497">
        <v>1600000</v>
      </c>
      <c r="G7518" s="721" t="s">
        <v>72</v>
      </c>
      <c r="H7518" s="3" t="s">
        <v>3618</v>
      </c>
    </row>
    <row r="7519" spans="1:8">
      <c r="A7519" s="722">
        <v>45750</v>
      </c>
      <c r="B7519" s="721"/>
      <c r="C7519" s="721" t="s">
        <v>77</v>
      </c>
      <c r="D7519" s="3" t="s">
        <v>3619</v>
      </c>
      <c r="E7519" s="1497"/>
      <c r="F7519" s="1497">
        <v>880000</v>
      </c>
      <c r="G7519" s="721" t="s">
        <v>56</v>
      </c>
      <c r="H7519" s="3"/>
    </row>
    <row r="7520" spans="1:8">
      <c r="A7520" s="724">
        <v>45751</v>
      </c>
      <c r="B7520" s="721"/>
      <c r="C7520" s="721" t="s">
        <v>205</v>
      </c>
      <c r="D7520" s="15" t="s">
        <v>3620</v>
      </c>
      <c r="E7520" s="1497">
        <v>133000</v>
      </c>
      <c r="F7520" s="1497"/>
      <c r="G7520" s="721" t="s">
        <v>27</v>
      </c>
      <c r="H7520" s="3"/>
    </row>
    <row r="7521" spans="1:8">
      <c r="A7521" s="724">
        <v>45751</v>
      </c>
      <c r="B7521" s="721"/>
      <c r="C7521" s="721" t="s">
        <v>205</v>
      </c>
      <c r="D7521" s="15" t="s">
        <v>3620</v>
      </c>
      <c r="E7521" s="1497">
        <v>639000</v>
      </c>
      <c r="F7521" s="1497"/>
      <c r="G7521" s="725" t="s">
        <v>287</v>
      </c>
      <c r="H7521" s="3"/>
    </row>
    <row r="7522" spans="1:8">
      <c r="A7522" s="727">
        <v>45751</v>
      </c>
      <c r="B7522" s="721"/>
      <c r="C7522" s="721" t="s">
        <v>88</v>
      </c>
      <c r="D7522" s="3" t="s">
        <v>208</v>
      </c>
      <c r="E7522" s="1497">
        <v>219000</v>
      </c>
      <c r="F7522" s="1497"/>
      <c r="G7522" s="721" t="s">
        <v>56</v>
      </c>
      <c r="H7522" s="3"/>
    </row>
    <row r="7523" spans="1:8">
      <c r="A7523" s="727">
        <v>45751</v>
      </c>
      <c r="B7523" s="721"/>
      <c r="C7523" s="726" t="s">
        <v>88</v>
      </c>
      <c r="D7523" s="3" t="s">
        <v>219</v>
      </c>
      <c r="E7523" s="1497">
        <v>248000</v>
      </c>
      <c r="F7523" s="1497"/>
      <c r="G7523" s="726" t="s">
        <v>56</v>
      </c>
      <c r="H7523" s="3"/>
    </row>
    <row r="7524" spans="1:8">
      <c r="A7524" s="727">
        <v>45751</v>
      </c>
      <c r="B7524" s="721"/>
      <c r="C7524" s="726" t="s">
        <v>88</v>
      </c>
      <c r="D7524" s="3" t="s">
        <v>144</v>
      </c>
      <c r="E7524" s="1497">
        <v>458000</v>
      </c>
      <c r="F7524" s="1497"/>
      <c r="G7524" s="726" t="s">
        <v>56</v>
      </c>
      <c r="H7524" s="3"/>
    </row>
    <row r="7525" spans="1:8">
      <c r="A7525" s="727">
        <v>45751</v>
      </c>
      <c r="B7525" s="721"/>
      <c r="C7525" s="726" t="s">
        <v>88</v>
      </c>
      <c r="D7525" s="3" t="s">
        <v>193</v>
      </c>
      <c r="E7525" s="1497">
        <v>130000</v>
      </c>
      <c r="F7525" s="1497"/>
      <c r="G7525" s="726" t="s">
        <v>56</v>
      </c>
      <c r="H7525" s="3"/>
    </row>
    <row r="7526" spans="1:8">
      <c r="A7526" s="721"/>
      <c r="B7526" s="721"/>
      <c r="C7526" s="721"/>
      <c r="D7526" s="3"/>
      <c r="E7526" s="1497"/>
      <c r="F7526" s="1497"/>
      <c r="G7526" s="721"/>
      <c r="H7526" s="3"/>
    </row>
    <row r="7527" spans="1:8">
      <c r="A7527" s="721"/>
      <c r="B7527" s="721"/>
      <c r="C7527" s="721"/>
      <c r="D7527" s="3"/>
      <c r="E7527" s="1497"/>
      <c r="F7527" s="1497"/>
      <c r="G7527" s="721"/>
      <c r="H7527" s="3"/>
    </row>
    <row r="7528" spans="1:8" ht="15.75" thickBot="1">
      <c r="A7528" s="721"/>
      <c r="B7528" s="721"/>
      <c r="C7528" s="721"/>
      <c r="D7528" s="3"/>
      <c r="E7528" s="1497"/>
      <c r="F7528" s="1497"/>
      <c r="G7528" s="721"/>
      <c r="H7528" s="3"/>
    </row>
    <row r="7529" spans="1:8" ht="15.75" thickBot="1">
      <c r="A7529" s="721"/>
      <c r="B7529" s="721"/>
      <c r="C7529" s="721"/>
      <c r="D7529" s="3"/>
      <c r="E7529" s="1497"/>
      <c r="F7529" s="1497"/>
      <c r="G7529" s="721"/>
      <c r="H7529" s="201">
        <v>45751</v>
      </c>
    </row>
    <row r="7530" spans="1:8">
      <c r="A7530" s="721"/>
      <c r="B7530" s="721"/>
      <c r="C7530" s="721"/>
      <c r="D7530" s="3"/>
      <c r="E7530" s="1497"/>
      <c r="F7530" s="1497"/>
      <c r="G7530" s="721"/>
      <c r="H7530" s="199" t="s">
        <v>3626</v>
      </c>
    </row>
    <row r="7531" spans="1:8">
      <c r="A7531" s="721"/>
      <c r="B7531" s="721"/>
      <c r="C7531" s="721"/>
      <c r="D7531" s="3"/>
      <c r="E7531" s="1497"/>
      <c r="F7531" s="1497"/>
      <c r="G7531" s="721"/>
      <c r="H7531" s="137" t="s">
        <v>3625</v>
      </c>
    </row>
    <row r="7532" spans="1:8">
      <c r="H7532" s="138" t="s">
        <v>3622</v>
      </c>
    </row>
    <row r="7533" spans="1:8">
      <c r="H7533" s="138" t="s">
        <v>3623</v>
      </c>
    </row>
    <row r="7534" spans="1:8">
      <c r="H7534" s="138" t="s">
        <v>3628</v>
      </c>
    </row>
    <row r="7535" spans="1:8">
      <c r="H7535" s="138" t="s">
        <v>3624</v>
      </c>
    </row>
    <row r="7536" spans="1:8">
      <c r="H7536" s="138" t="s">
        <v>3627</v>
      </c>
    </row>
    <row r="7537" spans="1:8" ht="15.75" thickBot="1">
      <c r="H7537" s="139" t="s">
        <v>3630</v>
      </c>
    </row>
    <row r="7538" spans="1:8">
      <c r="H7538" s="288" t="s">
        <v>3629</v>
      </c>
    </row>
    <row r="7539" spans="1:8">
      <c r="A7539" s="730">
        <v>45754</v>
      </c>
      <c r="B7539" s="728"/>
      <c r="C7539" s="728" t="s">
        <v>92</v>
      </c>
      <c r="D7539" s="3" t="s">
        <v>582</v>
      </c>
      <c r="E7539" s="1497"/>
      <c r="F7539" s="1497">
        <v>520978.79</v>
      </c>
      <c r="G7539" s="728" t="s">
        <v>27</v>
      </c>
      <c r="H7539" s="3"/>
    </row>
    <row r="7540" spans="1:8">
      <c r="A7540" s="730">
        <v>45754</v>
      </c>
      <c r="B7540" s="728"/>
      <c r="C7540" s="728" t="s">
        <v>3485</v>
      </c>
      <c r="D7540" s="3" t="s">
        <v>48</v>
      </c>
      <c r="E7540" s="1497">
        <v>1110000</v>
      </c>
      <c r="F7540" s="1497"/>
      <c r="G7540" s="728" t="s">
        <v>27</v>
      </c>
      <c r="H7540" s="3"/>
    </row>
    <row r="7541" spans="1:8">
      <c r="A7541" s="730">
        <v>45754</v>
      </c>
      <c r="B7541" s="728"/>
      <c r="C7541" s="728" t="s">
        <v>433</v>
      </c>
      <c r="D7541" s="3" t="s">
        <v>3631</v>
      </c>
      <c r="E7541" s="1497">
        <v>110000</v>
      </c>
      <c r="F7541" s="1497"/>
      <c r="G7541" s="728" t="s">
        <v>27</v>
      </c>
      <c r="H7541" s="3"/>
    </row>
    <row r="7542" spans="1:8">
      <c r="A7542" s="730">
        <v>45754</v>
      </c>
      <c r="B7542" s="728"/>
      <c r="C7542" s="728" t="s">
        <v>433</v>
      </c>
      <c r="D7542" s="3" t="s">
        <v>3631</v>
      </c>
      <c r="E7542" s="1497"/>
      <c r="F7542" s="1497">
        <v>110000</v>
      </c>
      <c r="G7542" s="728" t="s">
        <v>27</v>
      </c>
      <c r="H7542" s="3"/>
    </row>
    <row r="7543" spans="1:8">
      <c r="A7543" s="730">
        <v>45754</v>
      </c>
      <c r="B7543" s="728"/>
      <c r="C7543" s="728" t="s">
        <v>77</v>
      </c>
      <c r="D7543" s="3" t="s">
        <v>3632</v>
      </c>
      <c r="E7543" s="1497"/>
      <c r="F7543" s="1497">
        <v>2640000</v>
      </c>
      <c r="G7543" s="728" t="s">
        <v>72</v>
      </c>
      <c r="H7543" s="3" t="s">
        <v>3633</v>
      </c>
    </row>
    <row r="7544" spans="1:8">
      <c r="A7544" s="730">
        <v>45754</v>
      </c>
      <c r="B7544" s="728"/>
      <c r="C7544" s="728" t="s">
        <v>94</v>
      </c>
      <c r="D7544" s="3" t="s">
        <v>3634</v>
      </c>
      <c r="E7544" s="1497"/>
      <c r="F7544" s="1497">
        <v>151000</v>
      </c>
      <c r="G7544" s="728" t="s">
        <v>56</v>
      </c>
      <c r="H7544" s="3"/>
    </row>
    <row r="7545" spans="1:8">
      <c r="A7545" s="730">
        <v>45755</v>
      </c>
      <c r="B7545" s="728"/>
      <c r="C7545" s="728" t="s">
        <v>730</v>
      </c>
      <c r="D7545" s="3" t="s">
        <v>3246</v>
      </c>
      <c r="E7545" s="1497">
        <v>140000</v>
      </c>
      <c r="F7545" s="1497"/>
      <c r="G7545" s="728" t="s">
        <v>27</v>
      </c>
      <c r="H7545" s="3"/>
    </row>
    <row r="7546" spans="1:8">
      <c r="A7546" s="730">
        <v>45755</v>
      </c>
      <c r="B7546" s="729"/>
      <c r="C7546" s="729" t="s">
        <v>55</v>
      </c>
      <c r="D7546" s="15" t="s">
        <v>70</v>
      </c>
      <c r="E7546" s="1497">
        <v>4830</v>
      </c>
      <c r="F7546" s="1497"/>
      <c r="G7546" s="729" t="s">
        <v>56</v>
      </c>
      <c r="H7546" s="3"/>
    </row>
    <row r="7547" spans="1:8">
      <c r="A7547" s="730">
        <v>45755</v>
      </c>
      <c r="B7547" s="729"/>
      <c r="C7547" s="729" t="s">
        <v>55</v>
      </c>
      <c r="D7547" s="15" t="s">
        <v>70</v>
      </c>
      <c r="E7547" s="1497">
        <v>7990</v>
      </c>
      <c r="F7547" s="1497"/>
      <c r="G7547" s="729" t="s">
        <v>56</v>
      </c>
      <c r="H7547" s="3"/>
    </row>
    <row r="7548" spans="1:8">
      <c r="A7548" s="730">
        <v>45755</v>
      </c>
      <c r="B7548" s="729"/>
      <c r="C7548" s="729" t="s">
        <v>205</v>
      </c>
      <c r="D7548" s="15" t="s">
        <v>478</v>
      </c>
      <c r="E7548" s="1497">
        <v>14300</v>
      </c>
      <c r="F7548" s="1497"/>
      <c r="G7548" s="729" t="s">
        <v>56</v>
      </c>
      <c r="H7548" s="3"/>
    </row>
    <row r="7549" spans="1:8">
      <c r="A7549" s="730">
        <v>45755</v>
      </c>
      <c r="B7549" s="729"/>
      <c r="C7549" s="729" t="s">
        <v>150</v>
      </c>
      <c r="D7549" s="3" t="s">
        <v>56</v>
      </c>
      <c r="E7549" s="1497">
        <v>984000</v>
      </c>
      <c r="F7549" s="1497"/>
      <c r="G7549" s="729" t="s">
        <v>56</v>
      </c>
      <c r="H7549" s="3"/>
    </row>
    <row r="7550" spans="1:8">
      <c r="A7550" s="730">
        <v>45755</v>
      </c>
      <c r="B7550" s="729"/>
      <c r="C7550" s="729" t="s">
        <v>150</v>
      </c>
      <c r="D7550" s="3" t="s">
        <v>319</v>
      </c>
      <c r="E7550" s="1497"/>
      <c r="F7550" s="1497">
        <v>984000</v>
      </c>
      <c r="G7550" s="729" t="s">
        <v>27</v>
      </c>
      <c r="H7550" s="3"/>
    </row>
    <row r="7551" spans="1:8">
      <c r="A7551" s="730">
        <v>45755</v>
      </c>
      <c r="B7551" s="729"/>
      <c r="C7551" s="729" t="s">
        <v>205</v>
      </c>
      <c r="D7551" s="3" t="s">
        <v>48</v>
      </c>
      <c r="E7551" s="1497">
        <v>3184000</v>
      </c>
      <c r="F7551" s="1497"/>
      <c r="G7551" s="729" t="s">
        <v>72</v>
      </c>
      <c r="H7551" s="3"/>
    </row>
    <row r="7552" spans="1:8">
      <c r="A7552" s="730">
        <v>45755</v>
      </c>
      <c r="B7552" s="729"/>
      <c r="C7552" s="729" t="s">
        <v>205</v>
      </c>
      <c r="D7552" s="3" t="s">
        <v>71</v>
      </c>
      <c r="E7552" s="1497">
        <v>653635.24</v>
      </c>
      <c r="F7552" s="1497"/>
      <c r="G7552" s="729" t="s">
        <v>27</v>
      </c>
      <c r="H7552" s="45" t="s">
        <v>3460</v>
      </c>
    </row>
    <row r="7553" spans="1:8">
      <c r="A7553" s="730">
        <v>45755</v>
      </c>
      <c r="B7553" s="729"/>
      <c r="C7553" s="729" t="s">
        <v>88</v>
      </c>
      <c r="D7553" s="3" t="s">
        <v>208</v>
      </c>
      <c r="E7553" s="1497">
        <v>50000</v>
      </c>
      <c r="F7553" s="1497"/>
      <c r="G7553" s="729" t="s">
        <v>56</v>
      </c>
      <c r="H7553" s="3"/>
    </row>
    <row r="7554" spans="1:8">
      <c r="A7554" s="731">
        <v>45756</v>
      </c>
      <c r="B7554" s="729"/>
      <c r="C7554" s="729" t="s">
        <v>86</v>
      </c>
      <c r="D7554" s="3" t="s">
        <v>86</v>
      </c>
      <c r="E7554" s="1497">
        <v>30000</v>
      </c>
      <c r="F7554" s="1497"/>
      <c r="G7554" s="729" t="s">
        <v>56</v>
      </c>
      <c r="H7554" s="3"/>
    </row>
    <row r="7555" spans="1:8">
      <c r="A7555" s="731">
        <v>45756</v>
      </c>
      <c r="B7555" s="729"/>
      <c r="C7555" s="729" t="s">
        <v>156</v>
      </c>
      <c r="D7555" s="3" t="s">
        <v>156</v>
      </c>
      <c r="E7555" s="1497">
        <v>3571722.83</v>
      </c>
      <c r="F7555" s="1497"/>
      <c r="G7555" s="729" t="s">
        <v>27</v>
      </c>
      <c r="H7555" s="3"/>
    </row>
    <row r="7556" spans="1:8">
      <c r="A7556" s="731">
        <v>45756</v>
      </c>
      <c r="B7556" s="729"/>
      <c r="C7556" s="729" t="s">
        <v>79</v>
      </c>
      <c r="D7556" s="3" t="s">
        <v>3635</v>
      </c>
      <c r="E7556" s="1497">
        <v>53407.3</v>
      </c>
      <c r="F7556" s="1497"/>
      <c r="G7556" s="729" t="s">
        <v>27</v>
      </c>
      <c r="H7556" s="3"/>
    </row>
    <row r="7557" spans="1:8">
      <c r="A7557" s="731">
        <v>45756</v>
      </c>
      <c r="B7557" s="729"/>
      <c r="C7557" s="729" t="s">
        <v>94</v>
      </c>
      <c r="D7557" s="3" t="s">
        <v>17</v>
      </c>
      <c r="E7557" s="1497">
        <v>60249.31</v>
      </c>
      <c r="F7557" s="1497"/>
      <c r="G7557" s="729" t="s">
        <v>27</v>
      </c>
      <c r="H7557" s="3"/>
    </row>
    <row r="7558" spans="1:8">
      <c r="A7558" s="731">
        <v>45756</v>
      </c>
      <c r="B7558" s="729"/>
      <c r="C7558" s="729" t="s">
        <v>79</v>
      </c>
      <c r="D7558" s="3" t="s">
        <v>640</v>
      </c>
      <c r="E7558" s="1497">
        <v>399170</v>
      </c>
      <c r="F7558" s="1497"/>
      <c r="G7558" s="729" t="s">
        <v>108</v>
      </c>
      <c r="H7558" s="3"/>
    </row>
    <row r="7559" spans="1:8">
      <c r="A7559" s="732">
        <v>45756</v>
      </c>
      <c r="B7559" s="729"/>
      <c r="C7559" s="729" t="s">
        <v>77</v>
      </c>
      <c r="D7559" s="3" t="s">
        <v>3636</v>
      </c>
      <c r="E7559" s="1497"/>
      <c r="F7559" s="1497">
        <v>2700000</v>
      </c>
      <c r="G7559" s="729" t="s">
        <v>27</v>
      </c>
      <c r="H7559" s="3"/>
    </row>
    <row r="7560" spans="1:8">
      <c r="A7560" s="733">
        <v>45756</v>
      </c>
      <c r="B7560" s="734"/>
      <c r="C7560" s="734" t="s">
        <v>77</v>
      </c>
      <c r="D7560" s="3" t="s">
        <v>3641</v>
      </c>
      <c r="E7560" s="1497"/>
      <c r="F7560" s="1497">
        <v>298900</v>
      </c>
      <c r="G7560" s="734" t="s">
        <v>72</v>
      </c>
      <c r="H7560" s="3" t="s">
        <v>3637</v>
      </c>
    </row>
    <row r="7561" spans="1:8">
      <c r="A7561" s="733">
        <v>45756</v>
      </c>
      <c r="B7561" s="734"/>
      <c r="C7561" s="734" t="s">
        <v>205</v>
      </c>
      <c r="D7561" s="3" t="s">
        <v>3638</v>
      </c>
      <c r="E7561" s="1497">
        <v>174000</v>
      </c>
      <c r="F7561" s="1497"/>
      <c r="G7561" s="734" t="s">
        <v>27</v>
      </c>
      <c r="H7561" s="3"/>
    </row>
    <row r="7562" spans="1:8">
      <c r="A7562" s="733">
        <v>45756</v>
      </c>
      <c r="B7562" s="734"/>
      <c r="C7562" s="734" t="s">
        <v>205</v>
      </c>
      <c r="D7562" s="3" t="s">
        <v>37</v>
      </c>
      <c r="E7562" s="1497">
        <v>234720</v>
      </c>
      <c r="F7562" s="1497"/>
      <c r="G7562" s="734" t="s">
        <v>27</v>
      </c>
      <c r="H7562" s="3"/>
    </row>
    <row r="7563" spans="1:8">
      <c r="A7563" s="733">
        <v>45756</v>
      </c>
      <c r="B7563" s="734"/>
      <c r="C7563" s="734" t="s">
        <v>205</v>
      </c>
      <c r="D7563" s="3" t="s">
        <v>35</v>
      </c>
      <c r="E7563" s="1497">
        <v>54602</v>
      </c>
      <c r="F7563" s="1497"/>
      <c r="G7563" s="734" t="s">
        <v>27</v>
      </c>
      <c r="H7563" s="3"/>
    </row>
    <row r="7564" spans="1:8">
      <c r="A7564" s="733">
        <v>45756</v>
      </c>
      <c r="B7564" s="734"/>
      <c r="C7564" s="734" t="s">
        <v>176</v>
      </c>
      <c r="D7564" s="15" t="s">
        <v>3639</v>
      </c>
      <c r="E7564" s="1497">
        <v>50000</v>
      </c>
      <c r="F7564" s="1497"/>
      <c r="G7564" s="734" t="s">
        <v>27</v>
      </c>
      <c r="H7564" s="3"/>
    </row>
    <row r="7565" spans="1:8">
      <c r="A7565" s="733">
        <v>45756</v>
      </c>
      <c r="B7565" s="734"/>
      <c r="C7565" s="734" t="s">
        <v>176</v>
      </c>
      <c r="D7565" s="15" t="s">
        <v>3640</v>
      </c>
      <c r="E7565" s="1497">
        <v>30000</v>
      </c>
      <c r="F7565" s="1497"/>
      <c r="G7565" s="734" t="s">
        <v>27</v>
      </c>
      <c r="H7565" s="3"/>
    </row>
    <row r="7566" spans="1:8">
      <c r="A7566" s="733">
        <v>45756</v>
      </c>
      <c r="B7566" s="734"/>
      <c r="C7566" s="734" t="s">
        <v>86</v>
      </c>
      <c r="D7566" s="3" t="s">
        <v>86</v>
      </c>
      <c r="E7566" s="1497">
        <v>64020.05</v>
      </c>
      <c r="F7566" s="1497"/>
      <c r="G7566" s="734" t="s">
        <v>27</v>
      </c>
      <c r="H7566" s="3" t="s">
        <v>3649</v>
      </c>
    </row>
    <row r="7567" spans="1:8">
      <c r="A7567" s="733">
        <v>45756</v>
      </c>
      <c r="B7567" s="734"/>
      <c r="C7567" s="734" t="s">
        <v>409</v>
      </c>
      <c r="D7567" s="3" t="s">
        <v>3642</v>
      </c>
      <c r="E7567" s="1497"/>
      <c r="F7567" s="1497">
        <v>656400</v>
      </c>
      <c r="G7567" s="734" t="s">
        <v>27</v>
      </c>
      <c r="H7567" s="3" t="s">
        <v>3643</v>
      </c>
    </row>
    <row r="7568" spans="1:8">
      <c r="A7568" s="736">
        <v>45756</v>
      </c>
      <c r="B7568" s="735"/>
      <c r="C7568" s="735" t="s">
        <v>409</v>
      </c>
      <c r="D7568" s="3" t="s">
        <v>3645</v>
      </c>
      <c r="E7568" s="1497"/>
      <c r="F7568" s="1497">
        <v>425000</v>
      </c>
      <c r="G7568" s="735" t="s">
        <v>27</v>
      </c>
      <c r="H7568" s="3" t="s">
        <v>3644</v>
      </c>
    </row>
    <row r="7569" spans="1:8">
      <c r="A7569" s="736">
        <v>45756</v>
      </c>
      <c r="B7569" s="735"/>
      <c r="C7569" s="735" t="s">
        <v>205</v>
      </c>
      <c r="D7569" s="3" t="s">
        <v>38</v>
      </c>
      <c r="E7569" s="1497">
        <v>2700</v>
      </c>
      <c r="F7569" s="1497"/>
      <c r="G7569" s="735" t="s">
        <v>56</v>
      </c>
      <c r="H7569" s="3"/>
    </row>
    <row r="7570" spans="1:8">
      <c r="A7570" s="736">
        <v>45757</v>
      </c>
      <c r="B7570" s="735"/>
      <c r="C7570" s="735" t="s">
        <v>90</v>
      </c>
      <c r="D7570" s="15" t="s">
        <v>1951</v>
      </c>
      <c r="E7570" s="1497">
        <v>11000</v>
      </c>
      <c r="F7570" s="1497"/>
      <c r="G7570" s="735" t="s">
        <v>56</v>
      </c>
      <c r="H7570" s="3"/>
    </row>
    <row r="7571" spans="1:8">
      <c r="A7571" s="736">
        <v>45757</v>
      </c>
      <c r="B7571" s="735"/>
      <c r="C7571" s="735" t="s">
        <v>55</v>
      </c>
      <c r="D7571" s="15" t="s">
        <v>3646</v>
      </c>
      <c r="E7571" s="1497">
        <v>2000</v>
      </c>
      <c r="F7571" s="1497"/>
      <c r="G7571" s="735" t="s">
        <v>56</v>
      </c>
      <c r="H7571" s="3"/>
    </row>
    <row r="7572" spans="1:8">
      <c r="A7572" s="736">
        <v>45757</v>
      </c>
      <c r="B7572" s="735"/>
      <c r="C7572" s="735" t="s">
        <v>79</v>
      </c>
      <c r="D7572" s="3" t="s">
        <v>3647</v>
      </c>
      <c r="E7572" s="1497">
        <v>5000</v>
      </c>
      <c r="F7572" s="1497"/>
      <c r="G7572" s="735" t="s">
        <v>56</v>
      </c>
      <c r="H7572" s="3"/>
    </row>
    <row r="7573" spans="1:8">
      <c r="A7573" s="736">
        <v>45757</v>
      </c>
      <c r="B7573" s="735"/>
      <c r="C7573" s="735" t="s">
        <v>409</v>
      </c>
      <c r="D7573" s="3" t="s">
        <v>3645</v>
      </c>
      <c r="E7573" s="1497"/>
      <c r="F7573" s="1497">
        <v>200000</v>
      </c>
      <c r="G7573" s="735"/>
      <c r="H7573" s="3"/>
    </row>
    <row r="7574" spans="1:8">
      <c r="A7574" s="736">
        <v>45757</v>
      </c>
      <c r="B7574" s="735"/>
      <c r="C7574" s="735" t="s">
        <v>205</v>
      </c>
      <c r="D7574" s="15" t="s">
        <v>3648</v>
      </c>
      <c r="E7574" s="1497">
        <v>300000</v>
      </c>
      <c r="F7574" s="1497"/>
      <c r="G7574" s="735" t="s">
        <v>27</v>
      </c>
      <c r="H7574" s="3"/>
    </row>
    <row r="7575" spans="1:8">
      <c r="A7575" s="736">
        <v>45757</v>
      </c>
      <c r="B7575" s="735"/>
      <c r="C7575" s="735" t="s">
        <v>205</v>
      </c>
      <c r="D7575" s="15" t="s">
        <v>3650</v>
      </c>
      <c r="E7575" s="1497">
        <v>9000</v>
      </c>
      <c r="F7575" s="1497"/>
      <c r="G7575" s="735" t="s">
        <v>56</v>
      </c>
      <c r="H7575" s="3"/>
    </row>
    <row r="7576" spans="1:8">
      <c r="A7576" s="736">
        <v>45757</v>
      </c>
      <c r="B7576" s="735"/>
      <c r="C7576" s="735" t="s">
        <v>205</v>
      </c>
      <c r="D7576" s="15" t="s">
        <v>47</v>
      </c>
      <c r="E7576" s="1497">
        <v>1117200</v>
      </c>
      <c r="F7576" s="1497"/>
      <c r="G7576" s="735" t="s">
        <v>56</v>
      </c>
      <c r="H7576" s="3"/>
    </row>
    <row r="7577" spans="1:8">
      <c r="A7577" s="736">
        <v>45757</v>
      </c>
      <c r="B7577" s="735"/>
      <c r="C7577" s="735" t="s">
        <v>205</v>
      </c>
      <c r="D7577" s="15" t="s">
        <v>48</v>
      </c>
      <c r="E7577" s="1497">
        <v>408229.25</v>
      </c>
      <c r="F7577" s="1497"/>
      <c r="G7577" s="735" t="s">
        <v>27</v>
      </c>
      <c r="H7577" s="3" t="s">
        <v>3651</v>
      </c>
    </row>
    <row r="7578" spans="1:8">
      <c r="A7578" s="736">
        <v>45757</v>
      </c>
      <c r="B7578" s="735"/>
      <c r="C7578" s="735" t="s">
        <v>205</v>
      </c>
      <c r="D7578" s="15" t="s">
        <v>48</v>
      </c>
      <c r="E7578" s="1497">
        <v>1901900</v>
      </c>
      <c r="F7578" s="1497"/>
      <c r="G7578" s="735" t="s">
        <v>27</v>
      </c>
      <c r="H7578" s="3" t="s">
        <v>3652</v>
      </c>
    </row>
    <row r="7579" spans="1:8">
      <c r="A7579" s="736">
        <v>45757</v>
      </c>
      <c r="B7579" s="735"/>
      <c r="C7579" s="735" t="s">
        <v>92</v>
      </c>
      <c r="D7579" s="15" t="s">
        <v>1277</v>
      </c>
      <c r="E7579" s="1497"/>
      <c r="F7579" s="1497">
        <v>41600</v>
      </c>
      <c r="G7579" s="735" t="s">
        <v>27</v>
      </c>
      <c r="H7579" s="3"/>
    </row>
    <row r="7580" spans="1:8">
      <c r="A7580" s="737">
        <v>45757</v>
      </c>
      <c r="B7580" s="738"/>
      <c r="C7580" s="738" t="s">
        <v>92</v>
      </c>
      <c r="D7580" s="3" t="s">
        <v>3085</v>
      </c>
      <c r="E7580" s="1497"/>
      <c r="F7580" s="1497">
        <v>125245.45</v>
      </c>
      <c r="G7580" s="738" t="s">
        <v>27</v>
      </c>
      <c r="H7580" s="3"/>
    </row>
    <row r="7581" spans="1:8">
      <c r="A7581" s="737">
        <v>45757</v>
      </c>
      <c r="B7581" s="738"/>
      <c r="C7581" s="738" t="s">
        <v>55</v>
      </c>
      <c r="D7581" s="3" t="s">
        <v>514</v>
      </c>
      <c r="E7581" s="1497">
        <v>8000</v>
      </c>
      <c r="F7581" s="1497"/>
      <c r="G7581" s="738" t="s">
        <v>27</v>
      </c>
      <c r="H7581" s="3"/>
    </row>
    <row r="7582" spans="1:8">
      <c r="A7582" s="737">
        <v>45757</v>
      </c>
      <c r="B7582" s="738"/>
      <c r="C7582" s="738" t="s">
        <v>174</v>
      </c>
      <c r="D7582" s="3" t="s">
        <v>2630</v>
      </c>
      <c r="E7582" s="1497">
        <v>28633</v>
      </c>
      <c r="F7582" s="1497"/>
      <c r="G7582" s="738" t="s">
        <v>27</v>
      </c>
      <c r="H7582" s="3"/>
    </row>
    <row r="7583" spans="1:8">
      <c r="A7583" s="737">
        <v>45757</v>
      </c>
      <c r="B7583" s="738"/>
      <c r="C7583" s="738" t="s">
        <v>55</v>
      </c>
      <c r="D7583" s="15" t="s">
        <v>3545</v>
      </c>
      <c r="E7583" s="1497">
        <v>39804.76</v>
      </c>
      <c r="F7583" s="1497"/>
      <c r="G7583" s="738" t="s">
        <v>27</v>
      </c>
      <c r="H7583" s="3"/>
    </row>
    <row r="7584" spans="1:8">
      <c r="A7584" s="737">
        <v>45758</v>
      </c>
      <c r="B7584" s="738"/>
      <c r="C7584" s="738" t="s">
        <v>205</v>
      </c>
      <c r="D7584" s="15" t="s">
        <v>38</v>
      </c>
      <c r="E7584" s="1497">
        <v>2700</v>
      </c>
      <c r="F7584" s="1497"/>
      <c r="G7584" s="738" t="s">
        <v>56</v>
      </c>
      <c r="H7584" s="3"/>
    </row>
    <row r="7585" spans="1:8">
      <c r="A7585" s="737">
        <v>45758</v>
      </c>
      <c r="B7585" s="738"/>
      <c r="C7585" s="738" t="s">
        <v>205</v>
      </c>
      <c r="D7585" s="15" t="s">
        <v>38</v>
      </c>
      <c r="E7585" s="1497">
        <v>2700</v>
      </c>
      <c r="F7585" s="1497"/>
      <c r="G7585" s="738" t="s">
        <v>56</v>
      </c>
      <c r="H7585" s="3"/>
    </row>
    <row r="7586" spans="1:8">
      <c r="A7586" s="737">
        <v>45758</v>
      </c>
      <c r="B7586" s="738"/>
      <c r="C7586" s="738" t="s">
        <v>94</v>
      </c>
      <c r="D7586" s="3" t="s">
        <v>245</v>
      </c>
      <c r="E7586" s="1497">
        <v>144364.01</v>
      </c>
      <c r="F7586" s="1497"/>
      <c r="G7586" s="738" t="s">
        <v>27</v>
      </c>
      <c r="H7586" s="3"/>
    </row>
    <row r="7587" spans="1:8">
      <c r="A7587" s="737">
        <v>45758</v>
      </c>
      <c r="B7587" s="738"/>
      <c r="C7587" s="738" t="s">
        <v>94</v>
      </c>
      <c r="D7587" s="3" t="s">
        <v>13</v>
      </c>
      <c r="E7587" s="1497">
        <v>35</v>
      </c>
      <c r="F7587" s="1497"/>
      <c r="G7587" s="738" t="s">
        <v>27</v>
      </c>
      <c r="H7587" s="3"/>
    </row>
    <row r="7588" spans="1:8">
      <c r="A7588" s="737">
        <v>45758</v>
      </c>
      <c r="B7588" s="738"/>
      <c r="C7588" s="738" t="s">
        <v>55</v>
      </c>
      <c r="D7588" s="3" t="s">
        <v>70</v>
      </c>
      <c r="E7588" s="1497">
        <v>5327.4</v>
      </c>
      <c r="F7588" s="1497"/>
      <c r="G7588" s="738" t="s">
        <v>56</v>
      </c>
      <c r="H7588" s="3"/>
    </row>
    <row r="7589" spans="1:8">
      <c r="A7589" s="740">
        <v>45758</v>
      </c>
      <c r="B7589" s="739"/>
      <c r="C7589" s="739" t="s">
        <v>92</v>
      </c>
      <c r="D7589" s="3" t="s">
        <v>3653</v>
      </c>
      <c r="E7589" s="1497"/>
      <c r="F7589" s="1497">
        <v>58400</v>
      </c>
      <c r="G7589" s="739" t="s">
        <v>27</v>
      </c>
      <c r="H7589" s="3"/>
    </row>
    <row r="7590" spans="1:8">
      <c r="A7590" s="741">
        <v>45758</v>
      </c>
      <c r="B7590" s="739"/>
      <c r="C7590" s="739" t="s">
        <v>88</v>
      </c>
      <c r="D7590" s="3" t="s">
        <v>3654</v>
      </c>
      <c r="E7590" s="1497">
        <v>170000</v>
      </c>
      <c r="F7590" s="1497"/>
      <c r="G7590" s="739" t="s">
        <v>56</v>
      </c>
      <c r="H7590" s="3"/>
    </row>
    <row r="7591" spans="1:8">
      <c r="A7591" s="741">
        <v>45758</v>
      </c>
      <c r="B7591" s="739"/>
      <c r="C7591" s="742" t="s">
        <v>88</v>
      </c>
      <c r="D7591" s="3" t="s">
        <v>219</v>
      </c>
      <c r="E7591" s="1497">
        <v>245000</v>
      </c>
      <c r="F7591" s="1497"/>
      <c r="G7591" s="739" t="s">
        <v>56</v>
      </c>
      <c r="H7591" s="3"/>
    </row>
    <row r="7592" spans="1:8">
      <c r="A7592" s="745">
        <v>45758</v>
      </c>
      <c r="B7592" s="746"/>
      <c r="C7592" s="746" t="s">
        <v>88</v>
      </c>
      <c r="D7592" s="3" t="s">
        <v>193</v>
      </c>
      <c r="E7592" s="1497">
        <v>130000</v>
      </c>
      <c r="F7592" s="1497"/>
      <c r="G7592" s="746" t="s">
        <v>56</v>
      </c>
      <c r="H7592" s="3"/>
    </row>
    <row r="7593" spans="1:8">
      <c r="A7593" s="745">
        <v>45758</v>
      </c>
      <c r="B7593" s="746"/>
      <c r="C7593" s="746" t="s">
        <v>88</v>
      </c>
      <c r="D7593" s="3" t="s">
        <v>144</v>
      </c>
      <c r="E7593" s="1497">
        <v>300000</v>
      </c>
      <c r="F7593" s="1497"/>
      <c r="G7593" s="746" t="s">
        <v>56</v>
      </c>
      <c r="H7593" s="3"/>
    </row>
    <row r="7594" spans="1:8">
      <c r="A7594" s="745">
        <v>45758</v>
      </c>
      <c r="B7594" s="746"/>
      <c r="C7594" s="746" t="s">
        <v>88</v>
      </c>
      <c r="D7594" s="3" t="s">
        <v>144</v>
      </c>
      <c r="E7594" s="1497">
        <v>158000</v>
      </c>
      <c r="F7594" s="1497"/>
      <c r="G7594" s="746" t="s">
        <v>56</v>
      </c>
      <c r="H7594" s="3"/>
    </row>
    <row r="7595" spans="1:8">
      <c r="A7595" s="745">
        <v>45758</v>
      </c>
      <c r="B7595" s="746"/>
      <c r="C7595" s="746" t="s">
        <v>92</v>
      </c>
      <c r="D7595" s="3" t="s">
        <v>3655</v>
      </c>
      <c r="E7595" s="1497"/>
      <c r="F7595" s="1497">
        <v>378000</v>
      </c>
      <c r="G7595" s="746" t="s">
        <v>27</v>
      </c>
      <c r="H7595" s="3"/>
    </row>
    <row r="7596" spans="1:8" ht="15.75" thickBot="1">
      <c r="A7596" s="745">
        <v>45758</v>
      </c>
      <c r="B7596" s="746"/>
      <c r="C7596" s="746"/>
      <c r="D7596" s="15" t="s">
        <v>3662</v>
      </c>
      <c r="E7596" s="1497"/>
      <c r="F7596" s="1497">
        <v>7000000</v>
      </c>
      <c r="G7596" s="746" t="s">
        <v>56</v>
      </c>
      <c r="H7596" s="85"/>
    </row>
    <row r="7597" spans="1:8" ht="15.75" thickBot="1">
      <c r="H7597" s="201">
        <v>45758</v>
      </c>
    </row>
    <row r="7598" spans="1:8">
      <c r="H7598" s="199" t="s">
        <v>3626</v>
      </c>
    </row>
    <row r="7599" spans="1:8">
      <c r="H7599" s="137" t="s">
        <v>3625</v>
      </c>
    </row>
    <row r="7600" spans="1:8">
      <c r="H7600" s="138" t="s">
        <v>3622</v>
      </c>
    </row>
    <row r="7601" spans="1:8">
      <c r="H7601" s="138" t="s">
        <v>3623</v>
      </c>
    </row>
    <row r="7602" spans="1:8">
      <c r="H7602" s="138" t="s">
        <v>3628</v>
      </c>
    </row>
    <row r="7603" spans="1:8">
      <c r="H7603" s="138" t="s">
        <v>3624</v>
      </c>
    </row>
    <row r="7604" spans="1:8">
      <c r="H7604" s="138" t="s">
        <v>3627</v>
      </c>
    </row>
    <row r="7605" spans="1:8" ht="15.75" thickBot="1">
      <c r="H7605" s="139" t="s">
        <v>3630</v>
      </c>
    </row>
    <row r="7606" spans="1:8" ht="15.75" thickBot="1">
      <c r="H7606" s="538" t="s">
        <v>3629</v>
      </c>
    </row>
    <row r="7607" spans="1:8">
      <c r="A7607" s="741">
        <v>45762</v>
      </c>
      <c r="B7607" s="742"/>
      <c r="C7607" s="742" t="s">
        <v>88</v>
      </c>
      <c r="D7607" s="3" t="s">
        <v>208</v>
      </c>
      <c r="E7607" s="1497">
        <v>20000</v>
      </c>
      <c r="F7607" s="1497"/>
      <c r="G7607" s="742" t="s">
        <v>56</v>
      </c>
      <c r="H7607" s="183"/>
    </row>
    <row r="7608" spans="1:8">
      <c r="A7608" s="77">
        <v>45762</v>
      </c>
      <c r="B7608" s="62"/>
      <c r="C7608" s="62" t="s">
        <v>150</v>
      </c>
      <c r="D7608" s="5" t="s">
        <v>319</v>
      </c>
      <c r="E7608" s="62"/>
      <c r="F7608" s="62">
        <v>2500000</v>
      </c>
      <c r="G7608" s="62" t="s">
        <v>27</v>
      </c>
      <c r="H7608" s="5"/>
    </row>
    <row r="7609" spans="1:8">
      <c r="A7609" s="741">
        <v>45762</v>
      </c>
      <c r="B7609" s="742"/>
      <c r="C7609" s="742" t="s">
        <v>205</v>
      </c>
      <c r="D7609" s="3" t="s">
        <v>499</v>
      </c>
      <c r="E7609" s="1497">
        <v>1443530</v>
      </c>
      <c r="F7609" s="744"/>
      <c r="G7609" s="742" t="s">
        <v>27</v>
      </c>
      <c r="H7609" s="3"/>
    </row>
    <row r="7610" spans="1:8">
      <c r="A7610" s="741">
        <v>45762</v>
      </c>
      <c r="B7610" s="742"/>
      <c r="C7610" s="742" t="s">
        <v>205</v>
      </c>
      <c r="D7610" s="3" t="s">
        <v>283</v>
      </c>
      <c r="E7610" s="1497">
        <v>385526</v>
      </c>
      <c r="F7610" s="1497"/>
      <c r="G7610" s="742" t="s">
        <v>27</v>
      </c>
      <c r="H7610" s="3"/>
    </row>
    <row r="7611" spans="1:8">
      <c r="A7611" s="741">
        <v>45762</v>
      </c>
      <c r="B7611" s="742"/>
      <c r="C7611" s="742" t="s">
        <v>205</v>
      </c>
      <c r="D7611" s="3" t="s">
        <v>3656</v>
      </c>
      <c r="E7611" s="1497">
        <v>322048</v>
      </c>
      <c r="F7611" s="1497"/>
      <c r="G7611" s="742" t="s">
        <v>27</v>
      </c>
      <c r="H7611" s="3"/>
    </row>
    <row r="7612" spans="1:8">
      <c r="A7612" s="741">
        <v>45762</v>
      </c>
      <c r="B7612" s="742"/>
      <c r="C7612" s="742" t="s">
        <v>205</v>
      </c>
      <c r="D7612" s="3" t="s">
        <v>3657</v>
      </c>
      <c r="E7612" s="1497">
        <v>142702</v>
      </c>
      <c r="F7612" s="1497"/>
      <c r="G7612" s="742" t="s">
        <v>27</v>
      </c>
      <c r="H7612" s="3"/>
    </row>
    <row r="7613" spans="1:8">
      <c r="A7613" s="741">
        <v>45762</v>
      </c>
      <c r="B7613" s="742"/>
      <c r="C7613" s="742" t="s">
        <v>28</v>
      </c>
      <c r="D7613" s="3" t="s">
        <v>535</v>
      </c>
      <c r="E7613" s="1497">
        <v>91188.7</v>
      </c>
      <c r="F7613" s="1497"/>
      <c r="G7613" s="742" t="s">
        <v>27</v>
      </c>
      <c r="H7613" s="3"/>
    </row>
    <row r="7614" spans="1:8">
      <c r="A7614" s="741">
        <v>45762</v>
      </c>
      <c r="B7614" s="742"/>
      <c r="C7614" s="742" t="s">
        <v>205</v>
      </c>
      <c r="D7614" s="3" t="s">
        <v>48</v>
      </c>
      <c r="E7614" s="1497">
        <v>250000</v>
      </c>
      <c r="F7614" s="1497"/>
      <c r="G7614" s="742" t="s">
        <v>27</v>
      </c>
      <c r="H7614" s="3"/>
    </row>
    <row r="7615" spans="1:8">
      <c r="A7615" s="741">
        <v>45762</v>
      </c>
      <c r="B7615" s="742"/>
      <c r="C7615" s="742" t="s">
        <v>205</v>
      </c>
      <c r="D7615" s="3" t="s">
        <v>37</v>
      </c>
      <c r="E7615" s="1497">
        <v>200000</v>
      </c>
      <c r="F7615" s="1497"/>
      <c r="G7615" s="742" t="s">
        <v>27</v>
      </c>
      <c r="H7615" s="3"/>
    </row>
    <row r="7616" spans="1:8">
      <c r="A7616" s="741">
        <v>45762</v>
      </c>
      <c r="B7616" s="742"/>
      <c r="C7616" s="742" t="s">
        <v>205</v>
      </c>
      <c r="D7616" s="3" t="s">
        <v>970</v>
      </c>
      <c r="E7616" s="1497">
        <v>32037</v>
      </c>
      <c r="F7616" s="1497"/>
      <c r="G7616" s="742" t="s">
        <v>27</v>
      </c>
      <c r="H7616" s="3"/>
    </row>
    <row r="7617" spans="1:8">
      <c r="A7617" s="741">
        <v>45762</v>
      </c>
      <c r="B7617" s="742"/>
      <c r="C7617" s="742" t="s">
        <v>92</v>
      </c>
      <c r="D7617" s="3" t="s">
        <v>3658</v>
      </c>
      <c r="E7617" s="1497"/>
      <c r="F7617" s="1497">
        <v>41600</v>
      </c>
      <c r="G7617" s="742" t="s">
        <v>27</v>
      </c>
      <c r="H7617" s="45" t="s">
        <v>3659</v>
      </c>
    </row>
    <row r="7618" spans="1:8">
      <c r="A7618" s="741">
        <v>45762</v>
      </c>
      <c r="B7618" s="742"/>
      <c r="C7618" s="742" t="s">
        <v>86</v>
      </c>
      <c r="D7618" s="3" t="s">
        <v>104</v>
      </c>
      <c r="E7618" s="1497">
        <v>40000</v>
      </c>
      <c r="F7618" s="1497"/>
      <c r="G7618" s="742" t="s">
        <v>56</v>
      </c>
      <c r="H7618" s="3"/>
    </row>
    <row r="7619" spans="1:8">
      <c r="A7619" s="743">
        <v>45763</v>
      </c>
      <c r="B7619" s="742"/>
      <c r="C7619" s="742" t="s">
        <v>79</v>
      </c>
      <c r="D7619" s="3" t="s">
        <v>2355</v>
      </c>
      <c r="E7619" s="1497">
        <v>50650</v>
      </c>
      <c r="F7619" s="1497"/>
      <c r="G7619" s="742" t="s">
        <v>27</v>
      </c>
      <c r="H7619" s="3"/>
    </row>
    <row r="7620" spans="1:8">
      <c r="A7620" s="743">
        <v>45763</v>
      </c>
      <c r="B7620" s="742"/>
      <c r="C7620" s="742" t="s">
        <v>92</v>
      </c>
      <c r="D7620" s="3" t="s">
        <v>3660</v>
      </c>
      <c r="E7620" s="1497"/>
      <c r="F7620" s="1497">
        <v>278100</v>
      </c>
      <c r="G7620" s="742" t="s">
        <v>27</v>
      </c>
      <c r="H7620" s="3"/>
    </row>
    <row r="7621" spans="1:8">
      <c r="A7621" s="743">
        <v>45763</v>
      </c>
      <c r="B7621" s="742"/>
      <c r="C7621" s="742" t="s">
        <v>79</v>
      </c>
      <c r="D7621" s="3" t="s">
        <v>3661</v>
      </c>
      <c r="E7621" s="1497">
        <v>35000</v>
      </c>
      <c r="F7621" s="1497"/>
      <c r="G7621" s="742" t="s">
        <v>56</v>
      </c>
      <c r="H7621" s="3"/>
    </row>
    <row r="7622" spans="1:8">
      <c r="A7622" s="745">
        <v>45763</v>
      </c>
      <c r="B7622" s="742"/>
      <c r="C7622" s="742" t="s">
        <v>77</v>
      </c>
      <c r="D7622" s="3" t="s">
        <v>3662</v>
      </c>
      <c r="E7622" s="1497"/>
      <c r="F7622" s="1497">
        <v>47160000</v>
      </c>
      <c r="G7622" s="746" t="s">
        <v>287</v>
      </c>
      <c r="H7622" s="3"/>
    </row>
    <row r="7623" spans="1:8">
      <c r="A7623" s="748">
        <v>45764</v>
      </c>
      <c r="B7623" s="742"/>
      <c r="C7623" s="742" t="s">
        <v>831</v>
      </c>
      <c r="D7623" s="3" t="s">
        <v>2254</v>
      </c>
      <c r="E7623" s="1497">
        <v>30000</v>
      </c>
      <c r="F7623" s="1497"/>
      <c r="G7623" s="742" t="s">
        <v>56</v>
      </c>
      <c r="H7623" s="3" t="s">
        <v>3663</v>
      </c>
    </row>
    <row r="7624" spans="1:8">
      <c r="A7624" s="748">
        <v>45764</v>
      </c>
      <c r="B7624" s="742"/>
      <c r="C7624" s="742" t="s">
        <v>205</v>
      </c>
      <c r="D7624" s="3" t="s">
        <v>62</v>
      </c>
      <c r="E7624" s="1497">
        <v>19100</v>
      </c>
      <c r="F7624" s="1497"/>
      <c r="G7624" s="742" t="s">
        <v>56</v>
      </c>
      <c r="H7624" s="3" t="s">
        <v>3663</v>
      </c>
    </row>
    <row r="7625" spans="1:8">
      <c r="A7625" s="748">
        <v>45764</v>
      </c>
      <c r="B7625" s="742"/>
      <c r="C7625" s="742" t="s">
        <v>79</v>
      </c>
      <c r="D7625" s="3" t="s">
        <v>18</v>
      </c>
      <c r="E7625" s="1497">
        <v>436000</v>
      </c>
      <c r="F7625" s="1497"/>
      <c r="G7625" s="742" t="s">
        <v>27</v>
      </c>
      <c r="H7625" s="3"/>
    </row>
    <row r="7626" spans="1:8">
      <c r="A7626" s="748">
        <v>45764</v>
      </c>
      <c r="B7626" s="747"/>
      <c r="C7626" s="747" t="s">
        <v>88</v>
      </c>
      <c r="D7626" s="3" t="s">
        <v>219</v>
      </c>
      <c r="E7626" s="1497">
        <v>237000</v>
      </c>
      <c r="F7626" s="1497"/>
      <c r="G7626" s="747" t="s">
        <v>56</v>
      </c>
      <c r="H7626" s="3"/>
    </row>
    <row r="7627" spans="1:8">
      <c r="A7627" s="748">
        <v>45764</v>
      </c>
      <c r="B7627" s="747"/>
      <c r="C7627" s="747" t="s">
        <v>88</v>
      </c>
      <c r="D7627" s="3" t="s">
        <v>208</v>
      </c>
      <c r="E7627" s="1497">
        <v>191250</v>
      </c>
      <c r="F7627" s="1497"/>
      <c r="G7627" s="747" t="s">
        <v>56</v>
      </c>
      <c r="H7627" s="3"/>
    </row>
    <row r="7628" spans="1:8">
      <c r="A7628" s="748">
        <v>45764</v>
      </c>
      <c r="B7628" s="747"/>
      <c r="C7628" s="747" t="s">
        <v>88</v>
      </c>
      <c r="D7628" s="3" t="s">
        <v>144</v>
      </c>
      <c r="E7628" s="1497">
        <v>400000</v>
      </c>
      <c r="F7628" s="1497"/>
      <c r="G7628" s="747" t="s">
        <v>56</v>
      </c>
      <c r="H7628" s="3"/>
    </row>
    <row r="7629" spans="1:8">
      <c r="A7629" s="748">
        <v>45764</v>
      </c>
      <c r="B7629" s="747"/>
      <c r="C7629" s="747" t="s">
        <v>88</v>
      </c>
      <c r="D7629" s="3" t="s">
        <v>144</v>
      </c>
      <c r="E7629" s="1497">
        <v>57000</v>
      </c>
      <c r="F7629" s="1497"/>
      <c r="G7629" s="747" t="s">
        <v>56</v>
      </c>
      <c r="H7629" s="3"/>
    </row>
    <row r="7630" spans="1:8">
      <c r="A7630" s="748">
        <v>45764</v>
      </c>
      <c r="B7630" s="747"/>
      <c r="C7630" s="747" t="s">
        <v>88</v>
      </c>
      <c r="D7630" s="3" t="s">
        <v>193</v>
      </c>
      <c r="E7630" s="1497">
        <v>130000</v>
      </c>
      <c r="F7630" s="1497"/>
      <c r="G7630" s="747" t="s">
        <v>56</v>
      </c>
      <c r="H7630" s="3"/>
    </row>
    <row r="7631" spans="1:8">
      <c r="A7631" s="748">
        <v>45764</v>
      </c>
      <c r="B7631" s="747"/>
      <c r="C7631" s="747" t="s">
        <v>79</v>
      </c>
      <c r="D7631" s="3" t="s">
        <v>3451</v>
      </c>
      <c r="E7631" s="1497">
        <v>436000</v>
      </c>
      <c r="F7631" s="1497"/>
      <c r="G7631" s="747" t="s">
        <v>27</v>
      </c>
      <c r="H7631" s="3"/>
    </row>
    <row r="7632" spans="1:8">
      <c r="A7632" s="748">
        <v>45764</v>
      </c>
      <c r="B7632" s="747"/>
      <c r="C7632" s="747" t="s">
        <v>92</v>
      </c>
      <c r="D7632" s="3" t="s">
        <v>412</v>
      </c>
      <c r="E7632" s="1497"/>
      <c r="F7632" s="1497">
        <v>657000</v>
      </c>
      <c r="G7632" s="747" t="s">
        <v>56</v>
      </c>
      <c r="H7632" s="3"/>
    </row>
    <row r="7633" spans="1:8" ht="15.75" thickBot="1">
      <c r="A7633" s="750">
        <v>45764</v>
      </c>
      <c r="B7633" s="749"/>
      <c r="C7633" s="749" t="s">
        <v>55</v>
      </c>
      <c r="D7633" s="3" t="s">
        <v>70</v>
      </c>
      <c r="E7633" s="1497">
        <v>9788</v>
      </c>
      <c r="F7633" s="1497"/>
      <c r="G7633" s="749" t="s">
        <v>56</v>
      </c>
      <c r="H7633" s="85"/>
    </row>
    <row r="7634" spans="1:8" ht="15.75" thickBot="1">
      <c r="A7634" s="244"/>
      <c r="B7634" s="244"/>
      <c r="C7634" s="244"/>
      <c r="D7634" s="115"/>
      <c r="E7634" s="1492"/>
      <c r="F7634" s="1492"/>
      <c r="G7634" s="244"/>
      <c r="H7634" s="201">
        <v>45758</v>
      </c>
    </row>
    <row r="7635" spans="1:8">
      <c r="A7635" s="244"/>
      <c r="B7635" s="244"/>
      <c r="C7635" s="244"/>
      <c r="D7635" s="115"/>
      <c r="E7635" s="1492"/>
      <c r="F7635" s="1492"/>
      <c r="G7635" s="244"/>
      <c r="H7635" s="199" t="s">
        <v>3626</v>
      </c>
    </row>
    <row r="7636" spans="1:8">
      <c r="A7636" s="244"/>
      <c r="B7636" s="244"/>
      <c r="C7636" s="244"/>
      <c r="D7636" s="115"/>
      <c r="E7636" s="1492"/>
      <c r="F7636" s="1492"/>
      <c r="G7636" s="244"/>
      <c r="H7636" s="137" t="s">
        <v>3625</v>
      </c>
    </row>
    <row r="7637" spans="1:8">
      <c r="A7637" s="244"/>
      <c r="B7637" s="244"/>
      <c r="C7637" s="244"/>
      <c r="D7637" s="115"/>
      <c r="E7637" s="1492"/>
      <c r="F7637" s="1492"/>
      <c r="G7637" s="244"/>
      <c r="H7637" s="138" t="s">
        <v>3622</v>
      </c>
    </row>
    <row r="7638" spans="1:8">
      <c r="A7638" s="244"/>
      <c r="B7638" s="244"/>
      <c r="C7638" s="244"/>
      <c r="D7638" s="115"/>
      <c r="E7638" s="1492"/>
      <c r="F7638" s="1492"/>
      <c r="G7638" s="244"/>
      <c r="H7638" s="138" t="s">
        <v>3623</v>
      </c>
    </row>
    <row r="7639" spans="1:8">
      <c r="A7639" s="244"/>
      <c r="B7639" s="244"/>
      <c r="C7639" s="244"/>
      <c r="D7639" s="115"/>
      <c r="E7639" s="1492"/>
      <c r="F7639" s="1492"/>
      <c r="G7639" s="244"/>
      <c r="H7639" s="138" t="s">
        <v>3628</v>
      </c>
    </row>
    <row r="7640" spans="1:8">
      <c r="A7640" s="244"/>
      <c r="B7640" s="244"/>
      <c r="C7640" s="244"/>
      <c r="D7640" s="115"/>
      <c r="E7640" s="1492"/>
      <c r="F7640" s="1492"/>
      <c r="G7640" s="244"/>
      <c r="H7640" s="138" t="s">
        <v>3624</v>
      </c>
    </row>
    <row r="7641" spans="1:8">
      <c r="A7641" s="244"/>
      <c r="B7641" s="244"/>
      <c r="C7641" s="244"/>
      <c r="D7641" s="115"/>
      <c r="E7641" s="1492"/>
      <c r="F7641" s="1492"/>
      <c r="G7641" s="244"/>
      <c r="H7641" s="138" t="s">
        <v>3627</v>
      </c>
    </row>
    <row r="7642" spans="1:8" ht="15.75" thickBot="1">
      <c r="A7642" s="244"/>
      <c r="B7642" s="244"/>
      <c r="C7642" s="244"/>
      <c r="D7642" s="115"/>
      <c r="E7642" s="1492"/>
      <c r="F7642" s="1492"/>
      <c r="G7642" s="244"/>
      <c r="H7642" s="139" t="s">
        <v>3630</v>
      </c>
    </row>
    <row r="7643" spans="1:8" ht="15.75" thickBot="1">
      <c r="A7643" s="244"/>
      <c r="B7643" s="244"/>
      <c r="C7643" s="244"/>
      <c r="D7643" s="115"/>
      <c r="E7643" s="1492"/>
      <c r="F7643" s="1492"/>
      <c r="G7643" s="244"/>
      <c r="H7643" s="538" t="s">
        <v>3629</v>
      </c>
    </row>
    <row r="7644" spans="1:8">
      <c r="A7644" s="751">
        <v>45768</v>
      </c>
      <c r="B7644" s="752"/>
      <c r="C7644" s="752"/>
      <c r="D7644" s="3" t="s">
        <v>3667</v>
      </c>
      <c r="E7644" s="1497"/>
      <c r="F7644" s="1497">
        <v>250000</v>
      </c>
      <c r="G7644" s="752" t="s">
        <v>56</v>
      </c>
      <c r="H7644" s="183"/>
    </row>
    <row r="7645" spans="1:8">
      <c r="A7645" s="751">
        <v>45768</v>
      </c>
      <c r="B7645" s="752"/>
      <c r="C7645" s="752" t="s">
        <v>86</v>
      </c>
      <c r="D7645" s="3" t="s">
        <v>107</v>
      </c>
      <c r="E7645" s="1497">
        <v>38249.050000000003</v>
      </c>
      <c r="F7645" s="1497"/>
      <c r="G7645" s="752" t="s">
        <v>27</v>
      </c>
      <c r="H7645" s="45" t="s">
        <v>454</v>
      </c>
    </row>
    <row r="7646" spans="1:8">
      <c r="A7646" s="751">
        <v>45768</v>
      </c>
      <c r="B7646" s="752"/>
      <c r="C7646" s="752" t="s">
        <v>831</v>
      </c>
      <c r="D7646" s="3" t="s">
        <v>831</v>
      </c>
      <c r="E7646" s="1497">
        <v>40000</v>
      </c>
      <c r="F7646" s="1497"/>
      <c r="G7646" s="752"/>
      <c r="H7646" s="45"/>
    </row>
    <row r="7647" spans="1:8">
      <c r="A7647" s="751">
        <v>45768</v>
      </c>
      <c r="B7647" s="752"/>
      <c r="C7647" s="752" t="s">
        <v>79</v>
      </c>
      <c r="D7647" s="3" t="s">
        <v>79</v>
      </c>
      <c r="E7647" s="1497">
        <v>10000</v>
      </c>
      <c r="F7647" s="1497"/>
      <c r="G7647" s="752" t="s">
        <v>56</v>
      </c>
      <c r="H7647" s="45"/>
    </row>
    <row r="7648" spans="1:8">
      <c r="A7648" s="751">
        <v>45768</v>
      </c>
      <c r="B7648" s="752"/>
      <c r="C7648" s="752" t="s">
        <v>730</v>
      </c>
      <c r="D7648" s="3" t="s">
        <v>3664</v>
      </c>
      <c r="E7648" s="1497">
        <v>150000</v>
      </c>
      <c r="F7648" s="1497"/>
      <c r="G7648" s="752" t="s">
        <v>27</v>
      </c>
      <c r="H7648" s="45"/>
    </row>
    <row r="7649" spans="1:8">
      <c r="A7649" s="751">
        <v>45768</v>
      </c>
      <c r="B7649" s="752"/>
      <c r="C7649" s="752" t="s">
        <v>92</v>
      </c>
      <c r="D7649" s="15" t="s">
        <v>404</v>
      </c>
      <c r="E7649" s="1497"/>
      <c r="F7649" s="1497">
        <v>84800</v>
      </c>
      <c r="G7649" s="752" t="s">
        <v>56</v>
      </c>
      <c r="H7649" s="45"/>
    </row>
    <row r="7650" spans="1:8">
      <c r="A7650" s="751">
        <v>45768</v>
      </c>
      <c r="B7650" s="752"/>
      <c r="C7650" s="752" t="s">
        <v>92</v>
      </c>
      <c r="D7650" s="15" t="s">
        <v>3665</v>
      </c>
      <c r="E7650" s="1497"/>
      <c r="F7650" s="1497">
        <v>497200</v>
      </c>
      <c r="G7650" s="752" t="s">
        <v>56</v>
      </c>
      <c r="H7650" s="45"/>
    </row>
    <row r="7651" spans="1:8">
      <c r="A7651" s="751">
        <v>45768</v>
      </c>
      <c r="B7651" s="752"/>
      <c r="C7651" s="752" t="s">
        <v>92</v>
      </c>
      <c r="D7651" s="3" t="s">
        <v>1889</v>
      </c>
      <c r="E7651" s="1497"/>
      <c r="F7651" s="1497">
        <v>88000</v>
      </c>
      <c r="G7651" s="752" t="s">
        <v>27</v>
      </c>
      <c r="H7651" s="45"/>
    </row>
    <row r="7652" spans="1:8">
      <c r="A7652" s="751">
        <v>45768</v>
      </c>
      <c r="B7652" s="752"/>
      <c r="C7652" s="752" t="s">
        <v>77</v>
      </c>
      <c r="D7652" s="3" t="s">
        <v>3668</v>
      </c>
      <c r="E7652" s="1497"/>
      <c r="F7652" s="1497">
        <v>300000</v>
      </c>
      <c r="G7652" s="752" t="s">
        <v>72</v>
      </c>
      <c r="H7652" s="45" t="s">
        <v>3669</v>
      </c>
    </row>
    <row r="7653" spans="1:8">
      <c r="A7653" s="751">
        <v>45769</v>
      </c>
      <c r="B7653" s="752"/>
      <c r="C7653" s="752" t="s">
        <v>199</v>
      </c>
      <c r="D7653" s="3" t="s">
        <v>3666</v>
      </c>
      <c r="E7653" s="1497"/>
      <c r="F7653" s="1497">
        <v>625000</v>
      </c>
      <c r="G7653" s="752" t="s">
        <v>27</v>
      </c>
      <c r="H7653" s="45" t="s">
        <v>1606</v>
      </c>
    </row>
    <row r="7654" spans="1:8">
      <c r="A7654" s="751">
        <v>45769</v>
      </c>
      <c r="B7654" s="752"/>
      <c r="C7654" s="752" t="s">
        <v>199</v>
      </c>
      <c r="D7654" s="15" t="s">
        <v>48</v>
      </c>
      <c r="E7654" s="1497">
        <v>443828.13</v>
      </c>
      <c r="F7654" s="1497"/>
      <c r="G7654" s="752" t="s">
        <v>27</v>
      </c>
      <c r="H7654" s="45"/>
    </row>
    <row r="7655" spans="1:8">
      <c r="A7655" s="751">
        <v>45769</v>
      </c>
      <c r="B7655" s="752"/>
      <c r="C7655" s="752" t="s">
        <v>205</v>
      </c>
      <c r="D7655" s="3" t="s">
        <v>71</v>
      </c>
      <c r="E7655" s="1497">
        <v>261326</v>
      </c>
      <c r="F7655" s="1497"/>
      <c r="G7655" s="752" t="s">
        <v>27</v>
      </c>
      <c r="H7655" s="45"/>
    </row>
    <row r="7656" spans="1:8">
      <c r="A7656" s="751">
        <v>45769</v>
      </c>
      <c r="B7656" s="752"/>
      <c r="C7656" s="752" t="s">
        <v>79</v>
      </c>
      <c r="D7656" s="3" t="s">
        <v>79</v>
      </c>
      <c r="E7656" s="1497">
        <v>30169.99</v>
      </c>
      <c r="F7656" s="1497"/>
      <c r="G7656" s="752" t="s">
        <v>27</v>
      </c>
      <c r="H7656" s="45"/>
    </row>
    <row r="7657" spans="1:8">
      <c r="A7657" s="751">
        <v>45769</v>
      </c>
      <c r="B7657" s="752"/>
      <c r="C7657" s="752" t="s">
        <v>79</v>
      </c>
      <c r="D7657" s="3" t="s">
        <v>79</v>
      </c>
      <c r="E7657" s="1497">
        <v>14214</v>
      </c>
      <c r="F7657" s="1497"/>
      <c r="G7657" s="752" t="s">
        <v>27</v>
      </c>
      <c r="H7657" s="45"/>
    </row>
    <row r="7658" spans="1:8">
      <c r="A7658" s="751">
        <v>45769</v>
      </c>
      <c r="B7658" s="752"/>
      <c r="C7658" s="752" t="s">
        <v>205</v>
      </c>
      <c r="D7658" s="3" t="s">
        <v>48</v>
      </c>
      <c r="E7658" s="1497">
        <v>500000</v>
      </c>
      <c r="F7658" s="1497"/>
      <c r="G7658" s="752" t="s">
        <v>56</v>
      </c>
      <c r="H7658" s="45"/>
    </row>
    <row r="7659" spans="1:8">
      <c r="A7659" s="751">
        <v>45769</v>
      </c>
      <c r="B7659" s="752"/>
      <c r="C7659" s="752" t="s">
        <v>92</v>
      </c>
      <c r="D7659" s="3" t="s">
        <v>485</v>
      </c>
      <c r="E7659" s="1497"/>
      <c r="F7659" s="1497">
        <v>124900</v>
      </c>
      <c r="G7659" s="752" t="s">
        <v>27</v>
      </c>
      <c r="H7659" s="45"/>
    </row>
    <row r="7660" spans="1:8">
      <c r="A7660" s="751">
        <v>45769</v>
      </c>
      <c r="B7660" s="752"/>
      <c r="C7660" s="752" t="s">
        <v>92</v>
      </c>
      <c r="D7660" s="3" t="s">
        <v>3670</v>
      </c>
      <c r="E7660" s="1497"/>
      <c r="F7660" s="1497">
        <v>185000</v>
      </c>
      <c r="G7660" s="752" t="s">
        <v>56</v>
      </c>
      <c r="H7660" s="45"/>
    </row>
    <row r="7661" spans="1:8">
      <c r="A7661" s="751">
        <v>45769</v>
      </c>
      <c r="B7661" s="752"/>
      <c r="C7661" s="752" t="s">
        <v>77</v>
      </c>
      <c r="D7661" s="3" t="s">
        <v>610</v>
      </c>
      <c r="E7661" s="1497"/>
      <c r="F7661" s="1497">
        <v>9500</v>
      </c>
      <c r="G7661" s="752" t="s">
        <v>56</v>
      </c>
      <c r="H7661" s="45"/>
    </row>
    <row r="7662" spans="1:8">
      <c r="A7662" s="751">
        <v>45769</v>
      </c>
      <c r="B7662" s="752"/>
      <c r="C7662" s="752" t="s">
        <v>831</v>
      </c>
      <c r="D7662" s="3" t="s">
        <v>2254</v>
      </c>
      <c r="E7662" s="1497">
        <v>32000</v>
      </c>
      <c r="F7662" s="1497"/>
      <c r="G7662" s="752" t="s">
        <v>56</v>
      </c>
      <c r="H7662" s="45" t="s">
        <v>454</v>
      </c>
    </row>
    <row r="7663" spans="1:8">
      <c r="A7663" s="751">
        <v>45769</v>
      </c>
      <c r="B7663" s="752"/>
      <c r="C7663" s="752" t="s">
        <v>86</v>
      </c>
      <c r="D7663" s="3" t="s">
        <v>534</v>
      </c>
      <c r="E7663" s="1497">
        <v>40000</v>
      </c>
      <c r="F7663" s="1497"/>
      <c r="G7663" s="752" t="s">
        <v>56</v>
      </c>
      <c r="H7663" s="45" t="s">
        <v>454</v>
      </c>
    </row>
    <row r="7664" spans="1:8">
      <c r="A7664" s="754">
        <v>45770</v>
      </c>
      <c r="B7664" s="752"/>
      <c r="C7664" s="752" t="s">
        <v>90</v>
      </c>
      <c r="D7664" s="3" t="s">
        <v>3671</v>
      </c>
      <c r="E7664" s="1497">
        <v>20000</v>
      </c>
      <c r="F7664" s="1497"/>
      <c r="G7664" s="753" t="s">
        <v>206</v>
      </c>
      <c r="H7664" s="45" t="s">
        <v>3672</v>
      </c>
    </row>
    <row r="7665" spans="1:8">
      <c r="A7665" s="754">
        <v>45770</v>
      </c>
      <c r="B7665" s="752"/>
      <c r="C7665" s="753" t="s">
        <v>90</v>
      </c>
      <c r="D7665" s="3" t="s">
        <v>3671</v>
      </c>
      <c r="E7665" s="1497">
        <v>66700</v>
      </c>
      <c r="F7665" s="1497"/>
      <c r="G7665" s="752" t="s">
        <v>56</v>
      </c>
      <c r="H7665" s="3"/>
    </row>
    <row r="7666" spans="1:8">
      <c r="A7666" s="754">
        <v>45770</v>
      </c>
      <c r="B7666" s="753"/>
      <c r="C7666" s="753" t="s">
        <v>88</v>
      </c>
      <c r="D7666" s="3" t="s">
        <v>208</v>
      </c>
      <c r="E7666" s="1497">
        <v>40000</v>
      </c>
      <c r="F7666" s="1497"/>
      <c r="G7666" s="753" t="s">
        <v>56</v>
      </c>
      <c r="H7666" s="3"/>
    </row>
    <row r="7667" spans="1:8">
      <c r="A7667" s="755">
        <v>45770</v>
      </c>
      <c r="B7667" s="756"/>
      <c r="C7667" s="756" t="s">
        <v>205</v>
      </c>
      <c r="D7667" s="3" t="s">
        <v>647</v>
      </c>
      <c r="E7667" s="1497">
        <v>200000</v>
      </c>
      <c r="F7667" s="1497"/>
      <c r="G7667" s="756" t="s">
        <v>72</v>
      </c>
      <c r="H7667" s="3"/>
    </row>
    <row r="7668" spans="1:8">
      <c r="A7668" s="755">
        <v>45770</v>
      </c>
      <c r="B7668" s="756"/>
      <c r="C7668" s="756" t="s">
        <v>205</v>
      </c>
      <c r="D7668" s="3" t="s">
        <v>647</v>
      </c>
      <c r="E7668" s="1497">
        <v>878900</v>
      </c>
      <c r="F7668" s="1497"/>
      <c r="G7668" s="756" t="s">
        <v>72</v>
      </c>
      <c r="H7668" s="3"/>
    </row>
    <row r="7669" spans="1:8">
      <c r="A7669" s="755">
        <v>45770</v>
      </c>
      <c r="B7669" s="753"/>
      <c r="C7669" s="753" t="s">
        <v>92</v>
      </c>
      <c r="D7669" s="3" t="s">
        <v>3673</v>
      </c>
      <c r="E7669" s="1497"/>
      <c r="F7669" s="1497">
        <v>160000</v>
      </c>
      <c r="G7669" s="753" t="s">
        <v>27</v>
      </c>
      <c r="H7669" s="3"/>
    </row>
    <row r="7670" spans="1:8">
      <c r="A7670" s="755">
        <v>45771</v>
      </c>
      <c r="B7670" s="753"/>
      <c r="C7670" s="753" t="s">
        <v>65</v>
      </c>
      <c r="D7670" s="3" t="s">
        <v>2188</v>
      </c>
      <c r="E7670" s="1497">
        <v>59635.99</v>
      </c>
      <c r="F7670" s="1497"/>
      <c r="G7670" s="753" t="s">
        <v>27</v>
      </c>
      <c r="H7670" s="3"/>
    </row>
    <row r="7671" spans="1:8">
      <c r="A7671" s="755">
        <v>45771</v>
      </c>
      <c r="B7671" s="753"/>
      <c r="C7671" s="756" t="s">
        <v>65</v>
      </c>
      <c r="D7671" s="3" t="s">
        <v>2552</v>
      </c>
      <c r="E7671" s="1497">
        <v>11499.84</v>
      </c>
      <c r="F7671" s="1497"/>
      <c r="G7671" s="753" t="s">
        <v>27</v>
      </c>
      <c r="H7671" s="3"/>
    </row>
    <row r="7672" spans="1:8">
      <c r="A7672" s="755">
        <v>45771</v>
      </c>
      <c r="B7672" s="753"/>
      <c r="C7672" s="756" t="s">
        <v>65</v>
      </c>
      <c r="D7672" s="3" t="s">
        <v>2553</v>
      </c>
      <c r="E7672" s="1497">
        <v>12649.84</v>
      </c>
      <c r="F7672" s="1497"/>
      <c r="G7672" s="753" t="s">
        <v>27</v>
      </c>
      <c r="H7672" s="3"/>
    </row>
    <row r="7673" spans="1:8">
      <c r="A7673" s="755">
        <v>45771</v>
      </c>
      <c r="B7673" s="756"/>
      <c r="C7673" s="756" t="s">
        <v>90</v>
      </c>
      <c r="D7673" s="3" t="s">
        <v>1951</v>
      </c>
      <c r="E7673" s="1497">
        <v>11000</v>
      </c>
      <c r="F7673" s="1497"/>
      <c r="G7673" s="756" t="s">
        <v>56</v>
      </c>
      <c r="H7673" s="3"/>
    </row>
    <row r="7674" spans="1:8">
      <c r="A7674" s="755">
        <v>45771</v>
      </c>
      <c r="B7674" s="756"/>
      <c r="C7674" s="756" t="s">
        <v>205</v>
      </c>
      <c r="D7674" s="3" t="s">
        <v>3674</v>
      </c>
      <c r="E7674" s="1497"/>
      <c r="F7674" s="1497">
        <v>50000</v>
      </c>
      <c r="G7674" s="756" t="s">
        <v>56</v>
      </c>
      <c r="H7674" s="3"/>
    </row>
    <row r="7675" spans="1:8">
      <c r="A7675" s="755">
        <v>45771</v>
      </c>
      <c r="B7675" s="756"/>
      <c r="C7675" s="756" t="s">
        <v>205</v>
      </c>
      <c r="D7675" s="3" t="s">
        <v>3675</v>
      </c>
      <c r="E7675" s="1497">
        <v>10000</v>
      </c>
      <c r="F7675" s="1497"/>
      <c r="G7675" s="756" t="s">
        <v>56</v>
      </c>
      <c r="H7675" s="45" t="s">
        <v>3676</v>
      </c>
    </row>
    <row r="7676" spans="1:8">
      <c r="A7676" s="755">
        <v>45771</v>
      </c>
      <c r="B7676" s="756"/>
      <c r="C7676" s="756" t="s">
        <v>79</v>
      </c>
      <c r="D7676" s="3" t="s">
        <v>79</v>
      </c>
      <c r="E7676" s="1497">
        <v>16000</v>
      </c>
      <c r="F7676" s="1497"/>
      <c r="G7676" s="756" t="s">
        <v>56</v>
      </c>
      <c r="H7676" s="3"/>
    </row>
    <row r="7677" spans="1:8">
      <c r="A7677" s="755">
        <v>45771</v>
      </c>
      <c r="B7677" s="756"/>
      <c r="C7677" s="756" t="s">
        <v>205</v>
      </c>
      <c r="D7677" s="3" t="s">
        <v>43</v>
      </c>
      <c r="E7677" s="1497">
        <v>322048</v>
      </c>
      <c r="F7677" s="1497"/>
      <c r="G7677" s="756" t="s">
        <v>27</v>
      </c>
      <c r="H7677" s="45" t="s">
        <v>3676</v>
      </c>
    </row>
    <row r="7678" spans="1:8">
      <c r="A7678" s="758">
        <v>45772</v>
      </c>
      <c r="B7678" s="756"/>
      <c r="C7678" s="756" t="s">
        <v>92</v>
      </c>
      <c r="D7678" s="3" t="s">
        <v>2077</v>
      </c>
      <c r="E7678" s="1497"/>
      <c r="F7678" s="1497">
        <v>28900</v>
      </c>
      <c r="G7678" s="756" t="s">
        <v>27</v>
      </c>
      <c r="H7678" s="3"/>
    </row>
    <row r="7679" spans="1:8">
      <c r="A7679" s="758">
        <v>45772</v>
      </c>
      <c r="B7679" s="756"/>
      <c r="C7679" s="756" t="s">
        <v>205</v>
      </c>
      <c r="D7679" s="3" t="s">
        <v>48</v>
      </c>
      <c r="E7679" s="1497">
        <v>250000</v>
      </c>
      <c r="F7679" s="1497"/>
      <c r="G7679" s="756" t="s">
        <v>27</v>
      </c>
      <c r="H7679" s="3"/>
    </row>
    <row r="7680" spans="1:8">
      <c r="A7680" s="758">
        <v>45772</v>
      </c>
      <c r="B7680" s="757"/>
      <c r="C7680" s="757" t="s">
        <v>77</v>
      </c>
      <c r="D7680" s="3" t="s">
        <v>3677</v>
      </c>
      <c r="E7680" s="1497"/>
      <c r="F7680" s="1497">
        <v>101000</v>
      </c>
      <c r="G7680" s="757" t="s">
        <v>56</v>
      </c>
      <c r="H7680" s="3"/>
    </row>
    <row r="7681" spans="1:8">
      <c r="A7681" s="758">
        <v>45772</v>
      </c>
      <c r="B7681" s="757"/>
      <c r="C7681" s="757" t="s">
        <v>88</v>
      </c>
      <c r="D7681" s="3" t="s">
        <v>208</v>
      </c>
      <c r="E7681" s="1497">
        <v>172500</v>
      </c>
      <c r="F7681" s="1497"/>
      <c r="G7681" s="757" t="s">
        <v>56</v>
      </c>
      <c r="H7681" s="3"/>
    </row>
    <row r="7682" spans="1:8">
      <c r="A7682" s="758">
        <v>45772</v>
      </c>
      <c r="B7682" s="757"/>
      <c r="C7682" s="757" t="s">
        <v>88</v>
      </c>
      <c r="D7682" s="3" t="s">
        <v>219</v>
      </c>
      <c r="E7682" s="1497">
        <v>237000</v>
      </c>
      <c r="F7682" s="1497"/>
      <c r="G7682" s="757" t="s">
        <v>56</v>
      </c>
      <c r="H7682" s="3"/>
    </row>
    <row r="7683" spans="1:8">
      <c r="A7683" s="758">
        <v>45772</v>
      </c>
      <c r="B7683" s="757"/>
      <c r="C7683" s="757" t="s">
        <v>88</v>
      </c>
      <c r="D7683" s="3" t="s">
        <v>144</v>
      </c>
      <c r="E7683" s="1497">
        <v>457000</v>
      </c>
      <c r="F7683" s="1497"/>
      <c r="G7683" s="757" t="s">
        <v>56</v>
      </c>
      <c r="H7683" s="3"/>
    </row>
    <row r="7684" spans="1:8" ht="15.75" thickBot="1">
      <c r="A7684" s="119">
        <v>45772</v>
      </c>
      <c r="B7684" s="57"/>
      <c r="C7684" s="764" t="s">
        <v>88</v>
      </c>
      <c r="D7684" s="3" t="s">
        <v>193</v>
      </c>
      <c r="E7684" s="1497">
        <v>130000</v>
      </c>
      <c r="F7684" s="1497"/>
      <c r="G7684" s="764" t="s">
        <v>56</v>
      </c>
      <c r="H7684" s="85"/>
    </row>
    <row r="7685" spans="1:8" ht="15.75" thickBot="1">
      <c r="A7685" s="148"/>
      <c r="B7685" s="244"/>
      <c r="C7685" s="244"/>
      <c r="D7685" s="115"/>
      <c r="E7685" s="1492"/>
      <c r="F7685" s="1492"/>
      <c r="G7685" s="244"/>
      <c r="H7685" s="201">
        <v>45772</v>
      </c>
    </row>
    <row r="7686" spans="1:8">
      <c r="A7686" s="244"/>
      <c r="B7686" s="244"/>
      <c r="C7686" s="244"/>
      <c r="D7686" s="115"/>
      <c r="E7686" s="1492"/>
      <c r="F7686" s="1492"/>
      <c r="G7686" s="244"/>
      <c r="H7686" s="199" t="s">
        <v>3626</v>
      </c>
    </row>
    <row r="7687" spans="1:8">
      <c r="A7687" s="244"/>
      <c r="B7687" s="244"/>
      <c r="C7687" s="244"/>
      <c r="D7687" s="115"/>
      <c r="E7687" s="1492"/>
      <c r="F7687" s="1492"/>
      <c r="G7687" s="244"/>
      <c r="H7687" s="137" t="s">
        <v>3625</v>
      </c>
    </row>
    <row r="7688" spans="1:8">
      <c r="H7688" s="138" t="s">
        <v>3679</v>
      </c>
    </row>
    <row r="7689" spans="1:8">
      <c r="H7689" s="138" t="s">
        <v>3680</v>
      </c>
    </row>
    <row r="7690" spans="1:8">
      <c r="H7690" s="138" t="s">
        <v>3628</v>
      </c>
    </row>
    <row r="7691" spans="1:8">
      <c r="H7691" s="138" t="s">
        <v>3604</v>
      </c>
    </row>
    <row r="7692" spans="1:8">
      <c r="H7692" s="138" t="s">
        <v>3627</v>
      </c>
    </row>
    <row r="7693" spans="1:8" ht="15.75" thickBot="1">
      <c r="H7693" s="139" t="s">
        <v>3630</v>
      </c>
    </row>
    <row r="7694" spans="1:8" ht="15.75" thickBot="1">
      <c r="H7694" s="538" t="s">
        <v>3629</v>
      </c>
    </row>
    <row r="7695" spans="1:8">
      <c r="A7695" s="762">
        <v>45775</v>
      </c>
      <c r="B7695" s="763"/>
      <c r="C7695" s="763" t="s">
        <v>205</v>
      </c>
      <c r="D7695" s="3" t="s">
        <v>63</v>
      </c>
      <c r="E7695" s="1497">
        <v>1200</v>
      </c>
      <c r="F7695" s="1497"/>
      <c r="G7695" s="763" t="s">
        <v>56</v>
      </c>
      <c r="H7695" s="5"/>
    </row>
    <row r="7696" spans="1:8">
      <c r="A7696" s="762">
        <v>45775</v>
      </c>
      <c r="B7696" s="763"/>
      <c r="C7696" s="763" t="s">
        <v>205</v>
      </c>
      <c r="D7696" s="3" t="s">
        <v>71</v>
      </c>
      <c r="E7696" s="1497">
        <v>1361000</v>
      </c>
      <c r="F7696" s="1497"/>
      <c r="G7696" s="763" t="s">
        <v>614</v>
      </c>
      <c r="H7696" s="3"/>
    </row>
    <row r="7697" spans="1:8">
      <c r="A7697" s="762">
        <v>45775</v>
      </c>
      <c r="B7697" s="763"/>
      <c r="C7697" s="763" t="s">
        <v>92</v>
      </c>
      <c r="D7697" s="3" t="s">
        <v>3681</v>
      </c>
      <c r="E7697" s="1497"/>
      <c r="F7697" s="1497">
        <v>24000</v>
      </c>
      <c r="G7697" s="763" t="s">
        <v>56</v>
      </c>
      <c r="H7697" s="3"/>
    </row>
    <row r="7698" spans="1:8">
      <c r="A7698" s="762">
        <v>45775</v>
      </c>
      <c r="B7698" s="763"/>
      <c r="C7698" s="763" t="s">
        <v>92</v>
      </c>
      <c r="D7698" s="3" t="s">
        <v>2825</v>
      </c>
      <c r="E7698" s="1497"/>
      <c r="F7698" s="1497">
        <v>49000</v>
      </c>
      <c r="G7698" s="763" t="s">
        <v>56</v>
      </c>
      <c r="H7698" s="3"/>
    </row>
    <row r="7699" spans="1:8">
      <c r="A7699" s="762">
        <v>45775</v>
      </c>
      <c r="B7699" s="763"/>
      <c r="C7699" s="763" t="s">
        <v>77</v>
      </c>
      <c r="D7699" s="3" t="s">
        <v>3682</v>
      </c>
      <c r="E7699" s="1497"/>
      <c r="F7699" s="1497">
        <v>2093000</v>
      </c>
      <c r="G7699" s="763" t="s">
        <v>72</v>
      </c>
      <c r="H7699" s="3" t="s">
        <v>3683</v>
      </c>
    </row>
    <row r="7700" spans="1:8">
      <c r="A7700" s="762">
        <v>45775</v>
      </c>
      <c r="B7700" s="763"/>
      <c r="C7700" s="763" t="s">
        <v>92</v>
      </c>
      <c r="D7700" s="3" t="s">
        <v>2198</v>
      </c>
      <c r="E7700" s="1497"/>
      <c r="F7700" s="1497">
        <v>298082.57</v>
      </c>
      <c r="G7700" s="763" t="s">
        <v>27</v>
      </c>
      <c r="H7700" s="3"/>
    </row>
    <row r="7701" spans="1:8">
      <c r="A7701" s="765">
        <v>45776</v>
      </c>
      <c r="B7701" s="763"/>
      <c r="C7701" s="763" t="s">
        <v>77</v>
      </c>
      <c r="D7701" s="3" t="s">
        <v>3684</v>
      </c>
      <c r="E7701" s="1497"/>
      <c r="F7701" s="1497">
        <v>320000</v>
      </c>
      <c r="G7701" s="763" t="s">
        <v>56</v>
      </c>
      <c r="H7701" s="3"/>
    </row>
    <row r="7702" spans="1:8">
      <c r="A7702" s="765">
        <v>45776</v>
      </c>
      <c r="B7702" s="763"/>
      <c r="C7702" s="763" t="s">
        <v>92</v>
      </c>
      <c r="D7702" s="3" t="s">
        <v>3685</v>
      </c>
      <c r="E7702" s="1497"/>
      <c r="F7702" s="1497">
        <v>28300</v>
      </c>
      <c r="G7702" s="763" t="s">
        <v>27</v>
      </c>
      <c r="H7702" s="3"/>
    </row>
    <row r="7703" spans="1:8">
      <c r="A7703" s="765">
        <v>45776</v>
      </c>
      <c r="B7703" s="763"/>
      <c r="C7703" s="763" t="s">
        <v>185</v>
      </c>
      <c r="D7703" s="3" t="s">
        <v>800</v>
      </c>
      <c r="E7703" s="1497"/>
      <c r="F7703" s="1497">
        <v>13500000</v>
      </c>
      <c r="G7703" s="764" t="s">
        <v>27</v>
      </c>
      <c r="H7703" s="3"/>
    </row>
    <row r="7704" spans="1:8">
      <c r="A7704" s="765">
        <v>45776</v>
      </c>
      <c r="B7704" s="763"/>
      <c r="C7704" s="763" t="s">
        <v>185</v>
      </c>
      <c r="D7704" s="3" t="s">
        <v>185</v>
      </c>
      <c r="E7704" s="1497"/>
      <c r="F7704" s="1497">
        <v>11800000</v>
      </c>
      <c r="G7704" s="764" t="s">
        <v>27</v>
      </c>
      <c r="H7704" s="3"/>
    </row>
    <row r="7705" spans="1:8">
      <c r="A7705" s="765">
        <v>45776</v>
      </c>
      <c r="B7705" s="763"/>
      <c r="C7705" s="763" t="s">
        <v>79</v>
      </c>
      <c r="D7705" s="3" t="s">
        <v>3686</v>
      </c>
      <c r="E7705" s="1497">
        <v>20000000</v>
      </c>
      <c r="F7705" s="1497"/>
      <c r="G7705" s="764" t="s">
        <v>27</v>
      </c>
      <c r="H7705" s="3"/>
    </row>
    <row r="7706" spans="1:8">
      <c r="A7706" s="766">
        <v>45776</v>
      </c>
      <c r="B7706" s="767"/>
      <c r="C7706" s="767" t="s">
        <v>86</v>
      </c>
      <c r="D7706" s="3" t="s">
        <v>3687</v>
      </c>
      <c r="E7706" s="1497">
        <v>40000</v>
      </c>
      <c r="F7706" s="1497"/>
      <c r="G7706" s="767" t="s">
        <v>56</v>
      </c>
      <c r="H7706" s="3" t="s">
        <v>3688</v>
      </c>
    </row>
    <row r="7707" spans="1:8">
      <c r="A7707" s="766">
        <v>45776</v>
      </c>
      <c r="B7707" s="767"/>
      <c r="C7707" s="767" t="s">
        <v>1177</v>
      </c>
      <c r="D7707" s="3" t="s">
        <v>2254</v>
      </c>
      <c r="E7707" s="1497">
        <v>32200</v>
      </c>
      <c r="F7707" s="1497"/>
      <c r="G7707" s="767" t="s">
        <v>56</v>
      </c>
      <c r="H7707" s="3" t="s">
        <v>3688</v>
      </c>
    </row>
    <row r="7708" spans="1:8">
      <c r="A7708" s="766">
        <v>45776</v>
      </c>
      <c r="B7708" s="767"/>
      <c r="C7708" s="767" t="s">
        <v>205</v>
      </c>
      <c r="D7708" s="3" t="s">
        <v>62</v>
      </c>
      <c r="E7708" s="1497">
        <v>4528</v>
      </c>
      <c r="F7708" s="1497"/>
      <c r="G7708" s="767" t="s">
        <v>56</v>
      </c>
      <c r="H7708" s="3" t="s">
        <v>3688</v>
      </c>
    </row>
    <row r="7709" spans="1:8">
      <c r="A7709" s="766">
        <v>45777</v>
      </c>
      <c r="B7709" s="763"/>
      <c r="C7709" s="763" t="s">
        <v>92</v>
      </c>
      <c r="D7709" s="3" t="s">
        <v>3673</v>
      </c>
      <c r="E7709" s="1497"/>
      <c r="F7709" s="1497">
        <v>33600</v>
      </c>
      <c r="G7709" s="763" t="s">
        <v>27</v>
      </c>
      <c r="H7709" s="3"/>
    </row>
    <row r="7710" spans="1:8">
      <c r="A7710" s="766">
        <v>45777</v>
      </c>
      <c r="B7710" s="763"/>
      <c r="C7710" s="763" t="s">
        <v>205</v>
      </c>
      <c r="D7710" s="3" t="s">
        <v>3689</v>
      </c>
      <c r="E7710" s="1497">
        <v>90000</v>
      </c>
      <c r="F7710" s="1497"/>
      <c r="G7710" s="763" t="s">
        <v>56</v>
      </c>
      <c r="H7710" s="3" t="s">
        <v>3690</v>
      </c>
    </row>
    <row r="7711" spans="1:8">
      <c r="A7711" s="766">
        <v>45777</v>
      </c>
      <c r="B7711" s="763"/>
      <c r="C7711" s="763" t="s">
        <v>79</v>
      </c>
      <c r="D7711" s="3" t="s">
        <v>3686</v>
      </c>
      <c r="E7711" s="1497">
        <v>2500000</v>
      </c>
      <c r="F7711" s="1497"/>
      <c r="G7711" s="763" t="s">
        <v>27</v>
      </c>
      <c r="H7711" s="3"/>
    </row>
    <row r="7712" spans="1:8">
      <c r="A7712" s="766">
        <v>45777</v>
      </c>
      <c r="B7712" s="763"/>
      <c r="C7712" s="763" t="s">
        <v>92</v>
      </c>
      <c r="D7712" s="3" t="s">
        <v>1833</v>
      </c>
      <c r="E7712" s="1497"/>
      <c r="F7712" s="1497">
        <v>137000</v>
      </c>
      <c r="G7712" s="763" t="s">
        <v>56</v>
      </c>
      <c r="H7712" s="3"/>
    </row>
    <row r="7713" spans="1:8">
      <c r="A7713" s="766">
        <v>45777</v>
      </c>
      <c r="B7713" s="763"/>
      <c r="C7713" s="763" t="s">
        <v>205</v>
      </c>
      <c r="D7713" s="3" t="s">
        <v>3691</v>
      </c>
      <c r="E7713" s="1497">
        <v>23705.88</v>
      </c>
      <c r="F7713" s="1497"/>
      <c r="G7713" s="763" t="s">
        <v>56</v>
      </c>
      <c r="H7713" s="3"/>
    </row>
    <row r="7714" spans="1:8">
      <c r="A7714" s="766">
        <v>45777</v>
      </c>
      <c r="B7714" s="763"/>
      <c r="C7714" s="767" t="s">
        <v>205</v>
      </c>
      <c r="D7714" s="3" t="s">
        <v>3691</v>
      </c>
      <c r="E7714" s="1497">
        <v>108937.75</v>
      </c>
      <c r="F7714" s="1497"/>
      <c r="G7714" s="763" t="s">
        <v>56</v>
      </c>
      <c r="H7714" s="3" t="s">
        <v>3692</v>
      </c>
    </row>
    <row r="7715" spans="1:8">
      <c r="A7715" s="769">
        <v>45777</v>
      </c>
      <c r="B7715" s="768"/>
      <c r="C7715" s="768" t="s">
        <v>79</v>
      </c>
      <c r="D7715" s="3" t="s">
        <v>2355</v>
      </c>
      <c r="E7715" s="1497">
        <v>145000</v>
      </c>
      <c r="F7715" s="1497"/>
      <c r="G7715" s="768" t="s">
        <v>56</v>
      </c>
      <c r="H7715" s="3"/>
    </row>
    <row r="7716" spans="1:8">
      <c r="A7716" s="769">
        <v>45777</v>
      </c>
      <c r="B7716" s="768"/>
      <c r="C7716" s="768" t="s">
        <v>79</v>
      </c>
      <c r="D7716" s="15" t="s">
        <v>640</v>
      </c>
      <c r="E7716" s="1497">
        <v>960000</v>
      </c>
      <c r="F7716" s="1497"/>
      <c r="G7716" s="768" t="s">
        <v>56</v>
      </c>
      <c r="H7716" s="3"/>
    </row>
    <row r="7717" spans="1:8">
      <c r="A7717" s="769">
        <v>45777</v>
      </c>
      <c r="B7717" s="768"/>
      <c r="C7717" s="768" t="s">
        <v>90</v>
      </c>
      <c r="D7717" s="3" t="s">
        <v>1951</v>
      </c>
      <c r="E7717" s="1497">
        <v>11000</v>
      </c>
      <c r="F7717" s="1497"/>
      <c r="G7717" s="768" t="s">
        <v>56</v>
      </c>
      <c r="H7717" s="3"/>
    </row>
    <row r="7718" spans="1:8">
      <c r="A7718" s="769">
        <v>45777</v>
      </c>
      <c r="B7718" s="768"/>
      <c r="C7718" s="768" t="s">
        <v>160</v>
      </c>
      <c r="D7718" s="3" t="s">
        <v>3693</v>
      </c>
      <c r="E7718" s="1497"/>
      <c r="F7718" s="1497">
        <v>12000</v>
      </c>
      <c r="G7718" s="768" t="s">
        <v>56</v>
      </c>
      <c r="H7718" s="3"/>
    </row>
    <row r="7719" spans="1:8">
      <c r="A7719" s="769">
        <v>45777</v>
      </c>
      <c r="B7719" s="768"/>
      <c r="C7719" s="768" t="s">
        <v>730</v>
      </c>
      <c r="D7719" s="3" t="s">
        <v>3694</v>
      </c>
      <c r="E7719" s="1497">
        <v>150000</v>
      </c>
      <c r="F7719" s="1497"/>
      <c r="G7719" s="768" t="s">
        <v>27</v>
      </c>
      <c r="H7719" s="3"/>
    </row>
    <row r="7720" spans="1:8">
      <c r="A7720" s="771">
        <v>45777</v>
      </c>
      <c r="B7720" s="772"/>
      <c r="C7720" s="772" t="s">
        <v>86</v>
      </c>
      <c r="D7720" s="15" t="s">
        <v>3440</v>
      </c>
      <c r="E7720" s="1497">
        <v>40000</v>
      </c>
      <c r="F7720" s="1497"/>
      <c r="G7720" s="772" t="s">
        <v>56</v>
      </c>
      <c r="H7720" s="3" t="s">
        <v>3688</v>
      </c>
    </row>
    <row r="7721" spans="1:8">
      <c r="A7721" s="771">
        <v>45777</v>
      </c>
      <c r="B7721" s="772"/>
      <c r="C7721" s="772" t="s">
        <v>205</v>
      </c>
      <c r="D7721" s="15" t="s">
        <v>71</v>
      </c>
      <c r="E7721" s="1497">
        <v>261326</v>
      </c>
      <c r="F7721" s="1497"/>
      <c r="G7721" s="772" t="s">
        <v>27</v>
      </c>
      <c r="H7721" s="3"/>
    </row>
    <row r="7722" spans="1:8" ht="15.75" thickBot="1">
      <c r="A7722" s="119">
        <v>45777</v>
      </c>
      <c r="B7722" s="57"/>
      <c r="C7722" s="57" t="s">
        <v>79</v>
      </c>
      <c r="D7722" s="179" t="s">
        <v>3574</v>
      </c>
      <c r="E7722" s="57">
        <v>22000</v>
      </c>
      <c r="F7722" s="57"/>
      <c r="G7722" s="57" t="s">
        <v>56</v>
      </c>
      <c r="H7722" s="85"/>
    </row>
    <row r="7723" spans="1:8" ht="15.75" thickBot="1">
      <c r="A7723" s="1532"/>
      <c r="B7723" s="1533"/>
      <c r="C7723" s="1533"/>
      <c r="D7723" s="1533"/>
      <c r="E7723" s="1533"/>
      <c r="F7723" s="1533"/>
      <c r="G7723" s="1533"/>
      <c r="H7723" s="1534"/>
    </row>
    <row r="7724" spans="1:8">
      <c r="A7724" s="77">
        <v>45749</v>
      </c>
      <c r="B7724" s="62"/>
      <c r="C7724" s="62" t="s">
        <v>86</v>
      </c>
      <c r="D7724" s="5" t="s">
        <v>104</v>
      </c>
      <c r="E7724" s="62">
        <v>30008</v>
      </c>
      <c r="F7724" s="62"/>
      <c r="G7724" s="62" t="s">
        <v>27</v>
      </c>
      <c r="H7724" s="5"/>
    </row>
    <row r="7725" spans="1:8">
      <c r="A7725" s="771">
        <v>45749</v>
      </c>
      <c r="B7725" s="772"/>
      <c r="C7725" s="772" t="s">
        <v>92</v>
      </c>
      <c r="D7725" s="3" t="s">
        <v>3636</v>
      </c>
      <c r="E7725" s="1497">
        <v>378000</v>
      </c>
      <c r="F7725" s="1497"/>
      <c r="G7725" s="772" t="s">
        <v>27</v>
      </c>
      <c r="H7725" s="3"/>
    </row>
    <row r="7726" spans="1:8">
      <c r="A7726" s="771">
        <v>45749</v>
      </c>
      <c r="B7726" s="772"/>
      <c r="C7726" s="772" t="s">
        <v>92</v>
      </c>
      <c r="D7726" s="3" t="s">
        <v>3636</v>
      </c>
      <c r="E7726" s="1497">
        <v>200000</v>
      </c>
      <c r="F7726" s="1497"/>
      <c r="G7726" s="772" t="s">
        <v>27</v>
      </c>
      <c r="H7726" s="3"/>
    </row>
    <row r="7727" spans="1:8">
      <c r="A7727" s="771">
        <v>45749</v>
      </c>
      <c r="B7727" s="772"/>
      <c r="C7727" s="773" t="s">
        <v>205</v>
      </c>
      <c r="D7727" s="3" t="s">
        <v>63</v>
      </c>
      <c r="E7727" s="1497">
        <v>3600</v>
      </c>
      <c r="F7727" s="1497"/>
      <c r="G7727" s="772" t="s">
        <v>56</v>
      </c>
      <c r="H7727" s="3"/>
    </row>
    <row r="7728" spans="1:8">
      <c r="A7728" s="774">
        <v>45749</v>
      </c>
      <c r="B7728" s="772"/>
      <c r="C7728" s="772" t="s">
        <v>79</v>
      </c>
      <c r="D7728" s="3" t="s">
        <v>3695</v>
      </c>
      <c r="E7728" s="1497">
        <v>75000</v>
      </c>
      <c r="F7728" s="1497"/>
      <c r="G7728" s="772" t="s">
        <v>108</v>
      </c>
      <c r="H7728" s="3"/>
    </row>
    <row r="7729" spans="1:8">
      <c r="A7729" s="774">
        <v>45749</v>
      </c>
      <c r="B7729" s="772"/>
      <c r="C7729" s="772" t="s">
        <v>537</v>
      </c>
      <c r="D7729" s="3" t="s">
        <v>219</v>
      </c>
      <c r="E7729" s="1497">
        <v>190000</v>
      </c>
      <c r="F7729" s="1497"/>
      <c r="G7729" s="772" t="s">
        <v>56</v>
      </c>
      <c r="H7729" s="3"/>
    </row>
    <row r="7730" spans="1:8">
      <c r="A7730" s="774">
        <v>45749</v>
      </c>
      <c r="B7730" s="772"/>
      <c r="C7730" s="773" t="s">
        <v>537</v>
      </c>
      <c r="D7730" s="3" t="s">
        <v>208</v>
      </c>
      <c r="E7730" s="1497">
        <v>180000</v>
      </c>
      <c r="F7730" s="1497"/>
      <c r="G7730" s="773" t="s">
        <v>56</v>
      </c>
      <c r="H7730" s="3"/>
    </row>
    <row r="7731" spans="1:8">
      <c r="A7731" s="774">
        <v>45749</v>
      </c>
      <c r="B7731" s="772"/>
      <c r="C7731" s="773" t="s">
        <v>537</v>
      </c>
      <c r="D7731" s="3" t="s">
        <v>144</v>
      </c>
      <c r="E7731" s="1497">
        <v>366000</v>
      </c>
      <c r="F7731" s="1497"/>
      <c r="G7731" s="773" t="s">
        <v>56</v>
      </c>
      <c r="H7731" s="3"/>
    </row>
    <row r="7732" spans="1:8" ht="15.75" thickBot="1">
      <c r="A7732" s="774">
        <v>45749</v>
      </c>
      <c r="B7732" s="772"/>
      <c r="C7732" s="773" t="s">
        <v>537</v>
      </c>
      <c r="D7732" s="3" t="s">
        <v>193</v>
      </c>
      <c r="E7732" s="1497">
        <v>130000</v>
      </c>
      <c r="F7732" s="1497"/>
      <c r="G7732" s="772" t="s">
        <v>56</v>
      </c>
      <c r="H7732" s="3"/>
    </row>
    <row r="7733" spans="1:8" ht="15.75" thickBot="1">
      <c r="H7733" s="201">
        <v>45779</v>
      </c>
    </row>
    <row r="7734" spans="1:8">
      <c r="H7734" s="199" t="s">
        <v>876</v>
      </c>
    </row>
    <row r="7735" spans="1:8">
      <c r="H7735" s="137" t="s">
        <v>3697</v>
      </c>
    </row>
    <row r="7736" spans="1:8">
      <c r="H7736" s="138" t="s">
        <v>3701</v>
      </c>
    </row>
    <row r="7737" spans="1:8">
      <c r="H7737" s="138" t="s">
        <v>3696</v>
      </c>
    </row>
    <row r="7738" spans="1:8">
      <c r="H7738" s="138" t="s">
        <v>3628</v>
      </c>
    </row>
    <row r="7739" spans="1:8">
      <c r="H7739" s="138" t="s">
        <v>3698</v>
      </c>
    </row>
    <row r="7740" spans="1:8">
      <c r="H7740" s="138" t="s">
        <v>3700</v>
      </c>
    </row>
    <row r="7741" spans="1:8">
      <c r="H7741" s="138" t="s">
        <v>3699</v>
      </c>
    </row>
    <row r="7742" spans="1:8" ht="15.75" thickBot="1">
      <c r="H7742" s="139" t="s">
        <v>3630</v>
      </c>
    </row>
    <row r="7743" spans="1:8">
      <c r="H7743" s="288" t="s">
        <v>3629</v>
      </c>
    </row>
    <row r="7744" spans="1:8">
      <c r="A7744" s="775">
        <v>45782</v>
      </c>
      <c r="C7744" s="775" t="s">
        <v>79</v>
      </c>
      <c r="D7744" s="3" t="s">
        <v>79</v>
      </c>
      <c r="E7744" s="1497">
        <v>52650</v>
      </c>
      <c r="F7744" s="1497"/>
      <c r="G7744" s="776" t="s">
        <v>27</v>
      </c>
      <c r="H7744" s="3"/>
    </row>
    <row r="7745" spans="1:8">
      <c r="A7745" s="775">
        <v>45782</v>
      </c>
      <c r="C7745" s="775" t="s">
        <v>79</v>
      </c>
      <c r="D7745" s="3" t="s">
        <v>79</v>
      </c>
      <c r="E7745" s="1497">
        <v>73600</v>
      </c>
      <c r="F7745" s="1497"/>
      <c r="G7745" s="776" t="s">
        <v>27</v>
      </c>
      <c r="H7745" s="3"/>
    </row>
    <row r="7746" spans="1:8">
      <c r="A7746" s="775">
        <v>45782</v>
      </c>
      <c r="C7746" s="775" t="s">
        <v>77</v>
      </c>
      <c r="D7746" s="3" t="s">
        <v>3636</v>
      </c>
      <c r="E7746" s="1497"/>
      <c r="F7746" s="1497">
        <v>100000</v>
      </c>
      <c r="G7746" s="776" t="s">
        <v>27</v>
      </c>
      <c r="H7746" s="3"/>
    </row>
    <row r="7747" spans="1:8">
      <c r="A7747" s="119">
        <v>45782</v>
      </c>
      <c r="C7747" s="119" t="s">
        <v>92</v>
      </c>
      <c r="D7747" s="85" t="s">
        <v>2033</v>
      </c>
      <c r="E7747" s="57"/>
      <c r="F7747" s="57">
        <v>52500</v>
      </c>
      <c r="G7747" s="57" t="s">
        <v>56</v>
      </c>
      <c r="H7747" s="85"/>
    </row>
    <row r="7748" spans="1:8">
      <c r="A7748" s="775">
        <v>45782</v>
      </c>
      <c r="B7748" s="776"/>
      <c r="C7748" s="776" t="s">
        <v>92</v>
      </c>
      <c r="D7748" s="3" t="s">
        <v>3703</v>
      </c>
      <c r="E7748" s="1497"/>
      <c r="F7748" s="1497">
        <v>275242.98</v>
      </c>
      <c r="G7748" s="776" t="s">
        <v>27</v>
      </c>
      <c r="H7748" s="3"/>
    </row>
    <row r="7749" spans="1:8">
      <c r="A7749" s="775">
        <v>45782</v>
      </c>
      <c r="B7749" s="776"/>
      <c r="C7749" s="776" t="s">
        <v>77</v>
      </c>
      <c r="D7749" s="3" t="s">
        <v>3702</v>
      </c>
      <c r="E7749" s="1497"/>
      <c r="F7749" s="1497">
        <v>66000</v>
      </c>
      <c r="G7749" s="776" t="s">
        <v>27</v>
      </c>
      <c r="H7749" s="3"/>
    </row>
    <row r="7750" spans="1:8">
      <c r="A7750" s="779">
        <v>45782</v>
      </c>
      <c r="B7750" s="776"/>
      <c r="C7750" s="776" t="s">
        <v>3705</v>
      </c>
      <c r="D7750" s="3" t="s">
        <v>3704</v>
      </c>
      <c r="E7750" s="1497">
        <v>150000</v>
      </c>
      <c r="F7750" s="1497"/>
      <c r="G7750" s="776" t="s">
        <v>27</v>
      </c>
      <c r="H7750" s="3"/>
    </row>
    <row r="7751" spans="1:8">
      <c r="A7751" s="779">
        <v>45782</v>
      </c>
      <c r="B7751" s="778"/>
      <c r="C7751" s="778" t="s">
        <v>77</v>
      </c>
      <c r="D7751" s="3" t="s">
        <v>3706</v>
      </c>
      <c r="E7751" s="1497"/>
      <c r="F7751" s="1497">
        <v>902100</v>
      </c>
      <c r="G7751" s="778" t="s">
        <v>72</v>
      </c>
      <c r="H7751" s="135"/>
    </row>
    <row r="7752" spans="1:8">
      <c r="A7752" s="779">
        <v>45782</v>
      </c>
      <c r="B7752" s="778"/>
      <c r="C7752" s="778" t="s">
        <v>849</v>
      </c>
      <c r="D7752" s="3" t="s">
        <v>3695</v>
      </c>
      <c r="E7752" s="1497">
        <v>370000</v>
      </c>
      <c r="F7752" s="1497"/>
      <c r="G7752" s="778" t="s">
        <v>27</v>
      </c>
      <c r="H7752" s="3"/>
    </row>
    <row r="7753" spans="1:8">
      <c r="A7753" s="780">
        <v>45782</v>
      </c>
      <c r="B7753" s="778"/>
      <c r="C7753" s="778" t="s">
        <v>90</v>
      </c>
      <c r="D7753" s="3" t="s">
        <v>434</v>
      </c>
      <c r="E7753" s="1497">
        <v>6510</v>
      </c>
      <c r="F7753" s="1497"/>
      <c r="G7753" s="778" t="s">
        <v>27</v>
      </c>
      <c r="H7753" s="45" t="s">
        <v>3707</v>
      </c>
    </row>
    <row r="7754" spans="1:8">
      <c r="A7754" s="780">
        <v>45783</v>
      </c>
      <c r="B7754" s="778"/>
      <c r="C7754" s="778" t="s">
        <v>55</v>
      </c>
      <c r="D7754" s="3" t="s">
        <v>70</v>
      </c>
      <c r="E7754" s="1497">
        <v>8689</v>
      </c>
      <c r="F7754" s="1497"/>
      <c r="G7754" s="778" t="s">
        <v>56</v>
      </c>
      <c r="H7754" s="3"/>
    </row>
    <row r="7755" spans="1:8">
      <c r="A7755" s="780">
        <v>45783</v>
      </c>
      <c r="B7755" s="778"/>
      <c r="C7755" s="778" t="s">
        <v>77</v>
      </c>
      <c r="D7755" s="3" t="s">
        <v>3708</v>
      </c>
      <c r="E7755" s="1497"/>
      <c r="F7755" s="1497">
        <v>92000</v>
      </c>
      <c r="G7755" s="778" t="s">
        <v>27</v>
      </c>
      <c r="H7755" s="3"/>
    </row>
    <row r="7756" spans="1:8">
      <c r="A7756" s="780">
        <v>45783</v>
      </c>
      <c r="B7756" s="778"/>
      <c r="C7756" s="778" t="s">
        <v>150</v>
      </c>
      <c r="D7756" s="3" t="s">
        <v>614</v>
      </c>
      <c r="E7756" s="1497">
        <v>900000</v>
      </c>
      <c r="F7756" s="1497"/>
      <c r="G7756" s="778" t="s">
        <v>56</v>
      </c>
      <c r="H7756" s="3"/>
    </row>
    <row r="7757" spans="1:8">
      <c r="A7757" s="780">
        <v>45783</v>
      </c>
      <c r="B7757" s="778"/>
      <c r="C7757" s="781" t="s">
        <v>150</v>
      </c>
      <c r="D7757" s="3" t="s">
        <v>27</v>
      </c>
      <c r="E7757" s="1497"/>
      <c r="F7757" s="1497">
        <v>900000</v>
      </c>
      <c r="G7757" s="778" t="s">
        <v>27</v>
      </c>
      <c r="H7757" s="3"/>
    </row>
    <row r="7758" spans="1:8">
      <c r="A7758" s="782">
        <v>45783</v>
      </c>
      <c r="B7758" s="781"/>
      <c r="C7758" s="781" t="s">
        <v>205</v>
      </c>
      <c r="D7758" s="3" t="s">
        <v>448</v>
      </c>
      <c r="E7758" s="1497">
        <v>523250</v>
      </c>
      <c r="F7758" s="1497"/>
      <c r="G7758" s="781" t="s">
        <v>72</v>
      </c>
      <c r="H7758" s="45" t="s">
        <v>3709</v>
      </c>
    </row>
    <row r="7759" spans="1:8">
      <c r="A7759" s="782">
        <v>45783</v>
      </c>
      <c r="B7759" s="781"/>
      <c r="C7759" s="781" t="s">
        <v>77</v>
      </c>
      <c r="D7759" s="3" t="s">
        <v>3711</v>
      </c>
      <c r="E7759" s="1497"/>
      <c r="F7759" s="1497">
        <v>11500000</v>
      </c>
      <c r="G7759" s="781" t="s">
        <v>781</v>
      </c>
      <c r="H7759" s="3"/>
    </row>
    <row r="7760" spans="1:8">
      <c r="A7760" s="782">
        <v>45783</v>
      </c>
      <c r="B7760" s="781"/>
      <c r="C7760" s="781" t="s">
        <v>77</v>
      </c>
      <c r="D7760" s="3" t="s">
        <v>3710</v>
      </c>
      <c r="E7760" s="1497"/>
      <c r="F7760" s="1497">
        <v>2090000</v>
      </c>
      <c r="G7760" s="781" t="s">
        <v>56</v>
      </c>
      <c r="H7760" s="3"/>
    </row>
    <row r="7761" spans="1:8">
      <c r="A7761" s="783">
        <v>45784</v>
      </c>
      <c r="B7761" s="784"/>
      <c r="C7761" s="784" t="s">
        <v>94</v>
      </c>
      <c r="D7761" s="3" t="s">
        <v>3545</v>
      </c>
      <c r="E7761" s="1497">
        <v>39804.76</v>
      </c>
      <c r="F7761" s="1497"/>
      <c r="G7761" s="784" t="s">
        <v>27</v>
      </c>
      <c r="H7761" s="3"/>
    </row>
    <row r="7762" spans="1:8">
      <c r="A7762" s="783">
        <v>45784</v>
      </c>
      <c r="B7762" s="784"/>
      <c r="C7762" s="784" t="s">
        <v>94</v>
      </c>
      <c r="D7762" s="3" t="s">
        <v>17</v>
      </c>
      <c r="E7762" s="1497">
        <v>87657.1</v>
      </c>
      <c r="F7762" s="1497"/>
      <c r="G7762" s="784" t="s">
        <v>27</v>
      </c>
      <c r="H7762" s="3"/>
    </row>
    <row r="7763" spans="1:8">
      <c r="A7763" s="783">
        <v>45784</v>
      </c>
      <c r="B7763" s="784"/>
      <c r="C7763" s="784" t="s">
        <v>94</v>
      </c>
      <c r="D7763" s="15" t="s">
        <v>13</v>
      </c>
      <c r="E7763" s="1497">
        <v>52348.49</v>
      </c>
      <c r="F7763" s="1497"/>
      <c r="G7763" s="784" t="s">
        <v>27</v>
      </c>
      <c r="H7763" s="3"/>
    </row>
    <row r="7764" spans="1:8">
      <c r="A7764" s="783">
        <v>45784</v>
      </c>
      <c r="B7764" s="784"/>
      <c r="C7764" s="784" t="s">
        <v>94</v>
      </c>
      <c r="D7764" s="15" t="s">
        <v>15</v>
      </c>
      <c r="E7764" s="1497">
        <v>109575.12</v>
      </c>
      <c r="F7764" s="1497"/>
      <c r="G7764" s="784" t="s">
        <v>27</v>
      </c>
      <c r="H7764" s="3"/>
    </row>
    <row r="7765" spans="1:8">
      <c r="A7765" s="783">
        <v>45784</v>
      </c>
      <c r="B7765" s="784"/>
      <c r="C7765" s="784" t="s">
        <v>205</v>
      </c>
      <c r="D7765" s="15" t="s">
        <v>53</v>
      </c>
      <c r="E7765" s="1497">
        <v>14399</v>
      </c>
      <c r="F7765" s="1497"/>
      <c r="G7765" s="784" t="s">
        <v>27</v>
      </c>
      <c r="H7765" s="3" t="s">
        <v>3688</v>
      </c>
    </row>
    <row r="7766" spans="1:8">
      <c r="A7766" s="783">
        <v>45784</v>
      </c>
      <c r="B7766" s="784"/>
      <c r="C7766" s="784" t="s">
        <v>849</v>
      </c>
      <c r="D7766" s="3" t="s">
        <v>3712</v>
      </c>
      <c r="E7766" s="1497">
        <v>45000</v>
      </c>
      <c r="F7766" s="1497"/>
      <c r="G7766" s="784" t="s">
        <v>56</v>
      </c>
      <c r="H7766" s="3"/>
    </row>
    <row r="7767" spans="1:8">
      <c r="A7767" s="783">
        <v>45784</v>
      </c>
      <c r="B7767" s="784"/>
      <c r="C7767" s="784" t="s">
        <v>1148</v>
      </c>
      <c r="D7767" s="3" t="s">
        <v>63</v>
      </c>
      <c r="E7767" s="1497">
        <v>2250</v>
      </c>
      <c r="F7767" s="1497"/>
      <c r="G7767" s="784" t="s">
        <v>56</v>
      </c>
      <c r="H7767" s="3"/>
    </row>
    <row r="7768" spans="1:8">
      <c r="A7768" s="783">
        <v>45784</v>
      </c>
      <c r="B7768" s="784"/>
      <c r="C7768" s="784" t="s">
        <v>77</v>
      </c>
      <c r="D7768" s="3" t="s">
        <v>3713</v>
      </c>
      <c r="E7768" s="1497"/>
      <c r="F7768" s="1497">
        <v>63100</v>
      </c>
      <c r="G7768" s="784" t="s">
        <v>27</v>
      </c>
      <c r="H7768" s="3"/>
    </row>
    <row r="7769" spans="1:8">
      <c r="A7769" s="783">
        <v>45784</v>
      </c>
      <c r="B7769" s="784"/>
      <c r="C7769" s="784" t="s">
        <v>537</v>
      </c>
      <c r="D7769" s="3" t="s">
        <v>208</v>
      </c>
      <c r="E7769" s="1497">
        <v>30000</v>
      </c>
      <c r="F7769" s="1497"/>
      <c r="G7769" s="784" t="s">
        <v>56</v>
      </c>
      <c r="H7769" s="3"/>
    </row>
    <row r="7770" spans="1:8">
      <c r="A7770" s="783">
        <v>45784</v>
      </c>
      <c r="B7770" s="784"/>
      <c r="C7770" s="784" t="s">
        <v>92</v>
      </c>
      <c r="D7770" s="3" t="s">
        <v>2559</v>
      </c>
      <c r="E7770" s="1497"/>
      <c r="F7770" s="1497">
        <v>81800</v>
      </c>
      <c r="G7770" s="784" t="s">
        <v>27</v>
      </c>
      <c r="H7770" s="3"/>
    </row>
    <row r="7771" spans="1:8">
      <c r="A7771" s="786">
        <v>45784</v>
      </c>
      <c r="B7771" s="784"/>
      <c r="C7771" s="784" t="s">
        <v>77</v>
      </c>
      <c r="D7771" s="3" t="s">
        <v>3714</v>
      </c>
      <c r="E7771" s="1497"/>
      <c r="F7771" s="1497">
        <v>264748.09999999998</v>
      </c>
      <c r="G7771" s="784" t="s">
        <v>27</v>
      </c>
      <c r="H7771" s="3"/>
    </row>
    <row r="7772" spans="1:8">
      <c r="A7772" s="786">
        <v>45784</v>
      </c>
      <c r="B7772" s="784"/>
      <c r="C7772" s="784" t="s">
        <v>205</v>
      </c>
      <c r="D7772" s="3" t="s">
        <v>63</v>
      </c>
      <c r="E7772" s="1497">
        <v>80784</v>
      </c>
      <c r="F7772" s="1497"/>
      <c r="G7772" s="784" t="s">
        <v>27</v>
      </c>
      <c r="H7772" s="3"/>
    </row>
    <row r="7773" spans="1:8">
      <c r="A7773" s="786">
        <v>45785</v>
      </c>
      <c r="B7773" s="784"/>
      <c r="C7773" s="784" t="s">
        <v>55</v>
      </c>
      <c r="D7773" s="3" t="s">
        <v>70</v>
      </c>
      <c r="E7773" s="1497">
        <v>11386</v>
      </c>
      <c r="F7773" s="1497"/>
      <c r="G7773" s="784" t="s">
        <v>56</v>
      </c>
      <c r="H7773" s="3"/>
    </row>
    <row r="7774" spans="1:8">
      <c r="A7774" s="786">
        <v>45785</v>
      </c>
      <c r="B7774" s="784"/>
      <c r="C7774" s="784" t="s">
        <v>94</v>
      </c>
      <c r="D7774" s="3" t="s">
        <v>3715</v>
      </c>
      <c r="E7774" s="1497">
        <v>881.61</v>
      </c>
      <c r="F7774" s="1497"/>
      <c r="G7774" s="784" t="s">
        <v>27</v>
      </c>
      <c r="H7774" s="3"/>
    </row>
    <row r="7775" spans="1:8">
      <c r="A7775" s="786">
        <v>45785</v>
      </c>
      <c r="B7775" s="785"/>
      <c r="C7775" s="785" t="s">
        <v>92</v>
      </c>
      <c r="D7775" s="3" t="s">
        <v>3716</v>
      </c>
      <c r="E7775" s="1497">
        <v>55000</v>
      </c>
      <c r="F7775" s="1497"/>
      <c r="G7775" s="785" t="s">
        <v>56</v>
      </c>
      <c r="H7775" s="3"/>
    </row>
    <row r="7776" spans="1:8">
      <c r="A7776" s="786">
        <v>45785</v>
      </c>
      <c r="B7776" s="785"/>
      <c r="C7776" s="785" t="s">
        <v>77</v>
      </c>
      <c r="D7776" s="3" t="s">
        <v>2185</v>
      </c>
      <c r="E7776" s="1497"/>
      <c r="F7776" s="1497">
        <v>40000</v>
      </c>
      <c r="G7776" s="785" t="s">
        <v>56</v>
      </c>
      <c r="H7776" s="3"/>
    </row>
    <row r="7777" spans="1:8">
      <c r="A7777" s="786">
        <v>45785</v>
      </c>
      <c r="B7777" s="785"/>
      <c r="C7777" s="785" t="s">
        <v>90</v>
      </c>
      <c r="D7777" s="3" t="s">
        <v>2463</v>
      </c>
      <c r="E7777" s="1497">
        <v>11000</v>
      </c>
      <c r="F7777" s="1497"/>
      <c r="G7777" s="785" t="s">
        <v>56</v>
      </c>
      <c r="H7777" s="3"/>
    </row>
    <row r="7778" spans="1:8">
      <c r="A7778" s="786">
        <v>45785</v>
      </c>
      <c r="B7778" s="785"/>
      <c r="C7778" s="785" t="s">
        <v>205</v>
      </c>
      <c r="D7778" s="3" t="s">
        <v>3717</v>
      </c>
      <c r="E7778" s="1497">
        <v>145000</v>
      </c>
      <c r="F7778" s="1497"/>
      <c r="G7778" s="785" t="s">
        <v>56</v>
      </c>
      <c r="H7778" s="3"/>
    </row>
    <row r="7779" spans="1:8">
      <c r="A7779" s="787">
        <v>45785</v>
      </c>
      <c r="B7779" s="788"/>
      <c r="C7779" s="788" t="s">
        <v>205</v>
      </c>
      <c r="D7779" s="3" t="s">
        <v>765</v>
      </c>
      <c r="E7779" s="1497">
        <v>186687</v>
      </c>
      <c r="F7779" s="1497"/>
      <c r="G7779" s="788" t="s">
        <v>27</v>
      </c>
      <c r="H7779" s="3"/>
    </row>
    <row r="7780" spans="1:8">
      <c r="A7780" s="787">
        <v>45785</v>
      </c>
      <c r="B7780" s="788"/>
      <c r="C7780" s="788" t="s">
        <v>55</v>
      </c>
      <c r="D7780" s="3" t="s">
        <v>2074</v>
      </c>
      <c r="E7780" s="1497">
        <v>14000</v>
      </c>
      <c r="F7780" s="1497"/>
      <c r="G7780" s="788" t="s">
        <v>56</v>
      </c>
      <c r="H7780" s="3"/>
    </row>
    <row r="7781" spans="1:8">
      <c r="A7781" s="787">
        <v>45785</v>
      </c>
      <c r="B7781" s="788"/>
      <c r="C7781" s="788" t="s">
        <v>79</v>
      </c>
      <c r="D7781" s="3" t="s">
        <v>79</v>
      </c>
      <c r="E7781" s="1497">
        <v>6000</v>
      </c>
      <c r="F7781" s="1497"/>
      <c r="G7781" s="788" t="s">
        <v>56</v>
      </c>
      <c r="H7781" s="3"/>
    </row>
    <row r="7782" spans="1:8">
      <c r="A7782" s="790">
        <v>45785</v>
      </c>
      <c r="B7782" s="789"/>
      <c r="C7782" s="789" t="s">
        <v>537</v>
      </c>
      <c r="D7782" s="3" t="s">
        <v>208</v>
      </c>
      <c r="E7782" s="1497">
        <v>163500</v>
      </c>
      <c r="F7782" s="1497"/>
      <c r="G7782" s="789" t="s">
        <v>56</v>
      </c>
      <c r="H7782" s="3"/>
    </row>
    <row r="7783" spans="1:8">
      <c r="A7783" s="787">
        <v>45786</v>
      </c>
      <c r="B7783" s="788"/>
      <c r="C7783" s="788" t="s">
        <v>174</v>
      </c>
      <c r="D7783" s="3" t="s">
        <v>2490</v>
      </c>
      <c r="E7783" s="1497">
        <v>32079</v>
      </c>
      <c r="F7783" s="1497"/>
      <c r="G7783" s="788" t="s">
        <v>27</v>
      </c>
      <c r="H7783" s="3"/>
    </row>
    <row r="7784" spans="1:8">
      <c r="A7784" s="787">
        <v>45786</v>
      </c>
      <c r="B7784" s="788"/>
      <c r="C7784" s="788" t="s">
        <v>92</v>
      </c>
      <c r="D7784" s="15" t="s">
        <v>3718</v>
      </c>
      <c r="E7784" s="1497"/>
      <c r="F7784" s="1497">
        <v>56434.71</v>
      </c>
      <c r="G7784" s="788" t="s">
        <v>27</v>
      </c>
      <c r="H7784" s="3"/>
    </row>
    <row r="7785" spans="1:8">
      <c r="A7785" s="787">
        <v>45786</v>
      </c>
      <c r="B7785" s="788"/>
      <c r="C7785" s="788" t="s">
        <v>55</v>
      </c>
      <c r="D7785" s="3" t="s">
        <v>821</v>
      </c>
      <c r="E7785" s="1497">
        <v>7500</v>
      </c>
      <c r="F7785" s="1497"/>
      <c r="G7785" s="788" t="s">
        <v>27</v>
      </c>
      <c r="H7785" s="3"/>
    </row>
    <row r="7786" spans="1:8">
      <c r="A7786" s="790">
        <v>45786</v>
      </c>
      <c r="B7786" s="788"/>
      <c r="C7786" s="788" t="s">
        <v>77</v>
      </c>
      <c r="D7786" s="3" t="s">
        <v>3719</v>
      </c>
      <c r="E7786" s="1497"/>
      <c r="F7786" s="1497">
        <v>269864</v>
      </c>
      <c r="G7786" s="788" t="s">
        <v>27</v>
      </c>
      <c r="H7786" s="3"/>
    </row>
    <row r="7787" spans="1:8">
      <c r="A7787" s="790">
        <v>45786</v>
      </c>
      <c r="B7787" s="789"/>
      <c r="C7787" s="789" t="s">
        <v>537</v>
      </c>
      <c r="D7787" s="3" t="s">
        <v>219</v>
      </c>
      <c r="E7787" s="1497">
        <v>204300</v>
      </c>
      <c r="F7787" s="1497"/>
      <c r="G7787" s="789" t="s">
        <v>56</v>
      </c>
      <c r="H7787" s="3"/>
    </row>
    <row r="7788" spans="1:8">
      <c r="A7788" s="790">
        <v>45786</v>
      </c>
      <c r="B7788" s="789"/>
      <c r="C7788" s="789" t="s">
        <v>537</v>
      </c>
      <c r="D7788" s="3" t="s">
        <v>193</v>
      </c>
      <c r="E7788" s="1497">
        <v>130000</v>
      </c>
      <c r="F7788" s="1497"/>
      <c r="G7788" s="789" t="s">
        <v>56</v>
      </c>
      <c r="H7788" s="3"/>
    </row>
    <row r="7789" spans="1:8">
      <c r="A7789" s="790">
        <v>45786</v>
      </c>
      <c r="B7789" s="789"/>
      <c r="C7789" s="789" t="s">
        <v>537</v>
      </c>
      <c r="D7789" s="3" t="s">
        <v>575</v>
      </c>
      <c r="E7789" s="1497">
        <v>366000</v>
      </c>
      <c r="F7789" s="1497"/>
      <c r="G7789" s="789" t="s">
        <v>56</v>
      </c>
      <c r="H7789" s="3"/>
    </row>
    <row r="7790" spans="1:8" ht="15.75" thickBot="1">
      <c r="A7790" s="790">
        <v>45786</v>
      </c>
      <c r="B7790" s="789"/>
      <c r="C7790" s="789" t="s">
        <v>89</v>
      </c>
      <c r="D7790" s="3" t="s">
        <v>3720</v>
      </c>
      <c r="E7790" s="1497">
        <v>33600</v>
      </c>
      <c r="F7790" s="1497"/>
      <c r="G7790" s="789" t="s">
        <v>56</v>
      </c>
      <c r="H7790" s="3" t="s">
        <v>3723</v>
      </c>
    </row>
    <row r="7791" spans="1:8" ht="15.75" thickBot="1">
      <c r="A7791" s="789"/>
      <c r="B7791" s="789"/>
      <c r="C7791" s="789"/>
      <c r="D7791" s="3"/>
      <c r="E7791" s="1497"/>
      <c r="F7791" s="1497"/>
      <c r="G7791" s="789"/>
      <c r="H7791" s="201">
        <v>45786</v>
      </c>
    </row>
    <row r="7792" spans="1:8">
      <c r="A7792" s="789"/>
      <c r="B7792" s="789"/>
      <c r="C7792" s="789"/>
      <c r="D7792" s="3"/>
      <c r="E7792" s="1497"/>
      <c r="F7792" s="1497"/>
      <c r="G7792" s="789"/>
      <c r="H7792" s="199" t="s">
        <v>876</v>
      </c>
    </row>
    <row r="7793" spans="1:8">
      <c r="A7793" s="789"/>
      <c r="B7793" s="789"/>
      <c r="C7793" s="789"/>
      <c r="D7793" s="3"/>
      <c r="E7793" s="1497"/>
      <c r="F7793" s="1497"/>
      <c r="G7793" s="789"/>
      <c r="H7793" s="137" t="s">
        <v>3721</v>
      </c>
    </row>
    <row r="7794" spans="1:8">
      <c r="H7794" s="138" t="s">
        <v>808</v>
      </c>
    </row>
    <row r="7795" spans="1:8">
      <c r="H7795" s="138" t="s">
        <v>3722</v>
      </c>
    </row>
    <row r="7796" spans="1:8">
      <c r="H7796" s="138" t="s">
        <v>3628</v>
      </c>
    </row>
    <row r="7797" spans="1:8">
      <c r="H7797" s="138" t="s">
        <v>3698</v>
      </c>
    </row>
    <row r="7798" spans="1:8">
      <c r="H7798" s="138" t="s">
        <v>3700</v>
      </c>
    </row>
    <row r="7799" spans="1:8">
      <c r="H7799" s="138" t="s">
        <v>3699</v>
      </c>
    </row>
    <row r="7800" spans="1:8" ht="15.75" thickBot="1">
      <c r="H7800" s="139" t="s">
        <v>3630</v>
      </c>
    </row>
    <row r="7801" spans="1:8">
      <c r="H7801" s="288" t="s">
        <v>3629</v>
      </c>
    </row>
    <row r="7802" spans="1:8">
      <c r="A7802" s="791">
        <v>45789</v>
      </c>
      <c r="B7802" s="792"/>
      <c r="C7802" s="792" t="s">
        <v>205</v>
      </c>
      <c r="D7802" s="3" t="s">
        <v>448</v>
      </c>
      <c r="E7802" s="1497">
        <v>1110000</v>
      </c>
      <c r="F7802" s="1497"/>
      <c r="G7802" s="792" t="s">
        <v>27</v>
      </c>
      <c r="H7802" s="3"/>
    </row>
    <row r="7803" spans="1:8">
      <c r="A7803" s="791">
        <v>45789</v>
      </c>
      <c r="B7803" s="792"/>
      <c r="C7803" s="792" t="s">
        <v>90</v>
      </c>
      <c r="D7803" s="3" t="s">
        <v>3678</v>
      </c>
      <c r="E7803" s="1497">
        <v>100000</v>
      </c>
      <c r="F7803" s="1497"/>
      <c r="G7803" s="792" t="s">
        <v>27</v>
      </c>
      <c r="H7803" s="3"/>
    </row>
    <row r="7804" spans="1:8">
      <c r="A7804" s="791">
        <v>45789</v>
      </c>
      <c r="B7804" s="792"/>
      <c r="C7804" s="792" t="s">
        <v>150</v>
      </c>
      <c r="D7804" s="3" t="s">
        <v>319</v>
      </c>
      <c r="E7804" s="1497"/>
      <c r="F7804" s="1497">
        <v>270000</v>
      </c>
      <c r="G7804" s="792" t="s">
        <v>27</v>
      </c>
      <c r="H7804" s="3"/>
    </row>
    <row r="7805" spans="1:8">
      <c r="A7805" s="791">
        <v>45789</v>
      </c>
      <c r="B7805" s="792"/>
      <c r="C7805" s="792" t="s">
        <v>90</v>
      </c>
      <c r="D7805" s="3" t="s">
        <v>3720</v>
      </c>
      <c r="E7805" s="1497">
        <v>33600</v>
      </c>
      <c r="F7805" s="1497"/>
      <c r="G7805" s="792" t="s">
        <v>27</v>
      </c>
      <c r="H7805" s="3" t="s">
        <v>3724</v>
      </c>
    </row>
    <row r="7806" spans="1:8">
      <c r="A7806" s="791">
        <v>45789</v>
      </c>
      <c r="B7806" s="792"/>
      <c r="C7806" s="792" t="s">
        <v>205</v>
      </c>
      <c r="D7806" s="3" t="s">
        <v>448</v>
      </c>
      <c r="E7806" s="1497">
        <v>200000</v>
      </c>
      <c r="F7806" s="1497"/>
      <c r="G7806" s="792" t="s">
        <v>56</v>
      </c>
      <c r="H7806" s="3" t="s">
        <v>3725</v>
      </c>
    </row>
    <row r="7807" spans="1:8">
      <c r="A7807" s="791">
        <v>45789</v>
      </c>
      <c r="B7807" s="792"/>
      <c r="C7807" s="792" t="s">
        <v>205</v>
      </c>
      <c r="D7807" s="3" t="s">
        <v>448</v>
      </c>
      <c r="E7807" s="1497">
        <v>2097750</v>
      </c>
      <c r="F7807" s="1497"/>
      <c r="G7807" s="792" t="s">
        <v>72</v>
      </c>
      <c r="H7807" s="3" t="s">
        <v>3726</v>
      </c>
    </row>
    <row r="7808" spans="1:8">
      <c r="A7808" s="791">
        <v>45790</v>
      </c>
      <c r="B7808" s="792"/>
      <c r="C7808" s="792" t="s">
        <v>55</v>
      </c>
      <c r="D7808" s="3" t="s">
        <v>261</v>
      </c>
      <c r="E7808" s="1497">
        <v>36000</v>
      </c>
      <c r="F7808" s="1497"/>
      <c r="G7808" s="792" t="s">
        <v>27</v>
      </c>
      <c r="H7808" s="3"/>
    </row>
    <row r="7809" spans="1:8">
      <c r="A7809" s="791">
        <v>45790</v>
      </c>
      <c r="B7809" s="792"/>
      <c r="C7809" s="792" t="s">
        <v>205</v>
      </c>
      <c r="D7809" s="15" t="s">
        <v>190</v>
      </c>
      <c r="E7809" s="1497">
        <v>902100</v>
      </c>
      <c r="F7809" s="1497"/>
      <c r="G7809" s="792" t="s">
        <v>1279</v>
      </c>
      <c r="H7809" s="15" t="s">
        <v>1532</v>
      </c>
    </row>
    <row r="7810" spans="1:8">
      <c r="A7810" s="794">
        <v>45790</v>
      </c>
      <c r="B7810" s="792"/>
      <c r="C7810" s="792" t="s">
        <v>86</v>
      </c>
      <c r="D7810" s="3" t="s">
        <v>104</v>
      </c>
      <c r="E7810" s="1497">
        <v>30000</v>
      </c>
      <c r="F7810" s="1497"/>
      <c r="G7810" s="792" t="s">
        <v>56</v>
      </c>
      <c r="H7810" s="3"/>
    </row>
    <row r="7811" spans="1:8">
      <c r="A7811" s="794">
        <v>45790</v>
      </c>
      <c r="B7811" s="792"/>
      <c r="C7811" s="793" t="s">
        <v>55</v>
      </c>
      <c r="D7811" s="3" t="s">
        <v>369</v>
      </c>
      <c r="E7811" s="1497">
        <v>3000</v>
      </c>
      <c r="F7811" s="1497"/>
      <c r="G7811" s="792" t="s">
        <v>56</v>
      </c>
      <c r="H7811" s="3"/>
    </row>
    <row r="7812" spans="1:8">
      <c r="A7812" s="795">
        <v>45790</v>
      </c>
      <c r="B7812" s="796"/>
      <c r="C7812" s="796" t="s">
        <v>79</v>
      </c>
      <c r="D7812" s="3" t="s">
        <v>3016</v>
      </c>
      <c r="E7812" s="1497">
        <v>167935.24</v>
      </c>
      <c r="F7812" s="1497"/>
      <c r="G7812" s="796" t="s">
        <v>27</v>
      </c>
      <c r="H7812" s="3"/>
    </row>
    <row r="7813" spans="1:8">
      <c r="A7813" s="795">
        <v>45791</v>
      </c>
      <c r="B7813" s="792"/>
      <c r="C7813" s="796" t="s">
        <v>55</v>
      </c>
      <c r="D7813" s="3" t="s">
        <v>514</v>
      </c>
      <c r="E7813" s="1497">
        <v>10000</v>
      </c>
      <c r="F7813" s="1497"/>
      <c r="G7813" s="792" t="s">
        <v>27</v>
      </c>
      <c r="H7813" s="3"/>
    </row>
    <row r="7814" spans="1:8">
      <c r="A7814" s="795">
        <v>45791</v>
      </c>
      <c r="B7814" s="792"/>
      <c r="C7814" s="792" t="s">
        <v>79</v>
      </c>
      <c r="D7814" s="3" t="s">
        <v>640</v>
      </c>
      <c r="E7814" s="1497">
        <v>462350</v>
      </c>
      <c r="F7814" s="1497"/>
      <c r="G7814" s="792" t="s">
        <v>27</v>
      </c>
      <c r="H7814" s="3"/>
    </row>
    <row r="7815" spans="1:8">
      <c r="A7815" s="795">
        <v>45791</v>
      </c>
      <c r="B7815" s="796"/>
      <c r="C7815" s="796" t="s">
        <v>55</v>
      </c>
      <c r="D7815" s="3" t="s">
        <v>882</v>
      </c>
      <c r="E7815" s="1497">
        <v>3000</v>
      </c>
      <c r="F7815" s="1497"/>
      <c r="G7815" s="796" t="s">
        <v>56</v>
      </c>
      <c r="H7815" s="3"/>
    </row>
    <row r="7816" spans="1:8">
      <c r="A7816" s="795">
        <v>45791</v>
      </c>
      <c r="B7816" s="796"/>
      <c r="C7816" s="796" t="s">
        <v>55</v>
      </c>
      <c r="D7816" s="3" t="s">
        <v>633</v>
      </c>
      <c r="E7816" s="1497">
        <v>5000</v>
      </c>
      <c r="F7816" s="1497"/>
      <c r="G7816" s="796" t="s">
        <v>56</v>
      </c>
      <c r="H7816" s="3"/>
    </row>
    <row r="7817" spans="1:8">
      <c r="A7817" s="795">
        <v>45791</v>
      </c>
      <c r="B7817" s="796"/>
      <c r="C7817" s="796" t="s">
        <v>537</v>
      </c>
      <c r="D7817" s="3" t="s">
        <v>208</v>
      </c>
      <c r="E7817" s="1497">
        <v>30000</v>
      </c>
      <c r="F7817" s="1497"/>
      <c r="G7817" s="796" t="s">
        <v>27</v>
      </c>
      <c r="H7817" s="3"/>
    </row>
    <row r="7818" spans="1:8">
      <c r="A7818" s="798">
        <v>45791</v>
      </c>
      <c r="B7818" s="796"/>
      <c r="C7818" s="796" t="s">
        <v>176</v>
      </c>
      <c r="D7818" s="3" t="s">
        <v>3727</v>
      </c>
      <c r="E7818" s="1497">
        <v>290000</v>
      </c>
      <c r="F7818" s="1497"/>
      <c r="G7818" s="796" t="s">
        <v>108</v>
      </c>
      <c r="H7818" s="3"/>
    </row>
    <row r="7819" spans="1:8">
      <c r="A7819" s="798">
        <v>45791</v>
      </c>
      <c r="B7819" s="796"/>
      <c r="C7819" s="797" t="s">
        <v>55</v>
      </c>
      <c r="D7819" s="3" t="s">
        <v>38</v>
      </c>
      <c r="E7819" s="1497">
        <v>2000</v>
      </c>
      <c r="F7819" s="1497"/>
      <c r="G7819" s="796" t="s">
        <v>56</v>
      </c>
      <c r="H7819" s="3"/>
    </row>
    <row r="7820" spans="1:8">
      <c r="A7820" s="798">
        <v>45792</v>
      </c>
      <c r="B7820" s="797"/>
      <c r="C7820" s="797" t="s">
        <v>55</v>
      </c>
      <c r="D7820" s="3" t="s">
        <v>3728</v>
      </c>
      <c r="E7820" s="1497">
        <v>20000</v>
      </c>
      <c r="F7820" s="1497"/>
      <c r="G7820" s="797" t="s">
        <v>56</v>
      </c>
      <c r="H7820" s="45" t="s">
        <v>3729</v>
      </c>
    </row>
    <row r="7821" spans="1:8">
      <c r="A7821" s="798">
        <v>45792</v>
      </c>
      <c r="B7821" s="797"/>
      <c r="C7821" s="797" t="s">
        <v>55</v>
      </c>
      <c r="D7821" s="3" t="s">
        <v>1711</v>
      </c>
      <c r="E7821" s="1497">
        <v>10030</v>
      </c>
      <c r="F7821" s="1497"/>
      <c r="G7821" s="797" t="s">
        <v>56</v>
      </c>
      <c r="H7821" s="3"/>
    </row>
    <row r="7822" spans="1:8">
      <c r="A7822" s="798">
        <v>45792</v>
      </c>
      <c r="B7822" s="797"/>
      <c r="C7822" s="797" t="s">
        <v>90</v>
      </c>
      <c r="D7822" s="3" t="s">
        <v>1951</v>
      </c>
      <c r="E7822" s="1497">
        <v>11000</v>
      </c>
      <c r="F7822" s="1497"/>
      <c r="G7822" s="797" t="s">
        <v>56</v>
      </c>
      <c r="H7822" s="3"/>
    </row>
    <row r="7823" spans="1:8">
      <c r="A7823" s="798">
        <v>45792</v>
      </c>
      <c r="B7823" s="797"/>
      <c r="C7823" s="797" t="s">
        <v>205</v>
      </c>
      <c r="D7823" s="3" t="s">
        <v>1212</v>
      </c>
      <c r="E7823" s="1497">
        <v>38035.800000000003</v>
      </c>
      <c r="F7823" s="1497"/>
      <c r="G7823" s="797" t="s">
        <v>56</v>
      </c>
      <c r="H7823" s="3"/>
    </row>
    <row r="7824" spans="1:8">
      <c r="A7824" s="798">
        <v>45792</v>
      </c>
      <c r="B7824" s="797"/>
      <c r="C7824" s="797" t="s">
        <v>79</v>
      </c>
      <c r="D7824" s="3" t="s">
        <v>1572</v>
      </c>
      <c r="E7824" s="1497">
        <v>64774.53</v>
      </c>
      <c r="F7824" s="1497"/>
      <c r="G7824" s="797" t="s">
        <v>56</v>
      </c>
      <c r="H7824" s="3"/>
    </row>
    <row r="7825" spans="1:8">
      <c r="A7825" s="798">
        <v>45792</v>
      </c>
      <c r="B7825" s="797"/>
      <c r="C7825" s="797" t="s">
        <v>86</v>
      </c>
      <c r="D7825" s="3" t="s">
        <v>195</v>
      </c>
      <c r="E7825" s="1497">
        <v>30000</v>
      </c>
      <c r="F7825" s="1497"/>
      <c r="G7825" s="797" t="s">
        <v>56</v>
      </c>
      <c r="H7825" s="3"/>
    </row>
    <row r="7826" spans="1:8">
      <c r="A7826" s="798">
        <v>45792</v>
      </c>
      <c r="B7826" s="797"/>
      <c r="C7826" s="797" t="s">
        <v>150</v>
      </c>
      <c r="D7826" s="15" t="s">
        <v>319</v>
      </c>
      <c r="E7826" s="1497">
        <v>700000</v>
      </c>
      <c r="F7826" s="1497"/>
      <c r="G7826" s="797" t="s">
        <v>56</v>
      </c>
      <c r="H7826" s="3"/>
    </row>
    <row r="7827" spans="1:8">
      <c r="A7827" s="799">
        <v>45792</v>
      </c>
      <c r="B7827" s="800"/>
      <c r="C7827" s="800" t="s">
        <v>205</v>
      </c>
      <c r="D7827" s="15" t="s">
        <v>45</v>
      </c>
      <c r="E7827" s="1497">
        <v>200000</v>
      </c>
      <c r="F7827" s="1497"/>
      <c r="G7827" s="800" t="s">
        <v>56</v>
      </c>
      <c r="H7827" s="3"/>
    </row>
    <row r="7828" spans="1:8">
      <c r="A7828" s="799">
        <v>45792</v>
      </c>
      <c r="B7828" s="800"/>
      <c r="C7828" s="800" t="s">
        <v>205</v>
      </c>
      <c r="D7828" s="15" t="s">
        <v>45</v>
      </c>
      <c r="E7828" s="1497">
        <v>175231</v>
      </c>
      <c r="F7828" s="1497"/>
      <c r="G7828" s="800" t="s">
        <v>287</v>
      </c>
      <c r="H7828" s="3"/>
    </row>
    <row r="7829" spans="1:8">
      <c r="A7829" s="799">
        <v>45793</v>
      </c>
      <c r="B7829" s="800"/>
      <c r="C7829" s="800" t="s">
        <v>156</v>
      </c>
      <c r="D7829" s="3" t="s">
        <v>156</v>
      </c>
      <c r="E7829" s="1497">
        <v>3811.17</v>
      </c>
      <c r="F7829" s="1497"/>
      <c r="G7829" s="800" t="s">
        <v>27</v>
      </c>
      <c r="H7829" s="3"/>
    </row>
    <row r="7830" spans="1:8">
      <c r="A7830" s="799">
        <v>45793</v>
      </c>
      <c r="B7830" s="800"/>
      <c r="C7830" s="800" t="s">
        <v>156</v>
      </c>
      <c r="D7830" s="3" t="s">
        <v>156</v>
      </c>
      <c r="E7830" s="1497">
        <v>12514.49</v>
      </c>
      <c r="F7830" s="1497"/>
      <c r="G7830" s="800" t="s">
        <v>27</v>
      </c>
      <c r="H7830" s="3"/>
    </row>
    <row r="7831" spans="1:8">
      <c r="A7831" s="799">
        <v>45793</v>
      </c>
      <c r="B7831" s="800"/>
      <c r="C7831" s="800" t="s">
        <v>156</v>
      </c>
      <c r="D7831" s="3" t="s">
        <v>156</v>
      </c>
      <c r="E7831" s="1497">
        <v>4389.62</v>
      </c>
      <c r="F7831" s="1497"/>
      <c r="G7831" s="800" t="s">
        <v>27</v>
      </c>
      <c r="H7831" s="3"/>
    </row>
    <row r="7832" spans="1:8">
      <c r="A7832" s="799">
        <v>45793</v>
      </c>
      <c r="B7832" s="800"/>
      <c r="C7832" s="800" t="s">
        <v>156</v>
      </c>
      <c r="D7832" s="3" t="s">
        <v>156</v>
      </c>
      <c r="E7832" s="1497">
        <v>6709.15</v>
      </c>
      <c r="F7832" s="1497"/>
      <c r="G7832" s="800" t="s">
        <v>27</v>
      </c>
      <c r="H7832" s="3"/>
    </row>
    <row r="7833" spans="1:8">
      <c r="A7833" s="799">
        <v>45793</v>
      </c>
      <c r="B7833" s="800"/>
      <c r="C7833" s="800" t="s">
        <v>156</v>
      </c>
      <c r="D7833" s="3" t="s">
        <v>156</v>
      </c>
      <c r="E7833" s="1497">
        <v>391793.88</v>
      </c>
      <c r="F7833" s="1497"/>
      <c r="G7833" s="800" t="s">
        <v>27</v>
      </c>
      <c r="H7833" s="3"/>
    </row>
    <row r="7834" spans="1:8">
      <c r="A7834" s="799">
        <v>45793</v>
      </c>
      <c r="B7834" s="800"/>
      <c r="C7834" s="800" t="s">
        <v>79</v>
      </c>
      <c r="D7834" s="3" t="s">
        <v>79</v>
      </c>
      <c r="E7834" s="1497">
        <v>1000000</v>
      </c>
      <c r="F7834" s="1497"/>
      <c r="G7834" s="800" t="s">
        <v>56</v>
      </c>
      <c r="H7834" s="3"/>
    </row>
    <row r="7835" spans="1:8">
      <c r="A7835" s="799">
        <v>45793</v>
      </c>
      <c r="B7835" s="800"/>
      <c r="C7835" s="800" t="s">
        <v>77</v>
      </c>
      <c r="D7835" s="3" t="s">
        <v>3731</v>
      </c>
      <c r="E7835" s="1497"/>
      <c r="F7835" s="1497">
        <v>1015300</v>
      </c>
      <c r="G7835" s="800" t="s">
        <v>287</v>
      </c>
      <c r="H7835" s="3"/>
    </row>
    <row r="7836" spans="1:8">
      <c r="A7836" s="799">
        <v>45793</v>
      </c>
      <c r="B7836" s="800"/>
      <c r="C7836" s="800" t="s">
        <v>55</v>
      </c>
      <c r="D7836" s="3" t="s">
        <v>562</v>
      </c>
      <c r="E7836" s="1497">
        <v>16669</v>
      </c>
      <c r="F7836" s="1497"/>
      <c r="G7836" s="800" t="s">
        <v>56</v>
      </c>
      <c r="H7836" s="3"/>
    </row>
    <row r="7837" spans="1:8">
      <c r="A7837" s="799">
        <v>45793</v>
      </c>
      <c r="B7837" s="800"/>
      <c r="C7837" s="800" t="s">
        <v>537</v>
      </c>
      <c r="D7837" s="3" t="s">
        <v>208</v>
      </c>
      <c r="E7837" s="1497">
        <v>150000</v>
      </c>
      <c r="F7837" s="1497"/>
      <c r="G7837" s="800" t="s">
        <v>56</v>
      </c>
      <c r="H7837" s="3"/>
    </row>
    <row r="7838" spans="1:8">
      <c r="A7838" s="799">
        <v>45793</v>
      </c>
      <c r="B7838" s="800"/>
      <c r="C7838" s="800" t="s">
        <v>537</v>
      </c>
      <c r="D7838" s="3" t="s">
        <v>219</v>
      </c>
      <c r="E7838" s="1497">
        <v>190000</v>
      </c>
      <c r="F7838" s="1497"/>
      <c r="G7838" s="800" t="s">
        <v>56</v>
      </c>
      <c r="H7838" s="3"/>
    </row>
    <row r="7839" spans="1:8">
      <c r="A7839" s="799">
        <v>45793</v>
      </c>
      <c r="B7839" s="800"/>
      <c r="C7839" s="800" t="s">
        <v>537</v>
      </c>
      <c r="D7839" s="3" t="s">
        <v>144</v>
      </c>
      <c r="E7839" s="1497">
        <v>366000</v>
      </c>
      <c r="F7839" s="1497"/>
      <c r="G7839" s="800" t="s">
        <v>56</v>
      </c>
      <c r="H7839" s="3"/>
    </row>
    <row r="7840" spans="1:8" ht="15.75" thickBot="1">
      <c r="A7840" s="802">
        <v>45793</v>
      </c>
      <c r="B7840" s="801"/>
      <c r="C7840" s="801" t="s">
        <v>537</v>
      </c>
      <c r="D7840" s="3" t="s">
        <v>193</v>
      </c>
      <c r="E7840" s="1497">
        <v>130000</v>
      </c>
      <c r="F7840" s="1497"/>
      <c r="G7840" s="801" t="s">
        <v>56</v>
      </c>
      <c r="H7840" s="85"/>
    </row>
    <row r="7841" spans="1:8" ht="15.75" thickBot="1">
      <c r="A7841" s="1562"/>
      <c r="B7841" s="1562"/>
      <c r="C7841" s="1562"/>
      <c r="D7841" s="1562"/>
      <c r="E7841" s="1562"/>
      <c r="F7841" s="1562"/>
      <c r="G7841" s="1562"/>
      <c r="H7841" s="201">
        <v>45793</v>
      </c>
    </row>
    <row r="7842" spans="1:8">
      <c r="A7842" s="244"/>
      <c r="B7842" s="244"/>
      <c r="C7842" s="244"/>
      <c r="D7842" s="115"/>
      <c r="E7842" s="1492"/>
      <c r="F7842" s="1492"/>
      <c r="G7842" s="244"/>
      <c r="H7842" s="803" t="s">
        <v>3738</v>
      </c>
    </row>
    <row r="7843" spans="1:8">
      <c r="H7843" s="137" t="s">
        <v>3737</v>
      </c>
    </row>
    <row r="7844" spans="1:8">
      <c r="H7844" s="138" t="s">
        <v>3732</v>
      </c>
    </row>
    <row r="7845" spans="1:8">
      <c r="H7845" s="138" t="s">
        <v>3733</v>
      </c>
    </row>
    <row r="7846" spans="1:8">
      <c r="H7846" s="138" t="s">
        <v>3734</v>
      </c>
    </row>
    <row r="7847" spans="1:8">
      <c r="H7847" s="138" t="s">
        <v>3755</v>
      </c>
    </row>
    <row r="7848" spans="1:8">
      <c r="H7848" s="138" t="s">
        <v>3604</v>
      </c>
    </row>
    <row r="7849" spans="1:8">
      <c r="H7849" s="138" t="s">
        <v>3735</v>
      </c>
    </row>
    <row r="7850" spans="1:8" ht="15.75" thickBot="1">
      <c r="H7850" s="139" t="s">
        <v>3739</v>
      </c>
    </row>
    <row r="7851" spans="1:8" ht="15.75" thickBot="1">
      <c r="H7851" s="538" t="s">
        <v>3736</v>
      </c>
    </row>
    <row r="7852" spans="1:8">
      <c r="A7852" s="804">
        <v>45797</v>
      </c>
      <c r="B7852" s="801"/>
      <c r="C7852" s="801" t="s">
        <v>205</v>
      </c>
      <c r="D7852" s="3" t="s">
        <v>3740</v>
      </c>
      <c r="E7852" s="1497">
        <v>95000</v>
      </c>
      <c r="F7852" s="1497"/>
      <c r="G7852" s="801" t="s">
        <v>56</v>
      </c>
      <c r="H7852" s="125"/>
    </row>
    <row r="7853" spans="1:8">
      <c r="A7853" s="804">
        <v>45797</v>
      </c>
      <c r="B7853" s="801"/>
      <c r="C7853" s="805" t="s">
        <v>205</v>
      </c>
      <c r="D7853" s="3" t="s">
        <v>238</v>
      </c>
      <c r="E7853" s="1497">
        <v>37400</v>
      </c>
      <c r="F7853" s="1497"/>
      <c r="G7853" s="801" t="s">
        <v>56</v>
      </c>
      <c r="H7853" s="45" t="s">
        <v>3460</v>
      </c>
    </row>
    <row r="7854" spans="1:8">
      <c r="A7854" s="804">
        <v>45797</v>
      </c>
      <c r="B7854" s="801"/>
      <c r="C7854" s="801" t="s">
        <v>28</v>
      </c>
      <c r="D7854" s="3" t="s">
        <v>3741</v>
      </c>
      <c r="E7854" s="1497">
        <v>306597</v>
      </c>
      <c r="F7854" s="1497"/>
      <c r="G7854" s="801" t="s">
        <v>56</v>
      </c>
      <c r="H7854" s="45"/>
    </row>
    <row r="7855" spans="1:8">
      <c r="A7855" s="804">
        <v>45797</v>
      </c>
      <c r="B7855" s="801"/>
      <c r="C7855" s="801" t="s">
        <v>77</v>
      </c>
      <c r="D7855" s="3" t="s">
        <v>3742</v>
      </c>
      <c r="E7855" s="1497"/>
      <c r="F7855" s="1497">
        <v>230000</v>
      </c>
      <c r="G7855" s="801" t="s">
        <v>56</v>
      </c>
      <c r="H7855" s="45" t="s">
        <v>3743</v>
      </c>
    </row>
    <row r="7856" spans="1:8">
      <c r="A7856" s="804">
        <v>45797</v>
      </c>
      <c r="B7856" s="801"/>
      <c r="C7856" s="801" t="s">
        <v>205</v>
      </c>
      <c r="D7856" s="3" t="s">
        <v>38</v>
      </c>
      <c r="E7856" s="1497">
        <v>1000</v>
      </c>
      <c r="F7856" s="1497"/>
      <c r="G7856" s="801" t="s">
        <v>56</v>
      </c>
      <c r="H7856" s="45" t="s">
        <v>3460</v>
      </c>
    </row>
    <row r="7857" spans="1:8">
      <c r="A7857" s="804">
        <v>45797</v>
      </c>
      <c r="B7857" s="801"/>
      <c r="C7857" s="805" t="s">
        <v>205</v>
      </c>
      <c r="D7857" s="3" t="s">
        <v>3745</v>
      </c>
      <c r="E7857" s="1497">
        <v>65000</v>
      </c>
      <c r="F7857" s="1497"/>
      <c r="G7857" s="805" t="s">
        <v>56</v>
      </c>
      <c r="H7857" s="45" t="s">
        <v>3744</v>
      </c>
    </row>
    <row r="7858" spans="1:8">
      <c r="A7858" s="804">
        <v>45797</v>
      </c>
      <c r="B7858" s="801"/>
      <c r="C7858" s="805" t="s">
        <v>205</v>
      </c>
      <c r="D7858" s="3" t="s">
        <v>3745</v>
      </c>
      <c r="E7858" s="1497">
        <v>90000</v>
      </c>
      <c r="F7858" s="1497"/>
      <c r="G7858" s="801" t="s">
        <v>56</v>
      </c>
      <c r="H7858" s="45" t="s">
        <v>3460</v>
      </c>
    </row>
    <row r="7859" spans="1:8">
      <c r="A7859" s="807">
        <v>45798</v>
      </c>
      <c r="B7859" s="801"/>
      <c r="C7859" s="801" t="s">
        <v>849</v>
      </c>
      <c r="D7859" s="3" t="s">
        <v>3746</v>
      </c>
      <c r="E7859" s="1497">
        <v>50000</v>
      </c>
      <c r="F7859" s="1497"/>
      <c r="G7859" s="806" t="s">
        <v>56</v>
      </c>
      <c r="H7859" s="45"/>
    </row>
    <row r="7860" spans="1:8">
      <c r="A7860" s="807">
        <v>45798</v>
      </c>
      <c r="B7860" s="801"/>
      <c r="C7860" s="801" t="s">
        <v>79</v>
      </c>
      <c r="D7860" s="3" t="s">
        <v>79</v>
      </c>
      <c r="E7860" s="1497">
        <v>60000</v>
      </c>
      <c r="F7860" s="1497"/>
      <c r="G7860" s="801" t="s">
        <v>56</v>
      </c>
      <c r="H7860" s="45"/>
    </row>
    <row r="7861" spans="1:8">
      <c r="A7861" s="807">
        <v>45798</v>
      </c>
      <c r="B7861" s="801"/>
      <c r="C7861" s="806" t="s">
        <v>55</v>
      </c>
      <c r="D7861" s="3" t="s">
        <v>514</v>
      </c>
      <c r="E7861" s="1497">
        <v>35000</v>
      </c>
      <c r="F7861" s="1497"/>
      <c r="G7861" s="801" t="s">
        <v>27</v>
      </c>
      <c r="H7861" s="45"/>
    </row>
    <row r="7862" spans="1:8">
      <c r="A7862" s="807">
        <v>45798</v>
      </c>
      <c r="B7862" s="801"/>
      <c r="C7862" s="801" t="s">
        <v>537</v>
      </c>
      <c r="D7862" s="3" t="s">
        <v>208</v>
      </c>
      <c r="E7862" s="1497">
        <v>40000</v>
      </c>
      <c r="F7862" s="1497"/>
      <c r="G7862" s="801" t="s">
        <v>56</v>
      </c>
      <c r="H7862" s="3"/>
    </row>
    <row r="7863" spans="1:8">
      <c r="A7863" s="808">
        <v>45799</v>
      </c>
      <c r="B7863" s="801"/>
      <c r="C7863" s="801" t="s">
        <v>730</v>
      </c>
      <c r="D7863" s="3" t="s">
        <v>3730</v>
      </c>
      <c r="E7863" s="1497">
        <v>150000</v>
      </c>
      <c r="F7863" s="1497"/>
      <c r="G7863" s="801" t="s">
        <v>27</v>
      </c>
      <c r="H7863" s="3"/>
    </row>
    <row r="7864" spans="1:8">
      <c r="A7864" s="808">
        <v>45799</v>
      </c>
      <c r="B7864" s="806"/>
      <c r="C7864" s="806" t="s">
        <v>68</v>
      </c>
      <c r="D7864" s="3" t="s">
        <v>1951</v>
      </c>
      <c r="E7864" s="1497">
        <v>11000</v>
      </c>
      <c r="F7864" s="1497"/>
      <c r="G7864" s="806" t="s">
        <v>56</v>
      </c>
      <c r="H7864" s="3"/>
    </row>
    <row r="7865" spans="1:8">
      <c r="A7865" s="1421">
        <v>45797</v>
      </c>
      <c r="B7865" s="1422"/>
      <c r="C7865" s="1422" t="s">
        <v>77</v>
      </c>
      <c r="D7865" s="3" t="s">
        <v>3742</v>
      </c>
      <c r="E7865" s="1497"/>
      <c r="F7865" s="1497">
        <v>230000</v>
      </c>
      <c r="G7865" s="806" t="s">
        <v>287</v>
      </c>
      <c r="H7865" s="3"/>
    </row>
    <row r="7866" spans="1:8">
      <c r="A7866" s="810">
        <v>45799</v>
      </c>
      <c r="B7866" s="806"/>
      <c r="C7866" s="806" t="s">
        <v>1261</v>
      </c>
      <c r="D7866" s="3" t="s">
        <v>3748</v>
      </c>
      <c r="E7866" s="1497"/>
      <c r="F7866" s="1497">
        <v>42000</v>
      </c>
      <c r="G7866" s="806" t="s">
        <v>3747</v>
      </c>
      <c r="H7866" s="3"/>
    </row>
    <row r="7867" spans="1:8">
      <c r="A7867" s="811">
        <v>45799</v>
      </c>
      <c r="B7867" s="809"/>
      <c r="C7867" s="809" t="s">
        <v>79</v>
      </c>
      <c r="D7867" s="3" t="s">
        <v>2355</v>
      </c>
      <c r="E7867" s="1497">
        <v>224000</v>
      </c>
      <c r="F7867" s="1497"/>
      <c r="G7867" s="809" t="s">
        <v>56</v>
      </c>
      <c r="H7867" s="3"/>
    </row>
    <row r="7868" spans="1:8">
      <c r="A7868" s="811">
        <v>45799</v>
      </c>
      <c r="B7868" s="809"/>
      <c r="C7868" s="809" t="s">
        <v>150</v>
      </c>
      <c r="D7868" s="3" t="s">
        <v>319</v>
      </c>
      <c r="E7868" s="1497">
        <v>40000</v>
      </c>
      <c r="F7868" s="1497"/>
      <c r="G7868" s="809" t="s">
        <v>56</v>
      </c>
      <c r="H7868" s="3"/>
    </row>
    <row r="7869" spans="1:8">
      <c r="A7869" s="811">
        <v>45799</v>
      </c>
      <c r="B7869" s="809"/>
      <c r="C7869" s="809" t="s">
        <v>150</v>
      </c>
      <c r="D7869" s="3" t="s">
        <v>252</v>
      </c>
      <c r="E7869" s="1497">
        <v>200000</v>
      </c>
      <c r="F7869" s="1497"/>
      <c r="G7869" s="809" t="s">
        <v>56</v>
      </c>
      <c r="H7869" s="3"/>
    </row>
    <row r="7870" spans="1:8">
      <c r="A7870" s="811">
        <v>45799</v>
      </c>
      <c r="B7870" s="812"/>
      <c r="C7870" s="812" t="s">
        <v>86</v>
      </c>
      <c r="D7870" s="3" t="s">
        <v>3749</v>
      </c>
      <c r="E7870" s="1497">
        <v>30643.83</v>
      </c>
      <c r="F7870" s="1497"/>
      <c r="G7870" s="812" t="s">
        <v>27</v>
      </c>
      <c r="H7870" s="3"/>
    </row>
    <row r="7871" spans="1:8">
      <c r="A7871" s="811">
        <v>45799</v>
      </c>
      <c r="B7871" s="812"/>
      <c r="C7871" s="812" t="s">
        <v>86</v>
      </c>
      <c r="D7871" s="3" t="s">
        <v>104</v>
      </c>
      <c r="E7871" s="1497">
        <v>40875.839999999997</v>
      </c>
      <c r="F7871" s="1497"/>
      <c r="G7871" s="812" t="s">
        <v>56</v>
      </c>
      <c r="H7871" s="45" t="s">
        <v>3460</v>
      </c>
    </row>
    <row r="7872" spans="1:8">
      <c r="A7872" s="811">
        <v>45799</v>
      </c>
      <c r="B7872" s="812"/>
      <c r="C7872" s="812" t="s">
        <v>831</v>
      </c>
      <c r="D7872" s="3" t="s">
        <v>3750</v>
      </c>
      <c r="E7872" s="1497">
        <v>33200</v>
      </c>
      <c r="F7872" s="1497"/>
      <c r="G7872" s="812" t="s">
        <v>56</v>
      </c>
      <c r="H7872" s="45" t="s">
        <v>3751</v>
      </c>
    </row>
    <row r="7873" spans="1:8">
      <c r="A7873" s="811">
        <v>45800</v>
      </c>
      <c r="B7873" s="812"/>
      <c r="C7873" s="812" t="s">
        <v>205</v>
      </c>
      <c r="D7873" s="3" t="s">
        <v>71</v>
      </c>
      <c r="E7873" s="1497">
        <v>47160000</v>
      </c>
      <c r="F7873" s="1497"/>
      <c r="G7873" s="812" t="s">
        <v>287</v>
      </c>
      <c r="H7873" s="45" t="s">
        <v>3662</v>
      </c>
    </row>
    <row r="7874" spans="1:8">
      <c r="A7874" s="811">
        <v>45800</v>
      </c>
      <c r="B7874" s="812"/>
      <c r="C7874" s="812" t="s">
        <v>174</v>
      </c>
      <c r="D7874" s="3" t="s">
        <v>3752</v>
      </c>
      <c r="E7874" s="1497">
        <v>59635.99</v>
      </c>
      <c r="F7874" s="1497"/>
      <c r="G7874" s="812" t="s">
        <v>27</v>
      </c>
      <c r="H7874" s="3"/>
    </row>
    <row r="7875" spans="1:8">
      <c r="A7875" s="811">
        <v>45800</v>
      </c>
      <c r="B7875" s="812"/>
      <c r="C7875" s="812" t="s">
        <v>174</v>
      </c>
      <c r="D7875" s="3" t="s">
        <v>2719</v>
      </c>
      <c r="E7875" s="1497">
        <v>12649.86</v>
      </c>
      <c r="F7875" s="1497"/>
      <c r="G7875" s="812" t="s">
        <v>27</v>
      </c>
      <c r="H7875" s="3"/>
    </row>
    <row r="7876" spans="1:8">
      <c r="A7876" s="811">
        <v>45800</v>
      </c>
      <c r="B7876" s="812"/>
      <c r="C7876" s="812" t="s">
        <v>174</v>
      </c>
      <c r="D7876" s="3" t="s">
        <v>2719</v>
      </c>
      <c r="E7876" s="1497">
        <v>13914.87</v>
      </c>
      <c r="F7876" s="1497"/>
      <c r="G7876" s="812" t="s">
        <v>27</v>
      </c>
      <c r="H7876" s="3"/>
    </row>
    <row r="7877" spans="1:8">
      <c r="A7877" s="811">
        <v>45800</v>
      </c>
      <c r="B7877" s="812"/>
      <c r="C7877" s="812" t="s">
        <v>537</v>
      </c>
      <c r="D7877" s="3" t="s">
        <v>208</v>
      </c>
      <c r="E7877" s="1497">
        <v>140000</v>
      </c>
      <c r="F7877" s="1497"/>
      <c r="G7877" s="812" t="s">
        <v>56</v>
      </c>
      <c r="H7877" s="3"/>
    </row>
    <row r="7878" spans="1:8">
      <c r="A7878" s="811">
        <v>45800</v>
      </c>
      <c r="B7878" s="812"/>
      <c r="C7878" s="812" t="s">
        <v>537</v>
      </c>
      <c r="D7878" s="3" t="s">
        <v>144</v>
      </c>
      <c r="E7878" s="1497">
        <v>366000</v>
      </c>
      <c r="F7878" s="1497"/>
      <c r="G7878" s="812" t="s">
        <v>56</v>
      </c>
      <c r="H7878" s="3"/>
    </row>
    <row r="7879" spans="1:8">
      <c r="A7879" s="811">
        <v>45800</v>
      </c>
      <c r="B7879" s="812"/>
      <c r="C7879" s="812" t="s">
        <v>537</v>
      </c>
      <c r="D7879" s="3" t="s">
        <v>219</v>
      </c>
      <c r="E7879" s="1497">
        <v>190000</v>
      </c>
      <c r="F7879" s="1497"/>
      <c r="G7879" s="812" t="s">
        <v>56</v>
      </c>
      <c r="H7879" s="3"/>
    </row>
    <row r="7880" spans="1:8" ht="15.75" thickBot="1">
      <c r="A7880" s="811">
        <v>45800</v>
      </c>
      <c r="B7880" s="812"/>
      <c r="C7880" s="812" t="s">
        <v>537</v>
      </c>
      <c r="D7880" s="3" t="s">
        <v>193</v>
      </c>
      <c r="E7880" s="1497">
        <v>130000</v>
      </c>
      <c r="F7880" s="1497"/>
      <c r="G7880" s="812" t="s">
        <v>56</v>
      </c>
      <c r="H7880" s="3"/>
    </row>
    <row r="7881" spans="1:8" ht="15.75" thickBot="1">
      <c r="A7881" s="812"/>
      <c r="B7881" s="812"/>
      <c r="C7881" s="812"/>
      <c r="D7881" s="3"/>
      <c r="E7881" s="1497"/>
      <c r="F7881" s="1497"/>
      <c r="G7881" s="812"/>
      <c r="H7881" s="201">
        <v>45800</v>
      </c>
    </row>
    <row r="7882" spans="1:8">
      <c r="H7882" s="803" t="s">
        <v>3756</v>
      </c>
    </row>
    <row r="7883" spans="1:8">
      <c r="H7883" s="137" t="s">
        <v>3757</v>
      </c>
    </row>
    <row r="7884" spans="1:8">
      <c r="H7884" s="138" t="s">
        <v>3753</v>
      </c>
    </row>
    <row r="7885" spans="1:8">
      <c r="H7885" s="138" t="s">
        <v>3754</v>
      </c>
    </row>
    <row r="7886" spans="1:8">
      <c r="H7886" s="138" t="s">
        <v>3734</v>
      </c>
    </row>
    <row r="7887" spans="1:8">
      <c r="H7887" s="138" t="s">
        <v>3760</v>
      </c>
    </row>
    <row r="7888" spans="1:8">
      <c r="H7888" s="138" t="s">
        <v>3604</v>
      </c>
    </row>
    <row r="7889" spans="1:8">
      <c r="H7889" s="138" t="s">
        <v>3758</v>
      </c>
    </row>
    <row r="7890" spans="1:8" ht="15.75" thickBot="1">
      <c r="H7890" s="139" t="s">
        <v>3759</v>
      </c>
    </row>
    <row r="7891" spans="1:8">
      <c r="H7891" s="288" t="s">
        <v>3736</v>
      </c>
    </row>
    <row r="7892" spans="1:8">
      <c r="A7892" s="814">
        <v>45803</v>
      </c>
      <c r="B7892" s="813"/>
      <c r="C7892" s="813" t="s">
        <v>3762</v>
      </c>
      <c r="D7892" s="3" t="s">
        <v>3744</v>
      </c>
      <c r="E7892" s="1497"/>
      <c r="F7892" s="1497">
        <v>160000</v>
      </c>
      <c r="G7892" s="813" t="s">
        <v>56</v>
      </c>
      <c r="H7892" s="3"/>
    </row>
    <row r="7893" spans="1:8">
      <c r="A7893" s="814">
        <v>45803</v>
      </c>
      <c r="B7893" s="813"/>
      <c r="C7893" s="813" t="s">
        <v>92</v>
      </c>
      <c r="D7893" s="3" t="s">
        <v>1888</v>
      </c>
      <c r="E7893" s="1497"/>
      <c r="F7893" s="1497">
        <v>69000</v>
      </c>
      <c r="G7893" s="813" t="s">
        <v>56</v>
      </c>
      <c r="H7893" s="3"/>
    </row>
    <row r="7894" spans="1:8">
      <c r="A7894" s="814">
        <v>45803</v>
      </c>
      <c r="B7894" s="813"/>
      <c r="C7894" s="813" t="s">
        <v>77</v>
      </c>
      <c r="D7894" s="3" t="s">
        <v>3761</v>
      </c>
      <c r="E7894" s="1497"/>
      <c r="F7894" s="1497">
        <v>668300</v>
      </c>
      <c r="G7894" s="813" t="s">
        <v>27</v>
      </c>
      <c r="H7894" s="3"/>
    </row>
    <row r="7895" spans="1:8">
      <c r="A7895" s="814">
        <v>45803</v>
      </c>
      <c r="B7895" s="813"/>
      <c r="C7895" s="813" t="s">
        <v>205</v>
      </c>
      <c r="D7895" s="3" t="s">
        <v>2777</v>
      </c>
      <c r="E7895" s="1497">
        <v>393631</v>
      </c>
      <c r="F7895" s="1497"/>
      <c r="G7895" s="813"/>
      <c r="H7895" s="3"/>
    </row>
    <row r="7896" spans="1:8">
      <c r="A7896" s="814">
        <v>45803</v>
      </c>
      <c r="B7896" s="813"/>
      <c r="C7896" s="813" t="s">
        <v>205</v>
      </c>
      <c r="D7896" s="3" t="s">
        <v>448</v>
      </c>
      <c r="E7896" s="1497">
        <v>1015200</v>
      </c>
      <c r="F7896" s="1497"/>
      <c r="G7896" s="813" t="s">
        <v>27</v>
      </c>
      <c r="H7896" s="3"/>
    </row>
    <row r="7897" spans="1:8">
      <c r="A7897" s="815">
        <v>45803</v>
      </c>
      <c r="B7897" s="816"/>
      <c r="C7897" s="816" t="s">
        <v>150</v>
      </c>
      <c r="D7897" s="3" t="s">
        <v>319</v>
      </c>
      <c r="E7897" s="1497"/>
      <c r="F7897" s="1497">
        <v>500000</v>
      </c>
      <c r="G7897" s="816" t="s">
        <v>56</v>
      </c>
      <c r="H7897" s="3"/>
    </row>
    <row r="7898" spans="1:8">
      <c r="A7898" s="815">
        <v>45804</v>
      </c>
      <c r="B7898" s="813"/>
      <c r="C7898" s="813" t="s">
        <v>77</v>
      </c>
      <c r="D7898" s="3" t="s">
        <v>360</v>
      </c>
      <c r="E7898" s="1497"/>
      <c r="F7898" s="1497">
        <v>3920000</v>
      </c>
      <c r="G7898" s="813" t="s">
        <v>56</v>
      </c>
      <c r="H7898" s="3"/>
    </row>
    <row r="7899" spans="1:8">
      <c r="A7899" s="815">
        <v>45804</v>
      </c>
      <c r="B7899" s="813"/>
      <c r="C7899" s="813" t="s">
        <v>77</v>
      </c>
      <c r="D7899" s="3" t="s">
        <v>3763</v>
      </c>
      <c r="E7899" s="1497"/>
      <c r="F7899" s="1497">
        <v>780000</v>
      </c>
      <c r="G7899" s="813" t="s">
        <v>72</v>
      </c>
      <c r="H7899" s="3" t="s">
        <v>3764</v>
      </c>
    </row>
    <row r="7900" spans="1:8">
      <c r="A7900" s="815">
        <v>45804</v>
      </c>
      <c r="B7900" s="813"/>
      <c r="C7900" s="813" t="s">
        <v>86</v>
      </c>
      <c r="D7900" s="3" t="s">
        <v>86</v>
      </c>
      <c r="E7900" s="1497">
        <v>40865.58</v>
      </c>
      <c r="F7900" s="1497"/>
      <c r="G7900" s="813" t="s">
        <v>56</v>
      </c>
      <c r="H7900" s="3" t="s">
        <v>3460</v>
      </c>
    </row>
    <row r="7901" spans="1:8">
      <c r="A7901" s="818">
        <v>45805</v>
      </c>
      <c r="B7901" s="817"/>
      <c r="C7901" s="817" t="s">
        <v>28</v>
      </c>
      <c r="D7901" s="3" t="s">
        <v>3765</v>
      </c>
      <c r="E7901" s="1497">
        <v>58005.7</v>
      </c>
      <c r="F7901" s="1497"/>
      <c r="G7901" s="817" t="s">
        <v>56</v>
      </c>
      <c r="H7901" s="3"/>
    </row>
    <row r="7902" spans="1:8">
      <c r="A7902" s="13">
        <v>45805</v>
      </c>
      <c r="B7902" s="12"/>
      <c r="C7902" s="12" t="s">
        <v>849</v>
      </c>
      <c r="D7902" s="89" t="s">
        <v>2174</v>
      </c>
      <c r="E7902" s="12">
        <v>6500</v>
      </c>
      <c r="F7902" s="12"/>
      <c r="G7902" s="12" t="s">
        <v>56</v>
      </c>
      <c r="H7902" s="113"/>
    </row>
    <row r="7903" spans="1:8">
      <c r="A7903" s="818">
        <v>45805</v>
      </c>
      <c r="B7903" s="817"/>
      <c r="C7903" s="817" t="s">
        <v>3768</v>
      </c>
      <c r="D7903" s="3" t="s">
        <v>3767</v>
      </c>
      <c r="E7903" s="1497">
        <v>620402.5</v>
      </c>
      <c r="F7903" s="1497"/>
      <c r="G7903" s="817" t="s">
        <v>27</v>
      </c>
      <c r="H7903" s="3"/>
    </row>
    <row r="7904" spans="1:8">
      <c r="A7904" s="13">
        <v>45805</v>
      </c>
      <c r="B7904" s="817"/>
      <c r="C7904" s="817" t="s">
        <v>3768</v>
      </c>
      <c r="D7904" s="3" t="s">
        <v>3767</v>
      </c>
      <c r="E7904" s="1497">
        <v>709782.51</v>
      </c>
      <c r="F7904" s="1497"/>
      <c r="G7904" s="817" t="s">
        <v>27</v>
      </c>
      <c r="H7904" s="3"/>
    </row>
    <row r="7905" spans="1:8">
      <c r="A7905" s="819">
        <v>45805</v>
      </c>
      <c r="B7905" s="820"/>
      <c r="C7905" s="820" t="s">
        <v>79</v>
      </c>
      <c r="D7905" s="3" t="s">
        <v>1218</v>
      </c>
      <c r="E7905" s="1497">
        <v>660000</v>
      </c>
      <c r="F7905" s="1497"/>
      <c r="G7905" s="820" t="s">
        <v>56</v>
      </c>
      <c r="H7905" s="3"/>
    </row>
    <row r="7906" spans="1:8">
      <c r="A7906" s="819">
        <v>45805</v>
      </c>
      <c r="B7906" s="820"/>
      <c r="C7906" s="820" t="s">
        <v>90</v>
      </c>
      <c r="D7906" s="3" t="s">
        <v>3769</v>
      </c>
      <c r="E7906" s="1497">
        <v>113160.25</v>
      </c>
      <c r="F7906" s="1497"/>
      <c r="G7906" s="820" t="s">
        <v>27</v>
      </c>
      <c r="H7906" s="3"/>
    </row>
    <row r="7907" spans="1:8">
      <c r="A7907" s="827">
        <v>45805</v>
      </c>
      <c r="B7907" s="826"/>
      <c r="C7907" s="826" t="s">
        <v>77</v>
      </c>
      <c r="D7907" s="3" t="s">
        <v>3597</v>
      </c>
      <c r="E7907" s="1497"/>
      <c r="F7907" s="1497">
        <v>82800</v>
      </c>
      <c r="G7907" s="826" t="s">
        <v>56</v>
      </c>
      <c r="H7907" s="3" t="s">
        <v>3786</v>
      </c>
    </row>
    <row r="7908" spans="1:8">
      <c r="A7908" s="819">
        <v>45806</v>
      </c>
      <c r="B7908" s="820"/>
      <c r="C7908" s="820" t="s">
        <v>3229</v>
      </c>
      <c r="D7908" s="3" t="s">
        <v>3770</v>
      </c>
      <c r="E7908" s="1497">
        <v>74276.72</v>
      </c>
      <c r="F7908" s="1497"/>
      <c r="G7908" s="820" t="s">
        <v>27</v>
      </c>
      <c r="H7908" s="3"/>
    </row>
    <row r="7909" spans="1:8">
      <c r="A7909" s="819">
        <v>45806</v>
      </c>
      <c r="B7909" s="820"/>
      <c r="C7909" s="820" t="s">
        <v>150</v>
      </c>
      <c r="D7909" s="3" t="s">
        <v>650</v>
      </c>
      <c r="E7909" s="1497">
        <v>30000</v>
      </c>
      <c r="F7909" s="1497"/>
      <c r="G7909" s="820" t="s">
        <v>27</v>
      </c>
      <c r="H7909" s="3"/>
    </row>
    <row r="7910" spans="1:8">
      <c r="A7910" s="819">
        <v>45806</v>
      </c>
      <c r="B7910" s="820"/>
      <c r="C7910" s="820" t="s">
        <v>150</v>
      </c>
      <c r="D7910" s="3" t="s">
        <v>3000</v>
      </c>
      <c r="E7910" s="1497">
        <v>750</v>
      </c>
      <c r="F7910" s="1497"/>
      <c r="G7910" s="820" t="s">
        <v>27</v>
      </c>
      <c r="H7910" s="3"/>
    </row>
    <row r="7911" spans="1:8">
      <c r="A7911" s="819">
        <v>45806</v>
      </c>
      <c r="B7911" s="820"/>
      <c r="C7911" s="820" t="s">
        <v>150</v>
      </c>
      <c r="D7911" s="3" t="s">
        <v>3000</v>
      </c>
      <c r="E7911" s="1497">
        <v>6300</v>
      </c>
      <c r="F7911" s="1497"/>
      <c r="G7911" s="820" t="s">
        <v>27</v>
      </c>
      <c r="H7911" s="3"/>
    </row>
    <row r="7912" spans="1:8">
      <c r="A7912" s="819">
        <v>45806</v>
      </c>
      <c r="B7912" s="820"/>
      <c r="C7912" s="820" t="s">
        <v>150</v>
      </c>
      <c r="D7912" s="3" t="s">
        <v>3000</v>
      </c>
      <c r="E7912" s="1497">
        <v>2950</v>
      </c>
      <c r="F7912" s="1497"/>
      <c r="G7912" s="820" t="s">
        <v>27</v>
      </c>
      <c r="H7912" s="3"/>
    </row>
    <row r="7913" spans="1:8">
      <c r="A7913" s="819">
        <v>45806</v>
      </c>
      <c r="B7913" s="820"/>
      <c r="C7913" s="820" t="s">
        <v>90</v>
      </c>
      <c r="D7913" s="3" t="s">
        <v>3771</v>
      </c>
      <c r="E7913" s="1497">
        <v>403526.84</v>
      </c>
      <c r="F7913" s="1497"/>
      <c r="G7913" s="820" t="s">
        <v>27</v>
      </c>
      <c r="H7913" s="3"/>
    </row>
    <row r="7914" spans="1:8">
      <c r="A7914" s="819">
        <v>45806</v>
      </c>
      <c r="B7914" s="817"/>
      <c r="C7914" s="817" t="s">
        <v>55</v>
      </c>
      <c r="D7914" s="3" t="s">
        <v>70</v>
      </c>
      <c r="E7914" s="1497">
        <v>3000</v>
      </c>
      <c r="F7914" s="1497"/>
      <c r="G7914" s="817" t="s">
        <v>56</v>
      </c>
      <c r="H7914" s="3"/>
    </row>
    <row r="7915" spans="1:8">
      <c r="A7915" s="819">
        <v>45806</v>
      </c>
      <c r="B7915" s="817"/>
      <c r="C7915" s="820" t="s">
        <v>55</v>
      </c>
      <c r="D7915" s="3" t="s">
        <v>70</v>
      </c>
      <c r="E7915" s="1497">
        <v>7791</v>
      </c>
      <c r="F7915" s="1497"/>
      <c r="G7915" s="817" t="s">
        <v>56</v>
      </c>
      <c r="H7915" s="3"/>
    </row>
    <row r="7916" spans="1:8">
      <c r="A7916" s="819">
        <v>45806</v>
      </c>
      <c r="B7916" s="820"/>
      <c r="C7916" s="820" t="s">
        <v>90</v>
      </c>
      <c r="D7916" s="3" t="s">
        <v>1951</v>
      </c>
      <c r="E7916" s="1497">
        <v>11000</v>
      </c>
      <c r="F7916" s="1497"/>
      <c r="G7916" s="820" t="s">
        <v>56</v>
      </c>
      <c r="H7916" s="3"/>
    </row>
    <row r="7917" spans="1:8">
      <c r="A7917" s="819">
        <v>45806</v>
      </c>
      <c r="B7917" s="820"/>
      <c r="C7917" s="820" t="s">
        <v>77</v>
      </c>
      <c r="D7917" s="3" t="s">
        <v>3772</v>
      </c>
      <c r="E7917" s="1497"/>
      <c r="F7917" s="1497">
        <v>2900000</v>
      </c>
      <c r="G7917" s="820" t="s">
        <v>56</v>
      </c>
      <c r="H7917" s="3"/>
    </row>
    <row r="7918" spans="1:8">
      <c r="A7918" s="819">
        <v>45806</v>
      </c>
      <c r="B7918" s="820"/>
      <c r="C7918" s="820" t="s">
        <v>1148</v>
      </c>
      <c r="D7918" s="3" t="s">
        <v>3773</v>
      </c>
      <c r="E7918" s="1497">
        <v>5200</v>
      </c>
      <c r="F7918" s="1497"/>
      <c r="G7918" s="820" t="s">
        <v>56</v>
      </c>
      <c r="H7918" s="3"/>
    </row>
    <row r="7919" spans="1:8">
      <c r="A7919" s="819">
        <v>45806</v>
      </c>
      <c r="B7919" s="820"/>
      <c r="C7919" s="820" t="s">
        <v>205</v>
      </c>
      <c r="D7919" s="3" t="s">
        <v>63</v>
      </c>
      <c r="E7919" s="1497">
        <v>2160</v>
      </c>
      <c r="F7919" s="1497"/>
      <c r="G7919" s="820" t="s">
        <v>56</v>
      </c>
      <c r="H7919" s="3"/>
    </row>
    <row r="7920" spans="1:8">
      <c r="A7920" s="819">
        <v>45806</v>
      </c>
      <c r="B7920" s="820"/>
      <c r="C7920" s="820" t="s">
        <v>537</v>
      </c>
      <c r="D7920" s="3" t="s">
        <v>208</v>
      </c>
      <c r="E7920" s="1497">
        <v>30000</v>
      </c>
      <c r="F7920" s="1497"/>
      <c r="G7920" s="820" t="s">
        <v>56</v>
      </c>
      <c r="H7920" s="3"/>
    </row>
    <row r="7921" spans="1:8">
      <c r="A7921" s="823">
        <v>45807</v>
      </c>
      <c r="B7921" s="820"/>
      <c r="C7921" s="820" t="s">
        <v>205</v>
      </c>
      <c r="D7921" s="3" t="s">
        <v>71</v>
      </c>
      <c r="E7921" s="1497">
        <v>317700</v>
      </c>
      <c r="F7921" s="1497"/>
      <c r="G7921" s="822" t="s">
        <v>287</v>
      </c>
      <c r="H7921" s="3"/>
    </row>
    <row r="7922" spans="1:8">
      <c r="A7922" s="823">
        <v>45807</v>
      </c>
      <c r="B7922" s="820"/>
      <c r="C7922" s="822" t="s">
        <v>205</v>
      </c>
      <c r="D7922" s="3" t="s">
        <v>71</v>
      </c>
      <c r="E7922" s="1497">
        <v>117300</v>
      </c>
      <c r="F7922" s="1497"/>
      <c r="G7922" s="822" t="s">
        <v>287</v>
      </c>
      <c r="H7922" s="3"/>
    </row>
    <row r="7923" spans="1:8">
      <c r="A7923" s="823">
        <v>45807</v>
      </c>
      <c r="B7923" s="820"/>
      <c r="C7923" s="820" t="s">
        <v>730</v>
      </c>
      <c r="D7923" s="3" t="s">
        <v>3730</v>
      </c>
      <c r="E7923" s="1497">
        <v>150000</v>
      </c>
      <c r="F7923" s="1497"/>
      <c r="G7923" s="820" t="s">
        <v>56</v>
      </c>
      <c r="H7923" s="3"/>
    </row>
    <row r="7924" spans="1:8">
      <c r="A7924" s="823">
        <v>45807</v>
      </c>
      <c r="B7924" s="820"/>
      <c r="C7924" s="820" t="s">
        <v>537</v>
      </c>
      <c r="D7924" s="3" t="s">
        <v>208</v>
      </c>
      <c r="E7924" s="1497">
        <v>150000</v>
      </c>
      <c r="F7924" s="1497"/>
      <c r="G7924" s="820" t="s">
        <v>56</v>
      </c>
      <c r="H7924" s="3"/>
    </row>
    <row r="7925" spans="1:8">
      <c r="A7925" s="823">
        <v>45807</v>
      </c>
      <c r="B7925" s="820"/>
      <c r="C7925" s="822" t="s">
        <v>537</v>
      </c>
      <c r="D7925" s="3" t="s">
        <v>219</v>
      </c>
      <c r="E7925" s="1497">
        <v>190000</v>
      </c>
      <c r="F7925" s="1497"/>
      <c r="G7925" s="820" t="s">
        <v>56</v>
      </c>
      <c r="H7925" s="3"/>
    </row>
    <row r="7926" spans="1:8">
      <c r="A7926" s="823">
        <v>45807</v>
      </c>
      <c r="B7926" s="820"/>
      <c r="C7926" s="822" t="s">
        <v>537</v>
      </c>
      <c r="D7926" s="3" t="s">
        <v>144</v>
      </c>
      <c r="E7926" s="1497">
        <v>366000</v>
      </c>
      <c r="F7926" s="1497"/>
      <c r="G7926" s="820" t="s">
        <v>56</v>
      </c>
      <c r="H7926" s="3"/>
    </row>
    <row r="7927" spans="1:8">
      <c r="A7927" s="823">
        <v>45807</v>
      </c>
      <c r="B7927" s="822"/>
      <c r="C7927" s="822" t="s">
        <v>537</v>
      </c>
      <c r="D7927" s="3" t="s">
        <v>193</v>
      </c>
      <c r="E7927" s="1497">
        <v>130000</v>
      </c>
      <c r="F7927" s="1497"/>
      <c r="G7927" s="822" t="s">
        <v>56</v>
      </c>
      <c r="H7927" s="3"/>
    </row>
    <row r="7928" spans="1:8" ht="15.75" thickBot="1">
      <c r="A7928" s="823">
        <v>45807</v>
      </c>
      <c r="B7928" s="822"/>
      <c r="C7928" s="822" t="s">
        <v>176</v>
      </c>
      <c r="D7928" s="3" t="s">
        <v>3777</v>
      </c>
      <c r="E7928" s="1497">
        <v>25000</v>
      </c>
      <c r="F7928" s="1497"/>
      <c r="G7928" s="822" t="s">
        <v>56</v>
      </c>
      <c r="H7928" s="85"/>
    </row>
    <row r="7929" spans="1:8" ht="15.75" thickBot="1">
      <c r="A7929" s="821"/>
      <c r="B7929" s="821"/>
      <c r="C7929" s="821"/>
      <c r="D7929" s="115"/>
      <c r="E7929" s="1492"/>
      <c r="F7929" s="1492"/>
      <c r="G7929" s="821"/>
      <c r="H7929" s="201">
        <v>45807</v>
      </c>
    </row>
    <row r="7930" spans="1:8">
      <c r="A7930" s="821"/>
      <c r="B7930" s="821"/>
      <c r="C7930" s="821"/>
      <c r="D7930" s="115"/>
      <c r="E7930" s="1492"/>
      <c r="F7930" s="1492"/>
      <c r="G7930" s="821"/>
      <c r="H7930" s="803" t="s">
        <v>3756</v>
      </c>
    </row>
    <row r="7931" spans="1:8">
      <c r="H7931" s="137" t="s">
        <v>3757</v>
      </c>
    </row>
    <row r="7932" spans="1:8">
      <c r="H7932" s="138" t="s">
        <v>3778</v>
      </c>
    </row>
    <row r="7933" spans="1:8">
      <c r="H7933" s="138" t="s">
        <v>3774</v>
      </c>
    </row>
    <row r="7934" spans="1:8">
      <c r="H7934" s="138" t="s">
        <v>3734</v>
      </c>
    </row>
    <row r="7935" spans="1:8">
      <c r="H7935" s="138" t="s">
        <v>3760</v>
      </c>
    </row>
    <row r="7936" spans="1:8">
      <c r="H7936" s="138" t="s">
        <v>3775</v>
      </c>
    </row>
    <row r="7937" spans="1:8">
      <c r="H7937" s="138" t="s">
        <v>3776</v>
      </c>
    </row>
    <row r="7938" spans="1:8" ht="15.75" thickBot="1">
      <c r="H7938" s="139" t="s">
        <v>3759</v>
      </c>
    </row>
    <row r="7939" spans="1:8" ht="15.75" thickBot="1">
      <c r="H7939" s="538" t="s">
        <v>3736</v>
      </c>
    </row>
    <row r="7940" spans="1:8">
      <c r="A7940" s="824">
        <v>45810</v>
      </c>
      <c r="B7940" s="825"/>
      <c r="C7940" s="825" t="s">
        <v>205</v>
      </c>
      <c r="D7940" s="3" t="s">
        <v>71</v>
      </c>
      <c r="E7940" s="1497">
        <v>261326</v>
      </c>
      <c r="F7940" s="1497"/>
      <c r="G7940" s="825" t="s">
        <v>27</v>
      </c>
      <c r="H7940" s="5"/>
    </row>
    <row r="7941" spans="1:8">
      <c r="A7941" s="824">
        <v>45810</v>
      </c>
      <c r="B7941" s="825"/>
      <c r="C7941" s="825" t="s">
        <v>205</v>
      </c>
      <c r="D7941" s="3" t="s">
        <v>3766</v>
      </c>
      <c r="E7941" s="1497">
        <v>205700</v>
      </c>
      <c r="F7941" s="1497"/>
      <c r="G7941" s="825" t="s">
        <v>27</v>
      </c>
      <c r="H7941" s="3"/>
    </row>
    <row r="7942" spans="1:8">
      <c r="A7942" s="824">
        <v>45810</v>
      </c>
      <c r="B7942" s="825"/>
      <c r="C7942" s="825" t="s">
        <v>199</v>
      </c>
      <c r="D7942" s="3" t="s">
        <v>3780</v>
      </c>
      <c r="E7942" s="1497"/>
      <c r="F7942" s="1497">
        <v>600000</v>
      </c>
      <c r="G7942" s="825" t="s">
        <v>27</v>
      </c>
      <c r="H7942" s="45" t="s">
        <v>1606</v>
      </c>
    </row>
    <row r="7943" spans="1:8">
      <c r="A7943" s="824">
        <v>45810</v>
      </c>
      <c r="B7943" s="825"/>
      <c r="C7943" s="825" t="s">
        <v>77</v>
      </c>
      <c r="D7943" s="3" t="s">
        <v>3779</v>
      </c>
      <c r="E7943" s="1497"/>
      <c r="F7943" s="1497">
        <v>195600</v>
      </c>
      <c r="G7943" s="825" t="s">
        <v>27</v>
      </c>
      <c r="H7943" s="45" t="s">
        <v>3781</v>
      </c>
    </row>
    <row r="7944" spans="1:8">
      <c r="A7944" s="827">
        <v>45810</v>
      </c>
      <c r="B7944" s="826"/>
      <c r="C7944" s="826" t="s">
        <v>55</v>
      </c>
      <c r="D7944" s="3" t="s">
        <v>847</v>
      </c>
      <c r="E7944" s="1497">
        <v>13000</v>
      </c>
      <c r="F7944" s="1497"/>
      <c r="G7944" s="826" t="s">
        <v>56</v>
      </c>
      <c r="H7944" s="3"/>
    </row>
    <row r="7945" spans="1:8">
      <c r="A7945" s="827">
        <v>45811</v>
      </c>
      <c r="B7945" s="826"/>
      <c r="C7945" s="826" t="s">
        <v>205</v>
      </c>
      <c r="D7945" s="3" t="s">
        <v>71</v>
      </c>
      <c r="E7945" s="1497">
        <v>367680</v>
      </c>
      <c r="F7945" s="1497"/>
      <c r="G7945" s="826" t="s">
        <v>27</v>
      </c>
      <c r="H7945" s="3"/>
    </row>
    <row r="7946" spans="1:8">
      <c r="A7946" s="827">
        <v>45811</v>
      </c>
      <c r="B7946" s="826"/>
      <c r="C7946" s="826" t="s">
        <v>1829</v>
      </c>
      <c r="D7946" s="3" t="s">
        <v>1002</v>
      </c>
      <c r="E7946" s="1497">
        <v>6280</v>
      </c>
      <c r="F7946" s="1497"/>
      <c r="G7946" s="826" t="s">
        <v>27</v>
      </c>
      <c r="H7946" s="3"/>
    </row>
    <row r="7947" spans="1:8">
      <c r="A7947" s="827">
        <v>45811</v>
      </c>
      <c r="B7947" s="826"/>
      <c r="C7947" s="826" t="s">
        <v>715</v>
      </c>
      <c r="D7947" s="3" t="s">
        <v>3783</v>
      </c>
      <c r="E7947" s="1497">
        <v>43919.92</v>
      </c>
      <c r="F7947" s="1497"/>
      <c r="G7947" s="826" t="s">
        <v>27</v>
      </c>
      <c r="H7947" s="3"/>
    </row>
    <row r="7948" spans="1:8">
      <c r="A7948" s="827">
        <v>45811</v>
      </c>
      <c r="B7948" s="826"/>
      <c r="C7948" s="826" t="s">
        <v>715</v>
      </c>
      <c r="D7948" s="3" t="s">
        <v>3784</v>
      </c>
      <c r="E7948" s="1497">
        <v>15403.47</v>
      </c>
      <c r="F7948" s="1497"/>
      <c r="G7948" s="826" t="s">
        <v>27</v>
      </c>
      <c r="H7948" s="3"/>
    </row>
    <row r="7949" spans="1:8">
      <c r="A7949" s="827">
        <v>45811</v>
      </c>
      <c r="B7949" s="826"/>
      <c r="C7949" s="826" t="s">
        <v>715</v>
      </c>
      <c r="D7949" s="3" t="s">
        <v>3785</v>
      </c>
      <c r="E7949" s="1497">
        <v>15403.47</v>
      </c>
      <c r="F7949" s="1497"/>
      <c r="G7949" s="826" t="s">
        <v>27</v>
      </c>
      <c r="H7949" s="3"/>
    </row>
    <row r="7950" spans="1:8">
      <c r="A7950" s="827">
        <v>45811</v>
      </c>
      <c r="B7950" s="826"/>
      <c r="C7950" s="826" t="s">
        <v>150</v>
      </c>
      <c r="D7950" s="3" t="s">
        <v>252</v>
      </c>
      <c r="E7950" s="1497"/>
      <c r="F7950" s="1497">
        <v>500000</v>
      </c>
      <c r="G7950" s="826" t="s">
        <v>56</v>
      </c>
      <c r="H7950" s="3"/>
    </row>
    <row r="7951" spans="1:8">
      <c r="A7951" s="827">
        <v>45811</v>
      </c>
      <c r="B7951" s="826"/>
      <c r="C7951" s="826" t="s">
        <v>205</v>
      </c>
      <c r="D7951" s="3" t="s">
        <v>3787</v>
      </c>
      <c r="E7951" s="1497">
        <v>445341</v>
      </c>
      <c r="F7951" s="1497"/>
      <c r="G7951" s="826" t="s">
        <v>27</v>
      </c>
      <c r="H7951" s="3"/>
    </row>
    <row r="7952" spans="1:8">
      <c r="A7952" s="827">
        <v>45811</v>
      </c>
      <c r="B7952" s="826"/>
      <c r="C7952" s="826" t="s">
        <v>205</v>
      </c>
      <c r="D7952" s="3" t="s">
        <v>432</v>
      </c>
      <c r="E7952" s="1497">
        <v>116886</v>
      </c>
      <c r="F7952" s="1497"/>
      <c r="G7952" s="826" t="s">
        <v>108</v>
      </c>
      <c r="H7952" s="3"/>
    </row>
    <row r="7953" spans="1:8">
      <c r="A7953" s="827">
        <v>45811</v>
      </c>
      <c r="B7953" s="826"/>
      <c r="C7953" s="826" t="s">
        <v>55</v>
      </c>
      <c r="D7953" s="3" t="s">
        <v>70</v>
      </c>
      <c r="E7953" s="1497">
        <v>8076</v>
      </c>
      <c r="F7953" s="1497"/>
      <c r="G7953" s="826" t="s">
        <v>56</v>
      </c>
      <c r="H7953" s="3"/>
    </row>
    <row r="7954" spans="1:8">
      <c r="A7954" s="828">
        <v>45811</v>
      </c>
      <c r="B7954" s="826"/>
      <c r="C7954" s="826" t="s">
        <v>537</v>
      </c>
      <c r="D7954" s="3" t="s">
        <v>208</v>
      </c>
      <c r="E7954" s="1497">
        <v>30000</v>
      </c>
      <c r="F7954" s="1497"/>
      <c r="G7954" s="826" t="s">
        <v>56</v>
      </c>
      <c r="H7954" s="3"/>
    </row>
    <row r="7955" spans="1:8">
      <c r="A7955" s="829">
        <v>45813</v>
      </c>
      <c r="B7955" s="826"/>
      <c r="C7955" s="830" t="s">
        <v>55</v>
      </c>
      <c r="D7955" s="3" t="s">
        <v>3788</v>
      </c>
      <c r="E7955" s="1497">
        <v>4000</v>
      </c>
      <c r="F7955" s="1497"/>
      <c r="G7955" s="826" t="s">
        <v>56</v>
      </c>
      <c r="H7955" s="3"/>
    </row>
    <row r="7956" spans="1:8">
      <c r="A7956" s="829">
        <v>45813</v>
      </c>
      <c r="B7956" s="826"/>
      <c r="C7956" s="826" t="s">
        <v>205</v>
      </c>
      <c r="D7956" s="3" t="s">
        <v>3689</v>
      </c>
      <c r="E7956" s="1497">
        <v>90000</v>
      </c>
      <c r="F7956" s="1497"/>
      <c r="G7956" s="826" t="s">
        <v>56</v>
      </c>
      <c r="H7956" s="3"/>
    </row>
    <row r="7957" spans="1:8">
      <c r="A7957" s="829">
        <v>45813</v>
      </c>
      <c r="B7957" s="826"/>
      <c r="C7957" s="826" t="s">
        <v>90</v>
      </c>
      <c r="D7957" s="3" t="s">
        <v>1951</v>
      </c>
      <c r="E7957" s="1497">
        <v>12000</v>
      </c>
      <c r="F7957" s="1497"/>
      <c r="G7957" s="826" t="s">
        <v>56</v>
      </c>
      <c r="H7957" s="3"/>
    </row>
    <row r="7958" spans="1:8">
      <c r="A7958" s="829">
        <v>45813</v>
      </c>
      <c r="B7958" s="826"/>
      <c r="C7958" s="826" t="s">
        <v>205</v>
      </c>
      <c r="D7958" s="3" t="s">
        <v>613</v>
      </c>
      <c r="E7958" s="1497">
        <v>7000</v>
      </c>
      <c r="F7958" s="1497"/>
      <c r="G7958" s="826" t="s">
        <v>56</v>
      </c>
      <c r="H7958" s="3"/>
    </row>
    <row r="7959" spans="1:8">
      <c r="A7959" s="832">
        <v>45813</v>
      </c>
      <c r="B7959" s="826"/>
      <c r="C7959" s="826"/>
      <c r="D7959" s="3" t="s">
        <v>3780</v>
      </c>
      <c r="E7959" s="1497">
        <v>75000</v>
      </c>
      <c r="F7959" s="1497"/>
      <c r="G7959" s="826" t="s">
        <v>27</v>
      </c>
      <c r="H7959" s="3"/>
    </row>
    <row r="7960" spans="1:8">
      <c r="A7960" s="832">
        <v>45814</v>
      </c>
      <c r="B7960" s="826"/>
      <c r="C7960" s="826" t="s">
        <v>94</v>
      </c>
      <c r="D7960" s="3" t="s">
        <v>3545</v>
      </c>
      <c r="E7960" s="1497">
        <v>41846</v>
      </c>
      <c r="F7960" s="1497"/>
      <c r="G7960" s="826" t="s">
        <v>56</v>
      </c>
      <c r="H7960" s="3"/>
    </row>
    <row r="7961" spans="1:8">
      <c r="A7961" s="832">
        <v>45814</v>
      </c>
      <c r="B7961" s="831"/>
      <c r="C7961" s="831" t="s">
        <v>205</v>
      </c>
      <c r="D7961" s="3" t="s">
        <v>48</v>
      </c>
      <c r="E7961" s="1497">
        <v>84474</v>
      </c>
      <c r="F7961" s="1497"/>
      <c r="G7961" s="831" t="s">
        <v>27</v>
      </c>
      <c r="H7961" s="3"/>
    </row>
    <row r="7962" spans="1:8">
      <c r="A7962" s="832">
        <v>45814</v>
      </c>
      <c r="B7962" s="826"/>
      <c r="C7962" s="826" t="s">
        <v>150</v>
      </c>
      <c r="D7962" s="3" t="s">
        <v>319</v>
      </c>
      <c r="E7962" s="1497"/>
      <c r="F7962" s="1497">
        <v>300000</v>
      </c>
      <c r="G7962" s="826" t="s">
        <v>56</v>
      </c>
      <c r="H7962" s="3"/>
    </row>
    <row r="7963" spans="1:8">
      <c r="A7963" s="832">
        <v>45814</v>
      </c>
      <c r="B7963" s="830"/>
      <c r="C7963" s="831" t="s">
        <v>150</v>
      </c>
      <c r="D7963" s="3" t="s">
        <v>252</v>
      </c>
      <c r="E7963" s="1497"/>
      <c r="F7963" s="1497">
        <v>200000</v>
      </c>
      <c r="G7963" s="830" t="s">
        <v>56</v>
      </c>
      <c r="H7963" s="3"/>
    </row>
    <row r="7964" spans="1:8">
      <c r="A7964" s="832">
        <v>45814</v>
      </c>
      <c r="B7964" s="830"/>
      <c r="C7964" s="830" t="s">
        <v>205</v>
      </c>
      <c r="D7964" s="3" t="s">
        <v>48</v>
      </c>
      <c r="E7964" s="1497">
        <v>1200000</v>
      </c>
      <c r="F7964" s="1497"/>
      <c r="G7964" s="830" t="s">
        <v>56</v>
      </c>
      <c r="H7964" s="3"/>
    </row>
    <row r="7965" spans="1:8">
      <c r="A7965" s="832">
        <v>45814</v>
      </c>
      <c r="B7965" s="830"/>
      <c r="C7965" s="830" t="s">
        <v>92</v>
      </c>
      <c r="D7965" s="3" t="s">
        <v>3789</v>
      </c>
      <c r="E7965" s="1497"/>
      <c r="F7965" s="1497">
        <v>477000</v>
      </c>
      <c r="G7965" s="831" t="s">
        <v>56</v>
      </c>
      <c r="H7965" s="3"/>
    </row>
    <row r="7966" spans="1:8">
      <c r="A7966" s="832">
        <v>45814</v>
      </c>
      <c r="B7966" s="831"/>
      <c r="C7966" s="831" t="s">
        <v>79</v>
      </c>
      <c r="D7966" s="3" t="s">
        <v>3790</v>
      </c>
      <c r="E7966" s="1497">
        <v>54000</v>
      </c>
      <c r="F7966" s="1497"/>
      <c r="G7966" s="831" t="s">
        <v>56</v>
      </c>
      <c r="H7966" s="3"/>
    </row>
    <row r="7967" spans="1:8">
      <c r="A7967" s="832">
        <v>45814</v>
      </c>
      <c r="B7967" s="831"/>
      <c r="C7967" s="831" t="s">
        <v>79</v>
      </c>
      <c r="D7967" s="3" t="s">
        <v>79</v>
      </c>
      <c r="E7967" s="1497">
        <v>16000</v>
      </c>
      <c r="F7967" s="1497"/>
      <c r="G7967" s="831" t="s">
        <v>56</v>
      </c>
      <c r="H7967" s="3"/>
    </row>
    <row r="7968" spans="1:8">
      <c r="A7968" s="832">
        <v>45814</v>
      </c>
      <c r="B7968" s="831"/>
      <c r="C7968" s="831" t="s">
        <v>3021</v>
      </c>
      <c r="D7968" s="15" t="s">
        <v>3791</v>
      </c>
      <c r="E7968" s="1497">
        <v>30647</v>
      </c>
      <c r="F7968" s="1497"/>
      <c r="G7968" s="831" t="s">
        <v>56</v>
      </c>
      <c r="H7968" s="3"/>
    </row>
    <row r="7969" spans="1:8">
      <c r="A7969" s="832">
        <v>45814</v>
      </c>
      <c r="B7969" s="831"/>
      <c r="C7969" s="831" t="s">
        <v>3021</v>
      </c>
      <c r="D7969" s="3" t="s">
        <v>104</v>
      </c>
      <c r="E7969" s="1497">
        <v>30000</v>
      </c>
      <c r="F7969" s="1497"/>
      <c r="G7969" s="831" t="s">
        <v>56</v>
      </c>
      <c r="H7969" s="3"/>
    </row>
    <row r="7970" spans="1:8">
      <c r="A7970" s="832">
        <v>45814</v>
      </c>
      <c r="B7970" s="831"/>
      <c r="C7970" s="831" t="s">
        <v>88</v>
      </c>
      <c r="D7970" s="3" t="s">
        <v>208</v>
      </c>
      <c r="E7970" s="1497">
        <v>10000</v>
      </c>
      <c r="F7970" s="1497"/>
      <c r="G7970" s="831" t="s">
        <v>56</v>
      </c>
      <c r="H7970" s="3"/>
    </row>
    <row r="7971" spans="1:8">
      <c r="A7971" s="832">
        <v>45814</v>
      </c>
      <c r="B7971" s="831"/>
      <c r="C7971" s="831" t="s">
        <v>88</v>
      </c>
      <c r="D7971" s="3" t="s">
        <v>208</v>
      </c>
      <c r="E7971" s="1497">
        <v>200000</v>
      </c>
      <c r="F7971" s="1497"/>
      <c r="G7971" s="831" t="s">
        <v>56</v>
      </c>
      <c r="H7971" s="3"/>
    </row>
    <row r="7972" spans="1:8">
      <c r="A7972" s="832">
        <v>45814</v>
      </c>
      <c r="B7972" s="831"/>
      <c r="C7972" s="831" t="s">
        <v>88</v>
      </c>
      <c r="D7972" s="3" t="s">
        <v>193</v>
      </c>
      <c r="E7972" s="1497">
        <v>130000</v>
      </c>
      <c r="F7972" s="1497"/>
      <c r="G7972" s="831" t="s">
        <v>56</v>
      </c>
      <c r="H7972" s="3"/>
    </row>
    <row r="7973" spans="1:8">
      <c r="A7973" s="832">
        <v>45814</v>
      </c>
      <c r="B7973" s="831"/>
      <c r="C7973" s="831" t="s">
        <v>88</v>
      </c>
      <c r="D7973" s="3" t="s">
        <v>144</v>
      </c>
      <c r="E7973" s="1497">
        <v>480000</v>
      </c>
      <c r="F7973" s="1497"/>
      <c r="G7973" s="831" t="s">
        <v>56</v>
      </c>
      <c r="H7973" s="3"/>
    </row>
    <row r="7974" spans="1:8">
      <c r="A7974" s="832">
        <v>45814</v>
      </c>
      <c r="B7974" s="831"/>
      <c r="C7974" s="831" t="s">
        <v>88</v>
      </c>
      <c r="D7974" s="3" t="s">
        <v>219</v>
      </c>
      <c r="E7974" s="1497">
        <v>250000</v>
      </c>
      <c r="F7974" s="1497"/>
      <c r="G7974" s="831" t="s">
        <v>56</v>
      </c>
      <c r="H7974" s="3"/>
    </row>
    <row r="7975" spans="1:8" ht="15.75" thickBot="1">
      <c r="A7975" s="832">
        <v>45814</v>
      </c>
      <c r="B7975" s="831"/>
      <c r="C7975" s="831" t="s">
        <v>88</v>
      </c>
      <c r="D7975" s="3" t="s">
        <v>246</v>
      </c>
      <c r="E7975" s="1497">
        <v>106057.84</v>
      </c>
      <c r="F7975" s="1497"/>
      <c r="G7975" s="831" t="s">
        <v>27</v>
      </c>
      <c r="H7975" s="3"/>
    </row>
    <row r="7976" spans="1:8" ht="15.75" thickBot="1">
      <c r="H7976" s="201">
        <v>45814</v>
      </c>
    </row>
    <row r="7977" spans="1:8">
      <c r="H7977" s="803" t="s">
        <v>3796</v>
      </c>
    </row>
    <row r="7978" spans="1:8">
      <c r="H7978" s="137" t="s">
        <v>3795</v>
      </c>
    </row>
    <row r="7979" spans="1:8">
      <c r="H7979" s="138" t="s">
        <v>3792</v>
      </c>
    </row>
    <row r="7980" spans="1:8">
      <c r="H7980" s="138" t="s">
        <v>3793</v>
      </c>
    </row>
    <row r="7981" spans="1:8">
      <c r="H7981" s="138" t="s">
        <v>3734</v>
      </c>
    </row>
    <row r="7982" spans="1:8">
      <c r="H7982" s="138" t="s">
        <v>3760</v>
      </c>
    </row>
    <row r="7983" spans="1:8">
      <c r="H7983" s="138" t="s">
        <v>3775</v>
      </c>
    </row>
    <row r="7984" spans="1:8">
      <c r="H7984" s="138" t="s">
        <v>3794</v>
      </c>
    </row>
    <row r="7985" spans="1:8" ht="15.75" thickBot="1">
      <c r="H7985" s="139" t="s">
        <v>3759</v>
      </c>
    </row>
    <row r="7986" spans="1:8" ht="15.75" thickBot="1">
      <c r="H7986" s="538" t="s">
        <v>3736</v>
      </c>
    </row>
    <row r="7987" spans="1:8">
      <c r="A7987" s="834">
        <v>45817</v>
      </c>
      <c r="B7987" s="833"/>
      <c r="C7987" s="833" t="s">
        <v>77</v>
      </c>
      <c r="D7987" s="3" t="s">
        <v>3797</v>
      </c>
      <c r="E7987" s="1497"/>
      <c r="F7987" s="1497">
        <v>96000</v>
      </c>
      <c r="G7987" s="833" t="s">
        <v>27</v>
      </c>
      <c r="H7987" s="5"/>
    </row>
    <row r="7988" spans="1:8">
      <c r="A7988" s="834">
        <v>45817</v>
      </c>
      <c r="B7988" s="833"/>
      <c r="C7988" s="833" t="s">
        <v>92</v>
      </c>
      <c r="D7988" s="3" t="s">
        <v>3799</v>
      </c>
      <c r="E7988" s="1497"/>
      <c r="F7988" s="1497">
        <v>82643</v>
      </c>
      <c r="G7988" s="833" t="s">
        <v>27</v>
      </c>
      <c r="H7988" s="3"/>
    </row>
    <row r="7989" spans="1:8">
      <c r="A7989" s="834">
        <v>45817</v>
      </c>
      <c r="B7989" s="833"/>
      <c r="C7989" s="833" t="s">
        <v>92</v>
      </c>
      <c r="D7989" s="3" t="s">
        <v>3798</v>
      </c>
      <c r="E7989" s="1497"/>
      <c r="F7989" s="1497">
        <v>484149.28</v>
      </c>
      <c r="G7989" s="833" t="s">
        <v>27</v>
      </c>
      <c r="H7989" s="3"/>
    </row>
    <row r="7990" spans="1:8">
      <c r="A7990" s="834">
        <v>45817</v>
      </c>
      <c r="B7990" s="833"/>
      <c r="C7990" s="833" t="s">
        <v>92</v>
      </c>
      <c r="D7990" s="3" t="s">
        <v>1318</v>
      </c>
      <c r="E7990" s="1497"/>
      <c r="F7990" s="1497">
        <v>685700</v>
      </c>
      <c r="G7990" s="833" t="s">
        <v>27</v>
      </c>
      <c r="H7990" s="3"/>
    </row>
    <row r="7991" spans="1:8">
      <c r="A7991" s="834" t="s">
        <v>3802</v>
      </c>
      <c r="B7991" s="833"/>
      <c r="C7991" s="833" t="s">
        <v>103</v>
      </c>
      <c r="D7991" s="3" t="s">
        <v>22</v>
      </c>
      <c r="E7991" s="1497">
        <v>83428.06</v>
      </c>
      <c r="F7991" s="1497"/>
      <c r="G7991" s="833" t="s">
        <v>27</v>
      </c>
      <c r="H7991" s="3"/>
    </row>
    <row r="7992" spans="1:8">
      <c r="A7992" s="834">
        <v>45817</v>
      </c>
      <c r="B7992" s="833"/>
      <c r="C7992" s="833" t="s">
        <v>55</v>
      </c>
      <c r="D7992" s="3" t="s">
        <v>514</v>
      </c>
      <c r="E7992" s="1497">
        <v>10000</v>
      </c>
      <c r="F7992" s="1497"/>
      <c r="G7992" s="833" t="s">
        <v>27</v>
      </c>
      <c r="H7992" s="3"/>
    </row>
    <row r="7993" spans="1:8">
      <c r="A7993" s="834">
        <v>45817</v>
      </c>
      <c r="B7993" s="833"/>
      <c r="C7993" s="833" t="s">
        <v>174</v>
      </c>
      <c r="D7993" s="3" t="s">
        <v>2630</v>
      </c>
      <c r="E7993" s="1497">
        <v>32079</v>
      </c>
      <c r="F7993" s="1497"/>
      <c r="G7993" s="833" t="s">
        <v>27</v>
      </c>
      <c r="H7993" s="3"/>
    </row>
    <row r="7994" spans="1:8">
      <c r="A7994" s="834">
        <v>45818</v>
      </c>
      <c r="B7994" s="833"/>
      <c r="C7994" s="833" t="s">
        <v>55</v>
      </c>
      <c r="D7994" s="3" t="s">
        <v>3800</v>
      </c>
      <c r="E7994" s="1497">
        <v>60000</v>
      </c>
      <c r="F7994" s="1497"/>
      <c r="G7994" s="833" t="s">
        <v>56</v>
      </c>
      <c r="H7994" s="3"/>
    </row>
    <row r="7995" spans="1:8">
      <c r="A7995" s="834">
        <v>45818</v>
      </c>
      <c r="B7995" s="833"/>
      <c r="C7995" s="833" t="s">
        <v>79</v>
      </c>
      <c r="D7995" s="3" t="s">
        <v>79</v>
      </c>
      <c r="E7995" s="1497">
        <v>17000</v>
      </c>
      <c r="F7995" s="1497"/>
      <c r="G7995" s="833" t="s">
        <v>56</v>
      </c>
      <c r="H7995" s="3"/>
    </row>
    <row r="7996" spans="1:8">
      <c r="A7996" s="834">
        <v>45818</v>
      </c>
      <c r="B7996" s="833"/>
      <c r="C7996" s="833" t="s">
        <v>205</v>
      </c>
      <c r="D7996" s="3" t="s">
        <v>846</v>
      </c>
      <c r="E7996" s="1497">
        <v>183715</v>
      </c>
      <c r="F7996" s="1497"/>
      <c r="G7996" s="833" t="s">
        <v>27</v>
      </c>
      <c r="H7996" s="3"/>
    </row>
    <row r="7997" spans="1:8">
      <c r="A7997" s="834">
        <v>45818</v>
      </c>
      <c r="B7997" s="833"/>
      <c r="C7997" s="833" t="s">
        <v>205</v>
      </c>
      <c r="D7997" s="3" t="s">
        <v>3056</v>
      </c>
      <c r="E7997" s="1497">
        <v>125000</v>
      </c>
      <c r="F7997" s="1497"/>
      <c r="G7997" s="833" t="s">
        <v>27</v>
      </c>
      <c r="H7997" s="3"/>
    </row>
    <row r="7998" spans="1:8">
      <c r="A7998" s="834">
        <v>45818</v>
      </c>
      <c r="B7998" s="833"/>
      <c r="C7998" s="833" t="s">
        <v>79</v>
      </c>
      <c r="D7998" s="15" t="s">
        <v>252</v>
      </c>
      <c r="E7998" s="1497">
        <v>319000</v>
      </c>
      <c r="F7998" s="1497"/>
      <c r="G7998" s="833" t="s">
        <v>56</v>
      </c>
      <c r="H7998" s="3"/>
    </row>
    <row r="7999" spans="1:8">
      <c r="A7999" s="834">
        <v>45818</v>
      </c>
      <c r="B7999" s="833"/>
      <c r="C7999" s="833" t="s">
        <v>79</v>
      </c>
      <c r="D7999" s="3" t="s">
        <v>3801</v>
      </c>
      <c r="E7999" s="1497">
        <v>340000</v>
      </c>
      <c r="F7999" s="1497"/>
      <c r="G7999" s="833" t="s">
        <v>56</v>
      </c>
      <c r="H7999" s="3"/>
    </row>
    <row r="8000" spans="1:8">
      <c r="A8000" s="834">
        <v>45818</v>
      </c>
      <c r="B8000" s="833"/>
      <c r="C8000" s="833" t="s">
        <v>77</v>
      </c>
      <c r="D8000" s="3" t="s">
        <v>3772</v>
      </c>
      <c r="E8000" s="1497"/>
      <c r="F8000" s="1497">
        <v>520000</v>
      </c>
      <c r="G8000" s="833" t="s">
        <v>56</v>
      </c>
      <c r="H8000" s="3"/>
    </row>
    <row r="8001" spans="1:8">
      <c r="A8001" s="834">
        <v>45818</v>
      </c>
      <c r="B8001" s="833"/>
      <c r="C8001" s="833" t="s">
        <v>176</v>
      </c>
      <c r="D8001" s="3" t="s">
        <v>3777</v>
      </c>
      <c r="E8001" s="1497">
        <v>281000</v>
      </c>
      <c r="F8001" s="1497"/>
      <c r="G8001" s="833" t="s">
        <v>56</v>
      </c>
      <c r="H8001" s="3"/>
    </row>
    <row r="8002" spans="1:8">
      <c r="A8002" s="834">
        <v>45818</v>
      </c>
      <c r="B8002" s="833"/>
      <c r="C8002" s="833" t="s">
        <v>94</v>
      </c>
      <c r="D8002" s="3" t="s">
        <v>17</v>
      </c>
      <c r="E8002" s="1497">
        <v>74583.56</v>
      </c>
      <c r="F8002" s="1497"/>
      <c r="G8002" s="833" t="s">
        <v>27</v>
      </c>
      <c r="H8002" s="3"/>
    </row>
    <row r="8003" spans="1:8">
      <c r="A8003" s="834">
        <v>45818</v>
      </c>
      <c r="B8003" s="833"/>
      <c r="C8003" s="833" t="s">
        <v>205</v>
      </c>
      <c r="D8003" s="3" t="s">
        <v>63</v>
      </c>
      <c r="E8003" s="1497">
        <v>6000</v>
      </c>
      <c r="F8003" s="1497"/>
      <c r="G8003" s="833" t="s">
        <v>56</v>
      </c>
      <c r="H8003" s="3"/>
    </row>
    <row r="8004" spans="1:8">
      <c r="A8004" s="835">
        <v>45818</v>
      </c>
      <c r="B8004" s="833"/>
      <c r="C8004" s="833" t="s">
        <v>79</v>
      </c>
      <c r="D8004" s="3" t="s">
        <v>79</v>
      </c>
      <c r="E8004" s="1497">
        <v>32000</v>
      </c>
      <c r="F8004" s="1497"/>
      <c r="G8004" s="833" t="s">
        <v>56</v>
      </c>
      <c r="H8004" s="3"/>
    </row>
    <row r="8005" spans="1:8">
      <c r="A8005" s="835">
        <v>45818</v>
      </c>
      <c r="B8005" s="833"/>
      <c r="C8005" s="836" t="s">
        <v>55</v>
      </c>
      <c r="D8005" s="3" t="s">
        <v>562</v>
      </c>
      <c r="E8005" s="1497">
        <v>7790</v>
      </c>
      <c r="F8005" s="1497"/>
      <c r="G8005" s="833" t="s">
        <v>56</v>
      </c>
      <c r="H8005" s="3"/>
    </row>
    <row r="8006" spans="1:8">
      <c r="A8006" s="835">
        <v>45819</v>
      </c>
      <c r="B8006" s="836"/>
      <c r="C8006" s="836" t="s">
        <v>86</v>
      </c>
      <c r="D8006" s="3" t="s">
        <v>534</v>
      </c>
      <c r="E8006" s="1497">
        <v>30634.51</v>
      </c>
      <c r="F8006" s="1497"/>
      <c r="G8006" s="836" t="s">
        <v>27</v>
      </c>
      <c r="H8006" s="3"/>
    </row>
    <row r="8007" spans="1:8">
      <c r="A8007" s="837">
        <v>45820</v>
      </c>
      <c r="B8007" s="836"/>
      <c r="C8007" s="836" t="s">
        <v>205</v>
      </c>
      <c r="D8007" s="185" t="s">
        <v>45</v>
      </c>
      <c r="E8007" s="1497">
        <v>88000</v>
      </c>
      <c r="F8007" s="1497"/>
      <c r="G8007" s="836" t="s">
        <v>287</v>
      </c>
      <c r="H8007" s="3"/>
    </row>
    <row r="8008" spans="1:8">
      <c r="A8008" s="837">
        <v>45820</v>
      </c>
      <c r="B8008" s="836"/>
      <c r="C8008" s="836" t="s">
        <v>92</v>
      </c>
      <c r="D8008" s="3" t="s">
        <v>1389</v>
      </c>
      <c r="E8008" s="1497"/>
      <c r="F8008" s="1497">
        <v>345000</v>
      </c>
      <c r="G8008" s="836" t="s">
        <v>56</v>
      </c>
      <c r="H8008" s="3"/>
    </row>
    <row r="8009" spans="1:8">
      <c r="A8009" s="837">
        <v>45820</v>
      </c>
      <c r="B8009" s="836"/>
      <c r="C8009" s="836" t="s">
        <v>1597</v>
      </c>
      <c r="D8009" s="3" t="s">
        <v>3803</v>
      </c>
      <c r="E8009" s="1497"/>
      <c r="F8009" s="1497">
        <v>68500</v>
      </c>
      <c r="G8009" s="836" t="s">
        <v>56</v>
      </c>
      <c r="H8009" s="3"/>
    </row>
    <row r="8010" spans="1:8">
      <c r="A8010" s="838">
        <v>45821</v>
      </c>
      <c r="B8010" s="836"/>
      <c r="C8010" s="836" t="s">
        <v>94</v>
      </c>
      <c r="D8010" s="3" t="s">
        <v>13</v>
      </c>
      <c r="E8010" s="1497">
        <v>71481.67</v>
      </c>
      <c r="F8010" s="1497"/>
      <c r="G8010" s="836" t="s">
        <v>27</v>
      </c>
      <c r="H8010" s="3"/>
    </row>
    <row r="8011" spans="1:8">
      <c r="A8011" s="838">
        <v>45821</v>
      </c>
      <c r="B8011" s="836"/>
      <c r="C8011" s="836" t="s">
        <v>94</v>
      </c>
      <c r="D8011" s="3" t="s">
        <v>15</v>
      </c>
      <c r="E8011" s="1497">
        <v>107233.39</v>
      </c>
      <c r="F8011" s="1497"/>
      <c r="G8011" s="839" t="s">
        <v>27</v>
      </c>
      <c r="H8011" s="3"/>
    </row>
    <row r="8012" spans="1:8">
      <c r="A8012" s="838">
        <v>45821</v>
      </c>
      <c r="B8012" s="839"/>
      <c r="C8012" s="839" t="s">
        <v>537</v>
      </c>
      <c r="D8012" s="3" t="s">
        <v>3804</v>
      </c>
      <c r="E8012" s="1497"/>
      <c r="F8012" s="1497">
        <v>25600</v>
      </c>
      <c r="G8012" s="839" t="s">
        <v>27</v>
      </c>
      <c r="H8012" s="3"/>
    </row>
    <row r="8013" spans="1:8">
      <c r="A8013" s="838">
        <v>45821</v>
      </c>
      <c r="B8013" s="839"/>
      <c r="C8013" s="839" t="s">
        <v>537</v>
      </c>
      <c r="D8013" s="3" t="s">
        <v>144</v>
      </c>
      <c r="E8013" s="1497">
        <v>110000</v>
      </c>
      <c r="F8013" s="1497"/>
      <c r="G8013" s="839" t="s">
        <v>56</v>
      </c>
      <c r="H8013" s="3"/>
    </row>
    <row r="8014" spans="1:8">
      <c r="A8014" s="838">
        <v>45821</v>
      </c>
      <c r="B8014" s="839"/>
      <c r="C8014" s="839" t="s">
        <v>537</v>
      </c>
      <c r="D8014" s="3" t="s">
        <v>219</v>
      </c>
      <c r="E8014" s="1497">
        <v>240000</v>
      </c>
      <c r="F8014" s="1497"/>
      <c r="G8014" s="839" t="s">
        <v>56</v>
      </c>
      <c r="H8014" s="3"/>
    </row>
    <row r="8015" spans="1:8">
      <c r="A8015" s="838">
        <v>45821</v>
      </c>
      <c r="B8015" s="839"/>
      <c r="C8015" s="839" t="s">
        <v>537</v>
      </c>
      <c r="D8015" s="15" t="s">
        <v>208</v>
      </c>
      <c r="E8015" s="1497">
        <v>250000</v>
      </c>
      <c r="F8015" s="1497"/>
      <c r="G8015" s="839" t="s">
        <v>56</v>
      </c>
      <c r="H8015" s="3"/>
    </row>
    <row r="8016" spans="1:8">
      <c r="A8016" s="838">
        <v>45821</v>
      </c>
      <c r="B8016" s="839"/>
      <c r="C8016" s="839" t="s">
        <v>537</v>
      </c>
      <c r="D8016" s="15" t="s">
        <v>193</v>
      </c>
      <c r="E8016" s="1497">
        <v>130000</v>
      </c>
      <c r="F8016" s="1497"/>
      <c r="G8016" s="839" t="s">
        <v>56</v>
      </c>
      <c r="H8016" s="3"/>
    </row>
    <row r="8017" spans="1:8">
      <c r="A8017" s="838">
        <v>45821</v>
      </c>
      <c r="B8017" s="839"/>
      <c r="C8017" s="839" t="s">
        <v>537</v>
      </c>
      <c r="D8017" s="3" t="s">
        <v>144</v>
      </c>
      <c r="E8017" s="1497">
        <v>370000</v>
      </c>
      <c r="F8017" s="1497"/>
      <c r="G8017" s="839" t="s">
        <v>56</v>
      </c>
      <c r="H8017" s="3"/>
    </row>
    <row r="8018" spans="1:8" ht="15.75" thickBot="1">
      <c r="A8018" s="838">
        <v>45821</v>
      </c>
      <c r="B8018" s="839"/>
      <c r="C8018" s="839" t="s">
        <v>79</v>
      </c>
      <c r="D8018" s="3" t="s">
        <v>79</v>
      </c>
      <c r="E8018" s="1497">
        <v>300000</v>
      </c>
      <c r="F8018" s="1497"/>
      <c r="G8018" s="839" t="s">
        <v>56</v>
      </c>
      <c r="H8018" s="3"/>
    </row>
    <row r="8019" spans="1:8" ht="15.75" thickBot="1">
      <c r="H8019" s="201">
        <v>45814</v>
      </c>
    </row>
    <row r="8020" spans="1:8">
      <c r="H8020" s="803" t="s">
        <v>3796</v>
      </c>
    </row>
    <row r="8021" spans="1:8">
      <c r="H8021" s="137" t="s">
        <v>3795</v>
      </c>
    </row>
    <row r="8022" spans="1:8">
      <c r="H8022" s="138" t="s">
        <v>3792</v>
      </c>
    </row>
    <row r="8023" spans="1:8">
      <c r="H8023" s="138" t="s">
        <v>3793</v>
      </c>
    </row>
    <row r="8024" spans="1:8">
      <c r="H8024" s="138" t="s">
        <v>3734</v>
      </c>
    </row>
    <row r="8025" spans="1:8">
      <c r="H8025" s="138" t="s">
        <v>3760</v>
      </c>
    </row>
    <row r="8026" spans="1:8">
      <c r="H8026" s="138" t="s">
        <v>3775</v>
      </c>
    </row>
    <row r="8027" spans="1:8">
      <c r="H8027" s="138" t="s">
        <v>3794</v>
      </c>
    </row>
    <row r="8028" spans="1:8" ht="15.75" thickBot="1">
      <c r="H8028" s="139" t="s">
        <v>3759</v>
      </c>
    </row>
    <row r="8029" spans="1:8">
      <c r="H8029" s="288" t="s">
        <v>3736</v>
      </c>
    </row>
    <row r="8030" spans="1:8">
      <c r="A8030" s="842">
        <v>45825</v>
      </c>
      <c r="B8030" s="840"/>
      <c r="C8030" s="840" t="s">
        <v>79</v>
      </c>
      <c r="D8030" s="3" t="s">
        <v>3806</v>
      </c>
      <c r="E8030" s="1497">
        <v>65000</v>
      </c>
      <c r="F8030" s="1497"/>
      <c r="G8030" s="840" t="s">
        <v>27</v>
      </c>
      <c r="H8030" s="3"/>
    </row>
    <row r="8031" spans="1:8">
      <c r="A8031" s="842">
        <v>45825</v>
      </c>
      <c r="B8031" s="840"/>
      <c r="C8031" s="840" t="s">
        <v>79</v>
      </c>
      <c r="D8031" s="3" t="s">
        <v>3661</v>
      </c>
      <c r="E8031" s="1497">
        <v>57800</v>
      </c>
      <c r="F8031" s="1497"/>
      <c r="G8031" s="840" t="s">
        <v>27</v>
      </c>
      <c r="H8031" s="3"/>
    </row>
    <row r="8032" spans="1:8">
      <c r="A8032" s="842">
        <v>45825</v>
      </c>
      <c r="B8032" s="840"/>
      <c r="C8032" s="840" t="s">
        <v>156</v>
      </c>
      <c r="D8032" s="3" t="s">
        <v>3326</v>
      </c>
      <c r="E8032" s="1497">
        <v>12625.57</v>
      </c>
      <c r="F8032" s="1497"/>
      <c r="G8032" s="840" t="s">
        <v>27</v>
      </c>
      <c r="H8032" s="3"/>
    </row>
    <row r="8033" spans="1:8">
      <c r="A8033" s="842">
        <v>45825</v>
      </c>
      <c r="B8033" s="840"/>
      <c r="C8033" s="840" t="s">
        <v>156</v>
      </c>
      <c r="D8033" s="3" t="s">
        <v>3326</v>
      </c>
      <c r="E8033" s="1497">
        <v>6601.58</v>
      </c>
      <c r="F8033" s="1497"/>
      <c r="G8033" s="840" t="s">
        <v>27</v>
      </c>
      <c r="H8033" s="3"/>
    </row>
    <row r="8034" spans="1:8">
      <c r="A8034" s="842">
        <v>45825</v>
      </c>
      <c r="B8034" s="840"/>
      <c r="C8034" s="840" t="s">
        <v>156</v>
      </c>
      <c r="D8034" s="3" t="s">
        <v>3326</v>
      </c>
      <c r="E8034" s="1497">
        <v>391793.88</v>
      </c>
      <c r="F8034" s="1497"/>
      <c r="G8034" s="840" t="s">
        <v>27</v>
      </c>
      <c r="H8034" s="3"/>
    </row>
    <row r="8035" spans="1:8">
      <c r="A8035" s="842">
        <v>45825</v>
      </c>
      <c r="B8035" s="840"/>
      <c r="C8035" s="840" t="s">
        <v>77</v>
      </c>
      <c r="D8035" s="3" t="s">
        <v>3805</v>
      </c>
      <c r="E8035" s="1497"/>
      <c r="F8035" s="1497">
        <v>1921500</v>
      </c>
      <c r="G8035" s="840" t="s">
        <v>287</v>
      </c>
      <c r="H8035" s="71" t="s">
        <v>3808</v>
      </c>
    </row>
    <row r="8036" spans="1:8">
      <c r="A8036" s="842">
        <v>45825</v>
      </c>
      <c r="B8036" s="843"/>
      <c r="C8036" s="843" t="s">
        <v>77</v>
      </c>
      <c r="D8036" s="3" t="s">
        <v>3805</v>
      </c>
      <c r="E8036" s="1497"/>
      <c r="F8036" s="1497">
        <v>640500</v>
      </c>
      <c r="G8036" s="843" t="s">
        <v>56</v>
      </c>
      <c r="H8036" s="71"/>
    </row>
    <row r="8037" spans="1:8">
      <c r="A8037" s="842">
        <v>45825</v>
      </c>
      <c r="B8037" s="843"/>
      <c r="C8037" s="843" t="s">
        <v>92</v>
      </c>
      <c r="D8037" s="3" t="s">
        <v>1502</v>
      </c>
      <c r="E8037" s="1497"/>
      <c r="F8037" s="1497">
        <v>56260</v>
      </c>
      <c r="G8037" s="843" t="s">
        <v>56</v>
      </c>
      <c r="H8037" s="71"/>
    </row>
    <row r="8038" spans="1:8">
      <c r="A8038" s="841"/>
      <c r="B8038" s="841"/>
      <c r="C8038" s="184"/>
      <c r="D8038" s="223" t="s">
        <v>3807</v>
      </c>
      <c r="E8038" s="184">
        <v>12000</v>
      </c>
      <c r="F8038" s="184"/>
      <c r="G8038" s="184" t="s">
        <v>56</v>
      </c>
      <c r="H8038" s="83" t="s">
        <v>3815</v>
      </c>
    </row>
    <row r="8039" spans="1:8">
      <c r="A8039" s="842">
        <v>45826</v>
      </c>
      <c r="B8039" s="840"/>
      <c r="C8039" s="840" t="s">
        <v>730</v>
      </c>
      <c r="D8039" s="3" t="s">
        <v>3087</v>
      </c>
      <c r="E8039" s="1497">
        <v>150000</v>
      </c>
      <c r="F8039" s="1497"/>
      <c r="G8039" s="840" t="s">
        <v>27</v>
      </c>
      <c r="H8039" s="3"/>
    </row>
    <row r="8040" spans="1:8">
      <c r="A8040" s="842">
        <v>45826</v>
      </c>
      <c r="B8040" s="840"/>
      <c r="C8040" s="840" t="s">
        <v>537</v>
      </c>
      <c r="D8040" s="3" t="s">
        <v>144</v>
      </c>
      <c r="E8040" s="1497">
        <v>22000</v>
      </c>
      <c r="F8040" s="1497"/>
      <c r="G8040" s="840" t="s">
        <v>27</v>
      </c>
      <c r="H8040" s="3"/>
    </row>
    <row r="8041" spans="1:8">
      <c r="A8041" s="842">
        <v>45826</v>
      </c>
      <c r="B8041" s="840"/>
      <c r="C8041" s="840" t="s">
        <v>205</v>
      </c>
      <c r="D8041" s="3" t="s">
        <v>2946</v>
      </c>
      <c r="E8041" s="1497">
        <v>85000</v>
      </c>
      <c r="F8041" s="1497"/>
      <c r="G8041" s="840" t="s">
        <v>56</v>
      </c>
      <c r="H8041" s="3" t="s">
        <v>3809</v>
      </c>
    </row>
    <row r="8042" spans="1:8">
      <c r="A8042" s="842">
        <v>45826</v>
      </c>
      <c r="B8042" s="843"/>
      <c r="C8042" s="843" t="s">
        <v>205</v>
      </c>
      <c r="D8042" s="3" t="s">
        <v>48</v>
      </c>
      <c r="E8042" s="1497">
        <v>250000</v>
      </c>
      <c r="F8042" s="1497"/>
      <c r="G8042" s="843" t="s">
        <v>27</v>
      </c>
      <c r="H8042" s="3"/>
    </row>
    <row r="8043" spans="1:8">
      <c r="A8043" s="842">
        <v>45827</v>
      </c>
      <c r="B8043" s="843"/>
      <c r="C8043" s="843" t="s">
        <v>537</v>
      </c>
      <c r="D8043" s="3" t="s">
        <v>219</v>
      </c>
      <c r="E8043" s="1497">
        <v>350000</v>
      </c>
      <c r="F8043" s="1497"/>
      <c r="G8043" s="843" t="s">
        <v>56</v>
      </c>
      <c r="H8043" s="3"/>
    </row>
    <row r="8044" spans="1:8">
      <c r="A8044" s="842">
        <v>45827</v>
      </c>
      <c r="B8044" s="843"/>
      <c r="C8044" s="843" t="s">
        <v>537</v>
      </c>
      <c r="D8044" s="3" t="s">
        <v>208</v>
      </c>
      <c r="E8044" s="1497">
        <v>336000</v>
      </c>
      <c r="F8044" s="1497"/>
      <c r="G8044" s="843" t="s">
        <v>56</v>
      </c>
      <c r="H8044" s="3"/>
    </row>
    <row r="8045" spans="1:8">
      <c r="A8045" s="842">
        <v>45827</v>
      </c>
      <c r="B8045" s="843"/>
      <c r="C8045" s="843" t="s">
        <v>537</v>
      </c>
      <c r="D8045" s="15" t="s">
        <v>144</v>
      </c>
      <c r="E8045" s="1497">
        <v>480000</v>
      </c>
      <c r="F8045" s="1497"/>
      <c r="G8045" s="843" t="s">
        <v>56</v>
      </c>
      <c r="H8045" s="3"/>
    </row>
    <row r="8046" spans="1:8">
      <c r="A8046" s="842">
        <v>45827</v>
      </c>
      <c r="B8046" s="843"/>
      <c r="C8046" s="843" t="s">
        <v>205</v>
      </c>
      <c r="D8046" s="15" t="s">
        <v>38</v>
      </c>
      <c r="E8046" s="1497">
        <v>3700</v>
      </c>
      <c r="F8046" s="1497"/>
      <c r="G8046" s="843" t="s">
        <v>56</v>
      </c>
      <c r="H8046" s="3"/>
    </row>
    <row r="8047" spans="1:8">
      <c r="A8047" s="842">
        <v>45827</v>
      </c>
      <c r="B8047" s="843"/>
      <c r="C8047" s="843" t="s">
        <v>205</v>
      </c>
      <c r="D8047" s="3" t="s">
        <v>63</v>
      </c>
      <c r="E8047" s="1497">
        <v>3000</v>
      </c>
      <c r="F8047" s="1497"/>
      <c r="G8047" s="843" t="s">
        <v>56</v>
      </c>
      <c r="H8047" s="3"/>
    </row>
    <row r="8048" spans="1:8" ht="15.75" thickBot="1">
      <c r="A8048" s="842">
        <v>45827</v>
      </c>
      <c r="B8048" s="843"/>
      <c r="C8048" s="843" t="s">
        <v>55</v>
      </c>
      <c r="D8048" s="3" t="s">
        <v>3810</v>
      </c>
      <c r="E8048" s="1497">
        <v>8600</v>
      </c>
      <c r="F8048" s="1497"/>
      <c r="G8048" s="843" t="s">
        <v>56</v>
      </c>
      <c r="H8048" s="3"/>
    </row>
    <row r="8049" spans="1:8" ht="15.75" thickBot="1">
      <c r="A8049" s="843"/>
      <c r="B8049" s="843"/>
      <c r="C8049" s="843"/>
      <c r="D8049" s="3"/>
      <c r="E8049" s="1497"/>
      <c r="F8049" s="1497"/>
      <c r="G8049" s="843"/>
      <c r="H8049" s="201">
        <v>45827</v>
      </c>
    </row>
    <row r="8050" spans="1:8">
      <c r="H8050" s="803" t="s">
        <v>3796</v>
      </c>
    </row>
    <row r="8051" spans="1:8">
      <c r="H8051" s="137" t="s">
        <v>3814</v>
      </c>
    </row>
    <row r="8052" spans="1:8">
      <c r="H8052" s="138" t="s">
        <v>3812</v>
      </c>
    </row>
    <row r="8053" spans="1:8">
      <c r="H8053" s="138" t="s">
        <v>3811</v>
      </c>
    </row>
    <row r="8054" spans="1:8">
      <c r="H8054" s="138" t="s">
        <v>3734</v>
      </c>
    </row>
    <row r="8055" spans="1:8">
      <c r="H8055" s="138" t="s">
        <v>3813</v>
      </c>
    </row>
    <row r="8056" spans="1:8">
      <c r="H8056" s="138" t="s">
        <v>3775</v>
      </c>
    </row>
    <row r="8057" spans="1:8">
      <c r="H8057" s="138" t="s">
        <v>3794</v>
      </c>
    </row>
    <row r="8058" spans="1:8" ht="15.75" thickBot="1">
      <c r="H8058" s="139" t="s">
        <v>3759</v>
      </c>
    </row>
    <row r="8059" spans="1:8" ht="15.75" thickBot="1">
      <c r="H8059" s="538" t="s">
        <v>3736</v>
      </c>
    </row>
    <row r="8060" spans="1:8">
      <c r="A8060" s="846">
        <v>45831</v>
      </c>
      <c r="B8060" s="847"/>
      <c r="C8060" s="847" t="s">
        <v>86</v>
      </c>
      <c r="D8060" s="3" t="s">
        <v>2561</v>
      </c>
      <c r="E8060" s="1497">
        <v>44000</v>
      </c>
      <c r="F8060" s="1497"/>
      <c r="G8060" s="847" t="s">
        <v>56</v>
      </c>
      <c r="H8060" s="183" t="s">
        <v>3817</v>
      </c>
    </row>
    <row r="8061" spans="1:8">
      <c r="A8061" s="846">
        <v>45831</v>
      </c>
      <c r="B8061" s="847"/>
      <c r="C8061" s="847" t="s">
        <v>86</v>
      </c>
      <c r="D8061" s="3" t="s">
        <v>86</v>
      </c>
      <c r="E8061" s="1497">
        <v>40000</v>
      </c>
      <c r="F8061" s="1497"/>
      <c r="G8061" s="847" t="s">
        <v>56</v>
      </c>
      <c r="H8061" s="126" t="s">
        <v>3817</v>
      </c>
    </row>
    <row r="8062" spans="1:8">
      <c r="A8062" s="77">
        <v>45831</v>
      </c>
      <c r="B8062" s="62"/>
      <c r="C8062" s="62" t="s">
        <v>79</v>
      </c>
      <c r="D8062" s="5" t="s">
        <v>79</v>
      </c>
      <c r="E8062" s="62">
        <v>32112.01</v>
      </c>
      <c r="F8062" s="62"/>
      <c r="G8062" s="62" t="s">
        <v>27</v>
      </c>
      <c r="H8062" s="5"/>
    </row>
    <row r="8063" spans="1:8">
      <c r="A8063" s="845">
        <v>45831</v>
      </c>
      <c r="B8063" s="844"/>
      <c r="C8063" s="844" t="s">
        <v>79</v>
      </c>
      <c r="D8063" s="3" t="s">
        <v>79</v>
      </c>
      <c r="E8063" s="1497">
        <v>15288</v>
      </c>
      <c r="F8063" s="1497"/>
      <c r="G8063" s="844" t="s">
        <v>27</v>
      </c>
      <c r="H8063" s="3"/>
    </row>
    <row r="8064" spans="1:8">
      <c r="A8064" s="845">
        <v>45831</v>
      </c>
      <c r="B8064" s="844"/>
      <c r="C8064" s="844" t="s">
        <v>537</v>
      </c>
      <c r="D8064" s="3" t="s">
        <v>193</v>
      </c>
      <c r="E8064" s="1497">
        <v>130000</v>
      </c>
      <c r="F8064" s="1497"/>
      <c r="G8064" s="844" t="s">
        <v>56</v>
      </c>
      <c r="H8064" s="3"/>
    </row>
    <row r="8065" spans="1:8">
      <c r="A8065" s="845">
        <v>45831</v>
      </c>
      <c r="B8065" s="844"/>
      <c r="C8065" s="844" t="s">
        <v>77</v>
      </c>
      <c r="D8065" s="3" t="s">
        <v>3816</v>
      </c>
      <c r="E8065" s="1497"/>
      <c r="F8065" s="1497">
        <v>4900000</v>
      </c>
      <c r="G8065" s="844" t="s">
        <v>781</v>
      </c>
      <c r="H8065" s="3"/>
    </row>
    <row r="8066" spans="1:8">
      <c r="A8066" s="846">
        <v>45831</v>
      </c>
      <c r="B8066" s="844"/>
      <c r="C8066" s="844" t="s">
        <v>3818</v>
      </c>
      <c r="D8066" s="3" t="s">
        <v>86</v>
      </c>
      <c r="E8066" s="1497">
        <v>30000</v>
      </c>
      <c r="F8066" s="1497"/>
      <c r="G8066" s="844" t="s">
        <v>56</v>
      </c>
      <c r="H8066" s="3"/>
    </row>
    <row r="8067" spans="1:8">
      <c r="A8067" s="846">
        <v>45831</v>
      </c>
      <c r="B8067" s="844"/>
      <c r="C8067" s="844" t="s">
        <v>77</v>
      </c>
      <c r="D8067" s="3" t="s">
        <v>3819</v>
      </c>
      <c r="E8067" s="1497"/>
      <c r="F8067" s="1497">
        <v>168000</v>
      </c>
      <c r="G8067" s="844" t="s">
        <v>27</v>
      </c>
      <c r="H8067" s="167" t="s">
        <v>3820</v>
      </c>
    </row>
    <row r="8068" spans="1:8">
      <c r="A8068" s="849">
        <v>45831</v>
      </c>
      <c r="B8068" s="848"/>
      <c r="C8068" s="848" t="s">
        <v>77</v>
      </c>
      <c r="D8068" s="3" t="s">
        <v>3819</v>
      </c>
      <c r="E8068" s="1497"/>
      <c r="F8068" s="1497">
        <v>18000</v>
      </c>
      <c r="G8068" s="848" t="s">
        <v>27</v>
      </c>
      <c r="H8068" s="167"/>
    </row>
    <row r="8069" spans="1:8">
      <c r="A8069" s="846">
        <v>45832</v>
      </c>
      <c r="B8069" s="844"/>
      <c r="C8069" s="844" t="s">
        <v>205</v>
      </c>
      <c r="D8069" s="3" t="s">
        <v>71</v>
      </c>
      <c r="E8069" s="1497">
        <v>261326</v>
      </c>
      <c r="F8069" s="1497"/>
      <c r="G8069" s="844" t="s">
        <v>27</v>
      </c>
      <c r="H8069" s="3"/>
    </row>
    <row r="8070" spans="1:8">
      <c r="A8070" s="846">
        <v>45832</v>
      </c>
      <c r="B8070" s="844"/>
      <c r="C8070" s="844" t="s">
        <v>92</v>
      </c>
      <c r="D8070" s="3" t="s">
        <v>1996</v>
      </c>
      <c r="E8070" s="1497"/>
      <c r="F8070" s="1497">
        <v>51000</v>
      </c>
      <c r="G8070" s="844" t="s">
        <v>56</v>
      </c>
      <c r="H8070" s="3"/>
    </row>
    <row r="8071" spans="1:8">
      <c r="A8071" s="846">
        <v>45832</v>
      </c>
      <c r="B8071" s="844"/>
      <c r="C8071" s="847" t="s">
        <v>92</v>
      </c>
      <c r="D8071" s="3" t="s">
        <v>3821</v>
      </c>
      <c r="E8071" s="1497"/>
      <c r="F8071" s="1497">
        <v>23000</v>
      </c>
      <c r="G8071" s="844" t="s">
        <v>56</v>
      </c>
      <c r="H8071" s="3"/>
    </row>
    <row r="8072" spans="1:8">
      <c r="A8072" s="849">
        <v>45832</v>
      </c>
      <c r="B8072" s="847"/>
      <c r="C8072" s="847" t="s">
        <v>3823</v>
      </c>
      <c r="D8072" s="3" t="s">
        <v>614</v>
      </c>
      <c r="E8072" s="1497">
        <v>100000</v>
      </c>
      <c r="F8072" s="1497"/>
      <c r="G8072" s="847" t="s">
        <v>56</v>
      </c>
      <c r="H8072" s="3"/>
    </row>
    <row r="8073" spans="1:8">
      <c r="A8073" s="849">
        <v>45832</v>
      </c>
      <c r="B8073" s="847"/>
      <c r="C8073" s="847" t="s">
        <v>3823</v>
      </c>
      <c r="D8073" s="15" t="s">
        <v>676</v>
      </c>
      <c r="E8073" s="1497"/>
      <c r="F8073" s="1497">
        <v>100000</v>
      </c>
      <c r="G8073" s="847" t="s">
        <v>56</v>
      </c>
      <c r="H8073" s="3"/>
    </row>
    <row r="8074" spans="1:8">
      <c r="A8074" s="849">
        <v>45832</v>
      </c>
      <c r="B8074" s="847"/>
      <c r="C8074" s="847" t="s">
        <v>92</v>
      </c>
      <c r="D8074" s="3" t="s">
        <v>3822</v>
      </c>
      <c r="E8074" s="1497"/>
      <c r="F8074" s="1497">
        <v>36000</v>
      </c>
      <c r="G8074" s="847" t="s">
        <v>27</v>
      </c>
      <c r="H8074" s="3"/>
    </row>
    <row r="8075" spans="1:8">
      <c r="A8075" s="849">
        <v>45832</v>
      </c>
      <c r="B8075" s="848"/>
      <c r="C8075" s="848" t="s">
        <v>150</v>
      </c>
      <c r="D8075" s="3" t="s">
        <v>3824</v>
      </c>
      <c r="E8075" s="1497">
        <v>700000</v>
      </c>
      <c r="F8075" s="1497"/>
      <c r="G8075" s="848" t="s">
        <v>56</v>
      </c>
      <c r="H8075" s="3"/>
    </row>
    <row r="8076" spans="1:8">
      <c r="A8076" s="849">
        <v>45832</v>
      </c>
      <c r="B8076" s="848"/>
      <c r="C8076" s="848" t="s">
        <v>150</v>
      </c>
      <c r="D8076" s="3" t="s">
        <v>3824</v>
      </c>
      <c r="E8076" s="1497"/>
      <c r="F8076" s="1497">
        <v>700000</v>
      </c>
      <c r="G8076" s="848" t="s">
        <v>27</v>
      </c>
      <c r="H8076" s="3"/>
    </row>
    <row r="8077" spans="1:8">
      <c r="A8077" s="849">
        <v>45832</v>
      </c>
      <c r="B8077" s="848"/>
      <c r="C8077" s="848" t="s">
        <v>79</v>
      </c>
      <c r="D8077" s="3" t="s">
        <v>3825</v>
      </c>
      <c r="E8077" s="1497">
        <v>463000</v>
      </c>
      <c r="F8077" s="1497"/>
      <c r="G8077" s="848" t="s">
        <v>27</v>
      </c>
      <c r="H8077" s="3"/>
    </row>
    <row r="8078" spans="1:8">
      <c r="A8078" s="849">
        <v>45833</v>
      </c>
      <c r="B8078" s="848"/>
      <c r="C8078" s="848" t="s">
        <v>174</v>
      </c>
      <c r="D8078" s="3" t="s">
        <v>3770</v>
      </c>
      <c r="E8078" s="1497">
        <v>74287</v>
      </c>
      <c r="F8078" s="1497"/>
      <c r="G8078" s="848" t="s">
        <v>27</v>
      </c>
      <c r="H8078" s="3"/>
    </row>
    <row r="8079" spans="1:8">
      <c r="A8079" s="849">
        <v>45833</v>
      </c>
      <c r="B8079" s="848"/>
      <c r="C8079" s="848" t="s">
        <v>174</v>
      </c>
      <c r="D8079" s="3" t="s">
        <v>526</v>
      </c>
      <c r="E8079" s="1497">
        <v>59635.99</v>
      </c>
      <c r="F8079" s="1497"/>
      <c r="G8079" s="848" t="s">
        <v>27</v>
      </c>
      <c r="H8079" s="3"/>
    </row>
    <row r="8080" spans="1:8">
      <c r="A8080" s="849">
        <v>45833</v>
      </c>
      <c r="B8080" s="848"/>
      <c r="C8080" s="848" t="s">
        <v>174</v>
      </c>
      <c r="D8080" s="3" t="s">
        <v>271</v>
      </c>
      <c r="E8080" s="1497">
        <v>12649.86</v>
      </c>
      <c r="F8080" s="1497"/>
      <c r="G8080" s="848" t="s">
        <v>27</v>
      </c>
      <c r="H8080" s="3"/>
    </row>
    <row r="8081" spans="1:8">
      <c r="A8081" s="849">
        <v>45833</v>
      </c>
      <c r="B8081" s="848"/>
      <c r="C8081" s="848" t="s">
        <v>174</v>
      </c>
      <c r="D8081" s="3" t="s">
        <v>271</v>
      </c>
      <c r="E8081" s="1497">
        <v>13914.87</v>
      </c>
      <c r="F8081" s="1497"/>
      <c r="G8081" s="848" t="s">
        <v>27</v>
      </c>
      <c r="H8081" s="3"/>
    </row>
    <row r="8082" spans="1:8">
      <c r="A8082" s="849">
        <v>45833</v>
      </c>
      <c r="B8082" s="848"/>
      <c r="C8082" s="848" t="s">
        <v>92</v>
      </c>
      <c r="D8082" s="3" t="s">
        <v>298</v>
      </c>
      <c r="E8082" s="1497"/>
      <c r="F8082" s="1497">
        <v>58927</v>
      </c>
      <c r="G8082" s="848" t="s">
        <v>27</v>
      </c>
      <c r="H8082" s="3"/>
    </row>
    <row r="8083" spans="1:8">
      <c r="A8083" s="849">
        <v>45833</v>
      </c>
      <c r="B8083" s="848"/>
      <c r="C8083" s="12" t="s">
        <v>29</v>
      </c>
      <c r="D8083" s="466" t="s">
        <v>1776</v>
      </c>
      <c r="E8083" s="12">
        <v>42000</v>
      </c>
      <c r="F8083" s="12"/>
      <c r="G8083" s="12" t="s">
        <v>56</v>
      </c>
      <c r="H8083" s="3"/>
    </row>
    <row r="8084" spans="1:8">
      <c r="A8084" s="849">
        <v>45833</v>
      </c>
      <c r="B8084" s="848"/>
      <c r="C8084" s="848" t="s">
        <v>77</v>
      </c>
      <c r="D8084" s="3" t="s">
        <v>3826</v>
      </c>
      <c r="E8084" s="1497"/>
      <c r="F8084" s="1497">
        <v>175000</v>
      </c>
      <c r="G8084" s="848" t="s">
        <v>56</v>
      </c>
      <c r="H8084" s="3"/>
    </row>
    <row r="8085" spans="1:8">
      <c r="A8085" s="849">
        <v>45833</v>
      </c>
      <c r="B8085" s="848"/>
      <c r="C8085" s="848" t="s">
        <v>205</v>
      </c>
      <c r="D8085" s="3" t="s">
        <v>499</v>
      </c>
      <c r="E8085" s="1497">
        <v>70000</v>
      </c>
      <c r="F8085" s="1497"/>
      <c r="G8085" s="848" t="s">
        <v>27</v>
      </c>
      <c r="H8085" s="3"/>
    </row>
    <row r="8086" spans="1:8">
      <c r="A8086" s="849">
        <v>45833</v>
      </c>
      <c r="B8086" s="848"/>
      <c r="C8086" s="848" t="s">
        <v>3449</v>
      </c>
      <c r="D8086" s="3" t="s">
        <v>71</v>
      </c>
      <c r="E8086" s="1497">
        <v>1281000</v>
      </c>
      <c r="F8086" s="1497"/>
      <c r="G8086" s="848" t="s">
        <v>287</v>
      </c>
      <c r="H8086" s="3" t="s">
        <v>3805</v>
      </c>
    </row>
    <row r="8087" spans="1:8">
      <c r="A8087" s="850">
        <v>45834</v>
      </c>
      <c r="B8087" s="848"/>
      <c r="C8087" s="70" t="s">
        <v>3021</v>
      </c>
      <c r="D8087" s="113" t="s">
        <v>3508</v>
      </c>
      <c r="E8087" s="70">
        <v>40846</v>
      </c>
      <c r="F8087" s="70"/>
      <c r="G8087" s="70" t="s">
        <v>56</v>
      </c>
      <c r="H8087" s="113" t="s">
        <v>3460</v>
      </c>
    </row>
    <row r="8088" spans="1:8">
      <c r="A8088" s="850">
        <v>45803</v>
      </c>
      <c r="B8088" s="848"/>
      <c r="C8088" s="848" t="s">
        <v>92</v>
      </c>
      <c r="D8088" s="3" t="s">
        <v>317</v>
      </c>
      <c r="E8088" s="1497"/>
      <c r="F8088" s="1497">
        <v>21500</v>
      </c>
      <c r="G8088" s="848" t="s">
        <v>56</v>
      </c>
      <c r="H8088" s="3"/>
    </row>
    <row r="8089" spans="1:8">
      <c r="A8089" s="850">
        <v>45803</v>
      </c>
      <c r="B8089" s="848"/>
      <c r="C8089" s="848" t="s">
        <v>88</v>
      </c>
      <c r="D8089" s="3" t="s">
        <v>144</v>
      </c>
      <c r="E8089" s="1497">
        <v>400000</v>
      </c>
      <c r="F8089" s="1497"/>
      <c r="G8089" s="848" t="s">
        <v>56</v>
      </c>
      <c r="H8089" s="3"/>
    </row>
    <row r="8090" spans="1:8">
      <c r="A8090" s="853">
        <v>45834</v>
      </c>
      <c r="B8090" s="851"/>
      <c r="C8090" s="851"/>
      <c r="D8090" s="3" t="s">
        <v>3827</v>
      </c>
      <c r="E8090" s="1497"/>
      <c r="F8090" s="1497">
        <v>3500000</v>
      </c>
      <c r="G8090" s="851" t="s">
        <v>781</v>
      </c>
      <c r="H8090" s="3"/>
    </row>
    <row r="8091" spans="1:8">
      <c r="A8091" s="853">
        <v>45803</v>
      </c>
      <c r="B8091" s="851"/>
      <c r="C8091" s="851" t="s">
        <v>205</v>
      </c>
      <c r="D8091" s="3" t="s">
        <v>3828</v>
      </c>
      <c r="E8091" s="1497">
        <v>3500000</v>
      </c>
      <c r="F8091" s="1497"/>
      <c r="G8091" s="851" t="s">
        <v>56</v>
      </c>
      <c r="H8091" s="3"/>
    </row>
    <row r="8092" spans="1:8">
      <c r="A8092" s="853">
        <v>45803</v>
      </c>
      <c r="B8092" s="851"/>
      <c r="C8092" s="851" t="s">
        <v>77</v>
      </c>
      <c r="D8092" s="3" t="s">
        <v>3829</v>
      </c>
      <c r="E8092" s="1497"/>
      <c r="F8092" s="1497">
        <v>157000</v>
      </c>
      <c r="G8092" s="851" t="s">
        <v>56</v>
      </c>
      <c r="H8092" s="3"/>
    </row>
    <row r="8093" spans="1:8">
      <c r="A8093" s="853">
        <v>45834</v>
      </c>
      <c r="B8093" s="851"/>
      <c r="C8093" s="851" t="s">
        <v>77</v>
      </c>
      <c r="D8093" s="3" t="s">
        <v>3829</v>
      </c>
      <c r="E8093" s="1497"/>
      <c r="F8093" s="1497">
        <v>600000</v>
      </c>
      <c r="G8093" s="851" t="s">
        <v>72</v>
      </c>
      <c r="H8093" s="3"/>
    </row>
    <row r="8094" spans="1:8">
      <c r="A8094" s="853">
        <v>45834</v>
      </c>
      <c r="B8094" s="851"/>
      <c r="C8094" s="851" t="s">
        <v>79</v>
      </c>
      <c r="D8094" s="3" t="s">
        <v>3830</v>
      </c>
      <c r="E8094" s="1497">
        <v>1000000</v>
      </c>
      <c r="F8094" s="1497"/>
      <c r="G8094" s="851" t="s">
        <v>56</v>
      </c>
      <c r="H8094" s="3"/>
    </row>
    <row r="8095" spans="1:8">
      <c r="A8095" s="853">
        <v>45834</v>
      </c>
      <c r="B8095" s="852"/>
      <c r="C8095" s="852" t="s">
        <v>79</v>
      </c>
      <c r="D8095" s="3" t="s">
        <v>3830</v>
      </c>
      <c r="E8095" s="1497">
        <v>200000</v>
      </c>
      <c r="F8095" s="1497"/>
      <c r="G8095" s="852" t="s">
        <v>56</v>
      </c>
      <c r="H8095" s="3"/>
    </row>
    <row r="8096" spans="1:8">
      <c r="A8096" s="853">
        <v>45834</v>
      </c>
      <c r="B8096" s="852"/>
      <c r="C8096" s="852" t="s">
        <v>79</v>
      </c>
      <c r="D8096" s="3" t="s">
        <v>3834</v>
      </c>
      <c r="E8096" s="1497" t="s">
        <v>3833</v>
      </c>
      <c r="F8096" s="1497"/>
      <c r="G8096" s="852" t="s">
        <v>56</v>
      </c>
      <c r="H8096" s="3"/>
    </row>
    <row r="8097" spans="1:8">
      <c r="A8097" s="853">
        <v>45834</v>
      </c>
      <c r="B8097" s="852"/>
      <c r="C8097" s="852" t="s">
        <v>77</v>
      </c>
      <c r="D8097" s="15" t="s">
        <v>3832</v>
      </c>
      <c r="E8097" s="1497"/>
      <c r="F8097" s="1497">
        <v>518400</v>
      </c>
      <c r="G8097" s="852" t="s">
        <v>287</v>
      </c>
      <c r="H8097" s="3"/>
    </row>
    <row r="8098" spans="1:8">
      <c r="A8098" s="853">
        <v>45835</v>
      </c>
      <c r="B8098" s="852"/>
      <c r="C8098" s="852" t="s">
        <v>77</v>
      </c>
      <c r="D8098" s="3" t="s">
        <v>3831</v>
      </c>
      <c r="E8098" s="1497"/>
      <c r="F8098" s="1497">
        <v>592780</v>
      </c>
      <c r="G8098" s="852" t="s">
        <v>287</v>
      </c>
      <c r="H8098" s="3"/>
    </row>
    <row r="8099" spans="1:8">
      <c r="A8099" s="853">
        <v>45835</v>
      </c>
      <c r="B8099" s="852"/>
      <c r="C8099" s="852" t="s">
        <v>205</v>
      </c>
      <c r="D8099" s="3" t="s">
        <v>190</v>
      </c>
      <c r="E8099" s="1497">
        <v>600000</v>
      </c>
      <c r="F8099" s="1497"/>
      <c r="G8099" s="852" t="s">
        <v>72</v>
      </c>
      <c r="H8099" s="3"/>
    </row>
    <row r="8100" spans="1:8">
      <c r="A8100" s="853">
        <v>45835</v>
      </c>
      <c r="B8100" s="852"/>
      <c r="C8100" s="852" t="s">
        <v>205</v>
      </c>
      <c r="D8100" s="3" t="s">
        <v>190</v>
      </c>
      <c r="E8100" s="1497">
        <v>390000</v>
      </c>
      <c r="F8100" s="1497"/>
      <c r="G8100" s="852" t="s">
        <v>72</v>
      </c>
      <c r="H8100" s="3"/>
    </row>
    <row r="8101" spans="1:8">
      <c r="A8101" s="853">
        <v>45835</v>
      </c>
      <c r="B8101" s="852"/>
      <c r="C8101" s="852" t="s">
        <v>205</v>
      </c>
      <c r="D8101" s="3" t="s">
        <v>71</v>
      </c>
      <c r="E8101" s="1497">
        <v>518400</v>
      </c>
      <c r="F8101" s="1497"/>
      <c r="G8101" s="852" t="s">
        <v>287</v>
      </c>
      <c r="H8101" s="3"/>
    </row>
    <row r="8102" spans="1:8">
      <c r="A8102" s="853">
        <v>45835</v>
      </c>
      <c r="B8102" s="852"/>
      <c r="C8102" s="852" t="s">
        <v>77</v>
      </c>
      <c r="D8102" s="3" t="s">
        <v>3835</v>
      </c>
      <c r="E8102" s="1497"/>
      <c r="F8102" s="1497">
        <v>192000</v>
      </c>
      <c r="G8102" s="852" t="s">
        <v>27</v>
      </c>
      <c r="H8102" s="195" t="s">
        <v>3836</v>
      </c>
    </row>
    <row r="8103" spans="1:8">
      <c r="A8103" s="853">
        <v>45835</v>
      </c>
      <c r="B8103" s="852"/>
      <c r="C8103" s="852" t="s">
        <v>77</v>
      </c>
      <c r="D8103" s="3" t="s">
        <v>3837</v>
      </c>
      <c r="E8103" s="1497"/>
      <c r="F8103" s="1497">
        <v>1400000</v>
      </c>
      <c r="G8103" s="852" t="s">
        <v>27</v>
      </c>
      <c r="H8103" s="3"/>
    </row>
    <row r="8104" spans="1:8">
      <c r="A8104" s="853">
        <v>45835</v>
      </c>
      <c r="B8104" s="852"/>
      <c r="C8104" s="852" t="s">
        <v>199</v>
      </c>
      <c r="D8104" s="3" t="s">
        <v>3838</v>
      </c>
      <c r="E8104" s="1497"/>
      <c r="F8104" s="1497">
        <v>664000</v>
      </c>
      <c r="G8104" s="852" t="s">
        <v>27</v>
      </c>
      <c r="H8104" s="3"/>
    </row>
    <row r="8105" spans="1:8">
      <c r="A8105" s="853">
        <v>45835</v>
      </c>
      <c r="B8105" s="852"/>
      <c r="C8105" s="852" t="s">
        <v>77</v>
      </c>
      <c r="D8105" s="3" t="s">
        <v>3839</v>
      </c>
      <c r="E8105" s="1497"/>
      <c r="F8105" s="1497">
        <v>444300</v>
      </c>
      <c r="G8105" s="852" t="s">
        <v>72</v>
      </c>
      <c r="H8105" s="3"/>
    </row>
    <row r="8106" spans="1:8">
      <c r="A8106" s="853">
        <v>45835</v>
      </c>
      <c r="B8106" s="852"/>
      <c r="C8106" s="852" t="s">
        <v>537</v>
      </c>
      <c r="D8106" s="3" t="s">
        <v>219</v>
      </c>
      <c r="E8106" s="1497">
        <v>350000</v>
      </c>
      <c r="F8106" s="1497"/>
      <c r="G8106" s="852" t="s">
        <v>56</v>
      </c>
      <c r="H8106" s="3"/>
    </row>
    <row r="8107" spans="1:8">
      <c r="A8107" s="853">
        <v>45835</v>
      </c>
      <c r="B8107" s="852"/>
      <c r="C8107" s="852" t="s">
        <v>537</v>
      </c>
      <c r="D8107" s="15" t="s">
        <v>208</v>
      </c>
      <c r="E8107" s="1497">
        <v>336000</v>
      </c>
      <c r="F8107" s="1497"/>
      <c r="G8107" s="852" t="s">
        <v>56</v>
      </c>
      <c r="H8107" s="3"/>
    </row>
    <row r="8108" spans="1:8">
      <c r="A8108" s="853">
        <v>45835</v>
      </c>
      <c r="B8108" s="852"/>
      <c r="C8108" s="852" t="s">
        <v>537</v>
      </c>
      <c r="D8108" s="15" t="s">
        <v>144</v>
      </c>
      <c r="E8108" s="1497">
        <v>80000</v>
      </c>
      <c r="F8108" s="1497"/>
      <c r="G8108" s="852" t="s">
        <v>56</v>
      </c>
      <c r="H8108" s="3"/>
    </row>
    <row r="8109" spans="1:8">
      <c r="A8109" s="853">
        <v>45835</v>
      </c>
      <c r="B8109" s="852"/>
      <c r="C8109" s="852" t="s">
        <v>537</v>
      </c>
      <c r="D8109" s="15" t="s">
        <v>193</v>
      </c>
      <c r="E8109" s="1497">
        <v>130000</v>
      </c>
      <c r="F8109" s="1497"/>
      <c r="G8109" s="852" t="s">
        <v>56</v>
      </c>
      <c r="H8109" s="3"/>
    </row>
    <row r="8110" spans="1:8">
      <c r="A8110" s="853">
        <v>45835</v>
      </c>
      <c r="B8110" s="852"/>
      <c r="C8110" s="852" t="s">
        <v>92</v>
      </c>
      <c r="D8110" s="3" t="s">
        <v>3840</v>
      </c>
      <c r="E8110" s="1497"/>
      <c r="F8110" s="1497">
        <v>90000</v>
      </c>
      <c r="G8110" s="852" t="s">
        <v>56</v>
      </c>
      <c r="H8110" s="3"/>
    </row>
    <row r="8111" spans="1:8" ht="15.75" thickBot="1">
      <c r="A8111" s="853">
        <v>45835</v>
      </c>
      <c r="B8111" s="852"/>
      <c r="C8111" s="852" t="s">
        <v>79</v>
      </c>
      <c r="D8111" s="3" t="s">
        <v>79</v>
      </c>
      <c r="E8111" s="1497">
        <v>20000</v>
      </c>
      <c r="F8111" s="1497"/>
      <c r="G8111" s="852" t="s">
        <v>56</v>
      </c>
      <c r="H8111" s="3"/>
    </row>
    <row r="8112" spans="1:8" ht="15.75" thickBot="1">
      <c r="H8112" s="201">
        <v>45835</v>
      </c>
    </row>
    <row r="8113" spans="1:8">
      <c r="H8113" s="803" t="s">
        <v>3796</v>
      </c>
    </row>
    <row r="8114" spans="1:8">
      <c r="H8114" s="137" t="s">
        <v>3814</v>
      </c>
    </row>
    <row r="8115" spans="1:8">
      <c r="H8115" s="138" t="s">
        <v>3850</v>
      </c>
    </row>
    <row r="8116" spans="1:8">
      <c r="H8116" s="138" t="s">
        <v>3841</v>
      </c>
    </row>
    <row r="8117" spans="1:8">
      <c r="H8117" s="138" t="s">
        <v>3842</v>
      </c>
    </row>
    <row r="8118" spans="1:8">
      <c r="H8118" s="138" t="s">
        <v>3843</v>
      </c>
    </row>
    <row r="8119" spans="1:8">
      <c r="H8119" s="138" t="s">
        <v>3844</v>
      </c>
    </row>
    <row r="8120" spans="1:8">
      <c r="H8120" s="138" t="s">
        <v>3845</v>
      </c>
    </row>
    <row r="8121" spans="1:8" ht="15.75" thickBot="1">
      <c r="H8121" s="139" t="s">
        <v>3759</v>
      </c>
    </row>
    <row r="8122" spans="1:8">
      <c r="H8122" s="288" t="s">
        <v>2599</v>
      </c>
    </row>
    <row r="8123" spans="1:8">
      <c r="A8123" s="856">
        <v>45838</v>
      </c>
      <c r="B8123" s="854"/>
      <c r="C8123" s="854" t="s">
        <v>205</v>
      </c>
      <c r="D8123" s="3" t="s">
        <v>71</v>
      </c>
      <c r="E8123" s="1497">
        <v>367680</v>
      </c>
      <c r="F8123" s="1497"/>
      <c r="G8123" s="854" t="s">
        <v>27</v>
      </c>
      <c r="H8123" s="3"/>
    </row>
    <row r="8124" spans="1:8">
      <c r="A8124" s="856">
        <v>45838</v>
      </c>
      <c r="B8124" s="854"/>
      <c r="C8124" s="854" t="s">
        <v>79</v>
      </c>
      <c r="D8124" s="3" t="s">
        <v>79</v>
      </c>
      <c r="E8124" s="1497">
        <v>28500</v>
      </c>
      <c r="F8124" s="1497"/>
      <c r="G8124" s="854" t="s">
        <v>27</v>
      </c>
      <c r="H8124" s="3"/>
    </row>
    <row r="8125" spans="1:8">
      <c r="A8125" s="856">
        <v>45838</v>
      </c>
      <c r="B8125" s="854"/>
      <c r="C8125" s="854" t="s">
        <v>79</v>
      </c>
      <c r="D8125" s="3" t="s">
        <v>79</v>
      </c>
      <c r="E8125" s="1497">
        <v>15057.44</v>
      </c>
      <c r="F8125" s="1497"/>
      <c r="G8125" s="854" t="s">
        <v>27</v>
      </c>
      <c r="H8125" s="3"/>
    </row>
    <row r="8126" spans="1:8">
      <c r="A8126" s="856">
        <v>45838</v>
      </c>
      <c r="B8126" s="854"/>
      <c r="C8126" s="854" t="s">
        <v>205</v>
      </c>
      <c r="D8126" s="3" t="s">
        <v>49</v>
      </c>
      <c r="E8126" s="1497">
        <v>444300</v>
      </c>
      <c r="F8126" s="1497"/>
      <c r="G8126" s="854" t="s">
        <v>72</v>
      </c>
      <c r="H8126" s="3"/>
    </row>
    <row r="8127" spans="1:8">
      <c r="A8127" s="856">
        <v>45838</v>
      </c>
      <c r="B8127" s="854"/>
      <c r="C8127" s="854" t="s">
        <v>77</v>
      </c>
      <c r="D8127" s="3" t="s">
        <v>3846</v>
      </c>
      <c r="E8127" s="1497"/>
      <c r="F8127" s="1497">
        <v>172870</v>
      </c>
      <c r="G8127" s="854"/>
      <c r="H8127" s="3"/>
    </row>
    <row r="8128" spans="1:8">
      <c r="A8128" s="856">
        <v>45838</v>
      </c>
      <c r="B8128" s="854"/>
      <c r="C8128" s="854" t="s">
        <v>205</v>
      </c>
      <c r="D8128" s="3" t="s">
        <v>71</v>
      </c>
      <c r="E8128" s="1497">
        <v>106000</v>
      </c>
      <c r="F8128" s="1497"/>
      <c r="G8128" s="854"/>
      <c r="H8128" s="3"/>
    </row>
    <row r="8129" spans="1:8">
      <c r="A8129" s="856">
        <v>45838</v>
      </c>
      <c r="B8129" s="854"/>
      <c r="C8129" s="854" t="s">
        <v>205</v>
      </c>
      <c r="D8129" s="15" t="s">
        <v>48</v>
      </c>
      <c r="E8129" s="1497">
        <v>1897280</v>
      </c>
      <c r="F8129" s="1497"/>
      <c r="G8129" s="854" t="s">
        <v>287</v>
      </c>
      <c r="H8129" s="3"/>
    </row>
    <row r="8130" spans="1:8" ht="15.75" thickBot="1">
      <c r="A8130" s="119">
        <v>45838</v>
      </c>
      <c r="B8130" s="57"/>
      <c r="C8130" s="57" t="s">
        <v>55</v>
      </c>
      <c r="D8130" s="85" t="s">
        <v>3849</v>
      </c>
      <c r="E8130" s="57">
        <v>30600</v>
      </c>
      <c r="F8130" s="57"/>
      <c r="G8130" s="57" t="s">
        <v>56</v>
      </c>
      <c r="H8130" s="85"/>
    </row>
    <row r="8131" spans="1:8" ht="15.75" thickBot="1">
      <c r="A8131" s="1532"/>
      <c r="B8131" s="1533"/>
      <c r="C8131" s="1533"/>
      <c r="D8131" s="1533"/>
      <c r="E8131" s="1533"/>
      <c r="F8131" s="1533"/>
      <c r="G8131" s="1533"/>
      <c r="H8131" s="1534"/>
    </row>
    <row r="8132" spans="1:8">
      <c r="A8132" s="77">
        <v>45839</v>
      </c>
      <c r="B8132" s="62"/>
      <c r="C8132" s="62" t="s">
        <v>205</v>
      </c>
      <c r="D8132" s="5" t="s">
        <v>71</v>
      </c>
      <c r="E8132" s="62">
        <v>261326</v>
      </c>
      <c r="F8132" s="62"/>
      <c r="G8132" s="62" t="s">
        <v>27</v>
      </c>
      <c r="H8132" s="5"/>
    </row>
    <row r="8133" spans="1:8">
      <c r="A8133" s="856">
        <v>45839</v>
      </c>
      <c r="B8133" s="855"/>
      <c r="C8133" s="855" t="s">
        <v>77</v>
      </c>
      <c r="D8133" s="3" t="s">
        <v>3847</v>
      </c>
      <c r="E8133" s="1497"/>
      <c r="F8133" s="1497">
        <v>2854000</v>
      </c>
      <c r="G8133" s="855" t="s">
        <v>27</v>
      </c>
      <c r="H8133" s="3"/>
    </row>
    <row r="8134" spans="1:8">
      <c r="A8134" s="856">
        <v>45839</v>
      </c>
      <c r="B8134" s="855"/>
      <c r="C8134" s="855" t="s">
        <v>77</v>
      </c>
      <c r="D8134" s="3" t="s">
        <v>3847</v>
      </c>
      <c r="E8134" s="1497">
        <v>42693.55</v>
      </c>
      <c r="F8134" s="1497"/>
      <c r="G8134" s="855" t="s">
        <v>27</v>
      </c>
      <c r="H8134" s="3"/>
    </row>
    <row r="8135" spans="1:8">
      <c r="A8135" s="856">
        <v>45839</v>
      </c>
      <c r="B8135" s="855"/>
      <c r="C8135" s="855" t="s">
        <v>205</v>
      </c>
      <c r="D8135" s="3" t="s">
        <v>3848</v>
      </c>
      <c r="E8135" s="1497">
        <v>2025867</v>
      </c>
      <c r="F8135" s="1497"/>
      <c r="G8135" s="855" t="s">
        <v>27</v>
      </c>
      <c r="H8135" s="3"/>
    </row>
    <row r="8136" spans="1:8">
      <c r="A8136" s="856">
        <v>45839</v>
      </c>
      <c r="B8136" s="855"/>
      <c r="C8136" s="855" t="s">
        <v>176</v>
      </c>
      <c r="D8136" s="3" t="s">
        <v>2494</v>
      </c>
      <c r="E8136" s="1497">
        <v>50000</v>
      </c>
      <c r="F8136" s="1497"/>
      <c r="G8136" s="855" t="s">
        <v>27</v>
      </c>
      <c r="H8136" s="3"/>
    </row>
    <row r="8137" spans="1:8">
      <c r="A8137" s="856">
        <v>45839</v>
      </c>
      <c r="B8137" s="855"/>
      <c r="C8137" s="855" t="s">
        <v>185</v>
      </c>
      <c r="D8137" s="3" t="s">
        <v>3851</v>
      </c>
      <c r="E8137" s="1497">
        <v>705487.82</v>
      </c>
      <c r="F8137" s="1497"/>
      <c r="G8137" s="855" t="s">
        <v>108</v>
      </c>
      <c r="H8137" s="3"/>
    </row>
    <row r="8138" spans="1:8">
      <c r="A8138" s="856">
        <v>45839</v>
      </c>
      <c r="B8138" s="855"/>
      <c r="C8138" s="855" t="s">
        <v>185</v>
      </c>
      <c r="D8138" s="3" t="s">
        <v>3851</v>
      </c>
      <c r="E8138" s="1497">
        <v>627689.12</v>
      </c>
      <c r="F8138" s="1497"/>
      <c r="G8138" s="855" t="s">
        <v>108</v>
      </c>
      <c r="H8138" s="3"/>
    </row>
    <row r="8139" spans="1:8">
      <c r="A8139" s="856">
        <v>45840</v>
      </c>
      <c r="B8139" s="855"/>
      <c r="C8139" s="855" t="s">
        <v>90</v>
      </c>
      <c r="D8139" s="3" t="s">
        <v>3852</v>
      </c>
      <c r="E8139" s="1497">
        <v>400149.68</v>
      </c>
      <c r="F8139" s="1497"/>
      <c r="G8139" s="855" t="s">
        <v>27</v>
      </c>
      <c r="H8139" s="3"/>
    </row>
    <row r="8140" spans="1:8">
      <c r="A8140" s="856">
        <v>45840</v>
      </c>
      <c r="B8140" s="855"/>
      <c r="C8140" s="855" t="s">
        <v>55</v>
      </c>
      <c r="D8140" s="3" t="s">
        <v>70</v>
      </c>
      <c r="E8140" s="1497">
        <v>8100</v>
      </c>
      <c r="F8140" s="1497"/>
      <c r="G8140" s="855" t="s">
        <v>3864</v>
      </c>
      <c r="H8140" s="3"/>
    </row>
    <row r="8141" spans="1:8">
      <c r="A8141" s="857">
        <v>45840</v>
      </c>
      <c r="B8141" s="855"/>
      <c r="C8141" s="858" t="s">
        <v>55</v>
      </c>
      <c r="D8141" s="3" t="s">
        <v>3853</v>
      </c>
      <c r="E8141" s="1497">
        <v>2200</v>
      </c>
      <c r="F8141" s="1497"/>
      <c r="G8141" s="855" t="s">
        <v>56</v>
      </c>
      <c r="H8141" s="3"/>
    </row>
    <row r="8142" spans="1:8">
      <c r="A8142" s="859">
        <v>45840</v>
      </c>
      <c r="B8142" s="860"/>
      <c r="C8142" s="860" t="s">
        <v>3854</v>
      </c>
      <c r="D8142" s="3" t="s">
        <v>514</v>
      </c>
      <c r="E8142" s="1497">
        <v>50000</v>
      </c>
      <c r="F8142" s="1497"/>
      <c r="G8142" s="860" t="s">
        <v>27</v>
      </c>
      <c r="H8142" s="3"/>
    </row>
    <row r="8143" spans="1:8">
      <c r="A8143" s="859">
        <v>45840</v>
      </c>
      <c r="B8143" s="860"/>
      <c r="C8143" s="70" t="s">
        <v>176</v>
      </c>
      <c r="D8143" s="113" t="s">
        <v>175</v>
      </c>
      <c r="E8143" s="70">
        <v>950</v>
      </c>
      <c r="F8143" s="70"/>
      <c r="G8143" s="70" t="s">
        <v>781</v>
      </c>
      <c r="H8143" s="3"/>
    </row>
    <row r="8144" spans="1:8">
      <c r="A8144" s="859">
        <v>45841</v>
      </c>
      <c r="B8144" s="860"/>
      <c r="C8144" s="860" t="s">
        <v>65</v>
      </c>
      <c r="D8144" s="3" t="s">
        <v>3859</v>
      </c>
      <c r="E8144" s="1497">
        <v>15862.5</v>
      </c>
      <c r="F8144" s="1497"/>
      <c r="G8144" s="860" t="s">
        <v>27</v>
      </c>
      <c r="H8144" s="3"/>
    </row>
    <row r="8145" spans="1:8">
      <c r="A8145" s="859">
        <v>45841</v>
      </c>
      <c r="B8145" s="860"/>
      <c r="C8145" s="860" t="s">
        <v>65</v>
      </c>
      <c r="D8145" s="3" t="s">
        <v>3860</v>
      </c>
      <c r="E8145" s="1497">
        <v>15862.5</v>
      </c>
      <c r="F8145" s="1497"/>
      <c r="G8145" s="860" t="s">
        <v>27</v>
      </c>
      <c r="H8145" s="3"/>
    </row>
    <row r="8146" spans="1:8">
      <c r="A8146" s="859">
        <v>45841</v>
      </c>
      <c r="B8146" s="860"/>
      <c r="C8146" s="860" t="s">
        <v>65</v>
      </c>
      <c r="D8146" s="3" t="s">
        <v>3861</v>
      </c>
      <c r="E8146" s="1497">
        <v>44238.12</v>
      </c>
      <c r="F8146" s="1497"/>
      <c r="G8146" s="860" t="s">
        <v>27</v>
      </c>
      <c r="H8146" s="3"/>
    </row>
    <row r="8147" spans="1:8">
      <c r="A8147" s="112">
        <v>45841</v>
      </c>
      <c r="B8147" s="70"/>
      <c r="C8147" s="70" t="s">
        <v>3021</v>
      </c>
      <c r="D8147" s="113" t="s">
        <v>3862</v>
      </c>
      <c r="E8147" s="70">
        <v>31000</v>
      </c>
      <c r="F8147" s="70"/>
      <c r="G8147" s="70" t="s">
        <v>56</v>
      </c>
      <c r="H8147" s="3"/>
    </row>
    <row r="8148" spans="1:8">
      <c r="A8148" s="859">
        <v>45841</v>
      </c>
      <c r="B8148" s="860"/>
      <c r="C8148" s="860" t="s">
        <v>1385</v>
      </c>
      <c r="D8148" s="3" t="s">
        <v>3863</v>
      </c>
      <c r="E8148" s="1497"/>
      <c r="F8148" s="1497">
        <v>1200000</v>
      </c>
      <c r="G8148" s="860" t="s">
        <v>781</v>
      </c>
      <c r="H8148" s="3"/>
    </row>
    <row r="8149" spans="1:8">
      <c r="A8149" s="859">
        <v>45841</v>
      </c>
      <c r="B8149" s="860"/>
      <c r="C8149" s="860" t="s">
        <v>205</v>
      </c>
      <c r="D8149" s="3" t="s">
        <v>71</v>
      </c>
      <c r="E8149" s="1497">
        <v>990000</v>
      </c>
      <c r="F8149" s="1497"/>
      <c r="G8149" s="860" t="s">
        <v>27</v>
      </c>
      <c r="H8149" s="3"/>
    </row>
    <row r="8150" spans="1:8">
      <c r="A8150" s="862">
        <v>45841</v>
      </c>
      <c r="B8150" s="860"/>
      <c r="C8150" s="860" t="s">
        <v>79</v>
      </c>
      <c r="D8150" s="3" t="s">
        <v>79</v>
      </c>
      <c r="E8150" s="1497">
        <v>30000</v>
      </c>
      <c r="F8150" s="1497"/>
      <c r="G8150" s="860" t="s">
        <v>56</v>
      </c>
      <c r="H8150" s="3"/>
    </row>
    <row r="8151" spans="1:8">
      <c r="A8151" s="862">
        <v>45841</v>
      </c>
      <c r="B8151" s="860"/>
      <c r="C8151" s="860" t="s">
        <v>92</v>
      </c>
      <c r="D8151" s="3" t="s">
        <v>3192</v>
      </c>
      <c r="E8151" s="1497"/>
      <c r="F8151" s="1497">
        <v>35000</v>
      </c>
      <c r="G8151" s="860" t="s">
        <v>56</v>
      </c>
      <c r="H8151" s="3"/>
    </row>
    <row r="8152" spans="1:8">
      <c r="A8152" s="862">
        <v>45841</v>
      </c>
      <c r="B8152" s="860"/>
      <c r="C8152" s="860" t="s">
        <v>77</v>
      </c>
      <c r="D8152" s="3" t="s">
        <v>3865</v>
      </c>
      <c r="E8152" s="1497"/>
      <c r="F8152" s="1497">
        <v>1396810</v>
      </c>
      <c r="G8152" s="860" t="s">
        <v>1279</v>
      </c>
      <c r="H8152" s="3"/>
    </row>
    <row r="8153" spans="1:8">
      <c r="A8153" s="862">
        <v>45841</v>
      </c>
      <c r="B8153" s="860"/>
      <c r="C8153" s="860" t="s">
        <v>205</v>
      </c>
      <c r="D8153" s="3" t="s">
        <v>63</v>
      </c>
      <c r="E8153" s="1497"/>
      <c r="F8153" s="1497"/>
      <c r="G8153" s="860" t="s">
        <v>56</v>
      </c>
      <c r="H8153" s="3"/>
    </row>
    <row r="8154" spans="1:8">
      <c r="A8154" s="864">
        <v>45842</v>
      </c>
      <c r="B8154" s="860"/>
      <c r="C8154" s="860" t="s">
        <v>92</v>
      </c>
      <c r="D8154" s="3" t="s">
        <v>3866</v>
      </c>
      <c r="E8154" s="1497"/>
      <c r="F8154" s="1497">
        <v>1507000</v>
      </c>
      <c r="G8154" s="860" t="s">
        <v>27</v>
      </c>
      <c r="H8154" s="3"/>
    </row>
    <row r="8155" spans="1:8">
      <c r="A8155" s="864">
        <v>45842</v>
      </c>
      <c r="B8155" s="860"/>
      <c r="C8155" s="860" t="s">
        <v>92</v>
      </c>
      <c r="D8155" s="3" t="s">
        <v>3867</v>
      </c>
      <c r="E8155" s="1497">
        <v>252703.76</v>
      </c>
      <c r="F8155" s="1497"/>
      <c r="G8155" s="860" t="s">
        <v>27</v>
      </c>
      <c r="H8155" s="3"/>
    </row>
    <row r="8156" spans="1:8">
      <c r="A8156" s="864">
        <v>45842</v>
      </c>
      <c r="B8156" s="860"/>
      <c r="C8156" s="860" t="s">
        <v>3608</v>
      </c>
      <c r="D8156" s="3" t="s">
        <v>3545</v>
      </c>
      <c r="E8156" s="1497">
        <v>40999</v>
      </c>
      <c r="F8156" s="1497"/>
      <c r="G8156" s="860" t="s">
        <v>27</v>
      </c>
      <c r="H8156" s="3"/>
    </row>
    <row r="8157" spans="1:8">
      <c r="A8157" s="864">
        <v>45842</v>
      </c>
      <c r="B8157" s="860"/>
      <c r="C8157" s="860" t="s">
        <v>92</v>
      </c>
      <c r="D8157" s="3" t="s">
        <v>3868</v>
      </c>
      <c r="E8157" s="1497"/>
      <c r="F8157" s="1497">
        <v>88600</v>
      </c>
      <c r="G8157" s="860" t="s">
        <v>27</v>
      </c>
      <c r="H8157" s="3"/>
    </row>
    <row r="8158" spans="1:8">
      <c r="A8158" s="864">
        <v>45842</v>
      </c>
      <c r="B8158" s="860"/>
      <c r="C8158" s="860" t="s">
        <v>94</v>
      </c>
      <c r="D8158" s="3" t="s">
        <v>3869</v>
      </c>
      <c r="E8158" s="1497">
        <v>98011.56</v>
      </c>
      <c r="F8158" s="1497"/>
      <c r="G8158" s="863" t="s">
        <v>27</v>
      </c>
      <c r="H8158" s="3"/>
    </row>
    <row r="8159" spans="1:8">
      <c r="A8159" s="864">
        <v>45842</v>
      </c>
      <c r="B8159" s="861"/>
      <c r="C8159" s="863" t="s">
        <v>94</v>
      </c>
      <c r="D8159" s="3" t="s">
        <v>3870</v>
      </c>
      <c r="E8159" s="1497">
        <v>107680.48</v>
      </c>
      <c r="F8159" s="1497"/>
      <c r="G8159" s="861" t="s">
        <v>27</v>
      </c>
      <c r="H8159" s="3"/>
    </row>
    <row r="8160" spans="1:8">
      <c r="A8160" s="864">
        <v>45842</v>
      </c>
      <c r="B8160" s="861"/>
      <c r="C8160" s="863" t="s">
        <v>94</v>
      </c>
      <c r="D8160" s="3" t="s">
        <v>3872</v>
      </c>
      <c r="E8160" s="1497" t="s">
        <v>3871</v>
      </c>
      <c r="F8160" s="1497"/>
      <c r="G8160" s="861" t="s">
        <v>27</v>
      </c>
      <c r="H8160" s="3"/>
    </row>
    <row r="8161" spans="1:8">
      <c r="A8161" s="864">
        <v>45842</v>
      </c>
      <c r="B8161" s="863"/>
      <c r="C8161" s="863" t="s">
        <v>77</v>
      </c>
      <c r="D8161" s="3" t="s">
        <v>3847</v>
      </c>
      <c r="E8161" s="1497"/>
      <c r="F8161" s="1497">
        <v>510000</v>
      </c>
      <c r="G8161" s="863" t="s">
        <v>27</v>
      </c>
      <c r="H8161" s="3"/>
    </row>
    <row r="8162" spans="1:8">
      <c r="A8162" s="864">
        <v>45842</v>
      </c>
      <c r="B8162" s="863"/>
      <c r="C8162" s="863" t="s">
        <v>77</v>
      </c>
      <c r="D8162" s="3" t="s">
        <v>3847</v>
      </c>
      <c r="E8162" s="1497">
        <v>842.98</v>
      </c>
      <c r="F8162" s="1497"/>
      <c r="G8162" s="863" t="s">
        <v>27</v>
      </c>
      <c r="H8162" s="3"/>
    </row>
    <row r="8163" spans="1:8">
      <c r="A8163" s="864">
        <v>45842</v>
      </c>
      <c r="B8163" s="863"/>
      <c r="C8163" s="863" t="s">
        <v>205</v>
      </c>
      <c r="D8163" s="3" t="s">
        <v>246</v>
      </c>
      <c r="E8163" s="1497">
        <v>34804.400000000001</v>
      </c>
      <c r="F8163" s="1497"/>
      <c r="G8163" s="863" t="s">
        <v>27</v>
      </c>
      <c r="H8163" s="3"/>
    </row>
    <row r="8164" spans="1:8">
      <c r="A8164" s="864">
        <v>45842</v>
      </c>
      <c r="B8164" s="863"/>
      <c r="C8164" s="863" t="s">
        <v>537</v>
      </c>
      <c r="D8164" s="3" t="s">
        <v>219</v>
      </c>
      <c r="E8164" s="1497">
        <v>350000</v>
      </c>
      <c r="F8164" s="1497"/>
      <c r="G8164" s="863" t="s">
        <v>56</v>
      </c>
      <c r="H8164" s="3"/>
    </row>
    <row r="8165" spans="1:8">
      <c r="A8165" s="864">
        <v>45842</v>
      </c>
      <c r="B8165" s="863"/>
      <c r="C8165" s="863" t="s">
        <v>537</v>
      </c>
      <c r="D8165" s="3" t="s">
        <v>2720</v>
      </c>
      <c r="E8165" s="1497">
        <v>336000</v>
      </c>
      <c r="F8165" s="1497"/>
      <c r="G8165" s="863" t="s">
        <v>56</v>
      </c>
      <c r="H8165" s="3"/>
    </row>
    <row r="8166" spans="1:8">
      <c r="A8166" s="864">
        <v>45842</v>
      </c>
      <c r="B8166" s="863"/>
      <c r="C8166" s="863" t="s">
        <v>537</v>
      </c>
      <c r="D8166" s="3" t="s">
        <v>144</v>
      </c>
      <c r="E8166" s="1497">
        <v>480000</v>
      </c>
      <c r="F8166" s="1497"/>
      <c r="G8166" s="863" t="s">
        <v>56</v>
      </c>
      <c r="H8166" s="3"/>
    </row>
    <row r="8167" spans="1:8">
      <c r="A8167" s="864">
        <v>45842</v>
      </c>
      <c r="B8167" s="863"/>
      <c r="C8167" s="863" t="s">
        <v>537</v>
      </c>
      <c r="D8167" s="15" t="s">
        <v>193</v>
      </c>
      <c r="E8167" s="1497">
        <v>13000</v>
      </c>
      <c r="F8167" s="1497"/>
      <c r="G8167" s="863" t="s">
        <v>56</v>
      </c>
      <c r="H8167" s="3"/>
    </row>
    <row r="8168" spans="1:8">
      <c r="A8168" s="864">
        <v>45842</v>
      </c>
      <c r="B8168" s="863"/>
      <c r="C8168" s="863" t="s">
        <v>92</v>
      </c>
      <c r="D8168" s="3" t="s">
        <v>3873</v>
      </c>
      <c r="E8168" s="1497"/>
      <c r="F8168" s="1497">
        <v>78900</v>
      </c>
      <c r="G8168" s="863" t="s">
        <v>56</v>
      </c>
      <c r="H8168" s="3"/>
    </row>
    <row r="8169" spans="1:8">
      <c r="A8169" s="864">
        <v>45842</v>
      </c>
      <c r="B8169" s="863"/>
      <c r="C8169" s="863" t="s">
        <v>86</v>
      </c>
      <c r="D8169" s="3" t="s">
        <v>3749</v>
      </c>
      <c r="E8169" s="1497">
        <v>31000</v>
      </c>
      <c r="F8169" s="1497"/>
      <c r="G8169" s="863" t="s">
        <v>56</v>
      </c>
      <c r="H8169" s="3"/>
    </row>
    <row r="8170" spans="1:8" ht="15.75" thickBot="1">
      <c r="A8170" s="864">
        <v>45842</v>
      </c>
      <c r="B8170" s="863"/>
      <c r="C8170" s="863" t="s">
        <v>77</v>
      </c>
      <c r="D8170" s="3" t="s">
        <v>3881</v>
      </c>
      <c r="E8170" s="1497"/>
      <c r="F8170" s="1497">
        <v>4470000</v>
      </c>
      <c r="G8170" s="863" t="s">
        <v>1279</v>
      </c>
      <c r="H8170" s="115"/>
    </row>
    <row r="8171" spans="1:8" ht="15.75" thickBot="1">
      <c r="A8171" s="863"/>
      <c r="B8171" s="863"/>
      <c r="C8171" s="863"/>
      <c r="D8171" s="3"/>
      <c r="E8171" s="1497"/>
      <c r="F8171" s="1497"/>
      <c r="G8171" s="863"/>
      <c r="H8171" s="201">
        <v>45856</v>
      </c>
    </row>
    <row r="8172" spans="1:8">
      <c r="H8172" s="803" t="s">
        <v>3880</v>
      </c>
    </row>
    <row r="8173" spans="1:8">
      <c r="H8173" s="137" t="s">
        <v>3877</v>
      </c>
    </row>
    <row r="8174" spans="1:8">
      <c r="H8174" s="138" t="s">
        <v>3850</v>
      </c>
    </row>
    <row r="8175" spans="1:8">
      <c r="H8175" s="138" t="s">
        <v>3874</v>
      </c>
    </row>
    <row r="8176" spans="1:8">
      <c r="H8176" s="138" t="s">
        <v>3875</v>
      </c>
    </row>
    <row r="8177" spans="1:8">
      <c r="H8177" s="138" t="s">
        <v>3760</v>
      </c>
    </row>
    <row r="8178" spans="1:8">
      <c r="H8178" s="138" t="s">
        <v>3876</v>
      </c>
    </row>
    <row r="8179" spans="1:8">
      <c r="H8179" s="138" t="s">
        <v>3878</v>
      </c>
    </row>
    <row r="8180" spans="1:8" ht="15.75" thickBot="1">
      <c r="H8180" s="139" t="s">
        <v>3759</v>
      </c>
    </row>
    <row r="8181" spans="1:8">
      <c r="H8181" s="288" t="s">
        <v>3879</v>
      </c>
    </row>
    <row r="8182" spans="1:8">
      <c r="A8182" s="866">
        <v>45845</v>
      </c>
      <c r="B8182" s="867"/>
      <c r="C8182" s="867" t="s">
        <v>79</v>
      </c>
      <c r="D8182" s="3" t="s">
        <v>79</v>
      </c>
      <c r="E8182" s="1497">
        <v>31000</v>
      </c>
      <c r="F8182" s="1497"/>
      <c r="G8182" s="867" t="s">
        <v>27</v>
      </c>
      <c r="H8182" s="3"/>
    </row>
    <row r="8183" spans="1:8">
      <c r="A8183" s="866">
        <v>45845</v>
      </c>
      <c r="B8183" s="867"/>
      <c r="C8183" s="867" t="s">
        <v>79</v>
      </c>
      <c r="D8183" s="3" t="s">
        <v>79</v>
      </c>
      <c r="E8183" s="1497">
        <v>27396</v>
      </c>
      <c r="F8183" s="1497"/>
      <c r="G8183" s="867" t="s">
        <v>27</v>
      </c>
      <c r="H8183" s="3"/>
    </row>
    <row r="8184" spans="1:8">
      <c r="A8184" s="866">
        <v>45845</v>
      </c>
      <c r="B8184" s="867"/>
      <c r="C8184" s="867" t="s">
        <v>1495</v>
      </c>
      <c r="D8184" s="3" t="s">
        <v>3782</v>
      </c>
      <c r="E8184" s="1497">
        <v>55000</v>
      </c>
      <c r="F8184" s="1497"/>
      <c r="G8184" s="867" t="s">
        <v>27</v>
      </c>
      <c r="H8184" s="3"/>
    </row>
    <row r="8185" spans="1:8">
      <c r="A8185" s="866">
        <v>45845</v>
      </c>
      <c r="B8185" s="867"/>
      <c r="C8185" s="867" t="s">
        <v>205</v>
      </c>
      <c r="D8185" s="3" t="s">
        <v>71</v>
      </c>
      <c r="E8185" s="1497">
        <v>117300</v>
      </c>
      <c r="F8185" s="1497"/>
      <c r="G8185" s="867" t="s">
        <v>27</v>
      </c>
      <c r="H8185" s="3"/>
    </row>
    <row r="8186" spans="1:8">
      <c r="A8186" s="866">
        <v>45845</v>
      </c>
      <c r="B8186" s="867"/>
      <c r="C8186" s="867" t="s">
        <v>79</v>
      </c>
      <c r="D8186" s="3" t="s">
        <v>79</v>
      </c>
      <c r="E8186" s="1497">
        <v>30000</v>
      </c>
      <c r="F8186" s="1497"/>
      <c r="G8186" s="867" t="s">
        <v>56</v>
      </c>
      <c r="H8186" s="3"/>
    </row>
    <row r="8187" spans="1:8">
      <c r="A8187" s="866">
        <v>45845</v>
      </c>
      <c r="B8187" s="867"/>
      <c r="C8187" s="867" t="s">
        <v>77</v>
      </c>
      <c r="D8187" s="3" t="s">
        <v>3882</v>
      </c>
      <c r="E8187" s="1497"/>
      <c r="F8187" s="1497">
        <v>995900</v>
      </c>
      <c r="G8187" s="867" t="s">
        <v>1279</v>
      </c>
      <c r="H8187" s="45" t="s">
        <v>3884</v>
      </c>
    </row>
    <row r="8188" spans="1:8">
      <c r="A8188" s="866">
        <v>45845</v>
      </c>
      <c r="B8188" s="865"/>
      <c r="C8188" s="867" t="s">
        <v>77</v>
      </c>
      <c r="D8188" s="3" t="s">
        <v>3883</v>
      </c>
      <c r="E8188" s="1497"/>
      <c r="F8188" s="1497">
        <v>1229300</v>
      </c>
      <c r="G8188" s="867" t="s">
        <v>56</v>
      </c>
      <c r="H8188" s="45" t="s">
        <v>3885</v>
      </c>
    </row>
    <row r="8189" spans="1:8">
      <c r="A8189" s="866">
        <v>45845</v>
      </c>
      <c r="C8189" s="867" t="s">
        <v>77</v>
      </c>
      <c r="D8189" s="3" t="s">
        <v>3886</v>
      </c>
      <c r="E8189" s="1497"/>
      <c r="F8189" s="1497">
        <v>7500000</v>
      </c>
      <c r="G8189" s="867" t="s">
        <v>56</v>
      </c>
      <c r="H8189" s="3" t="s">
        <v>3887</v>
      </c>
    </row>
    <row r="8190" spans="1:8">
      <c r="A8190" s="866">
        <v>45845</v>
      </c>
      <c r="C8190" s="867" t="s">
        <v>730</v>
      </c>
      <c r="D8190" s="3" t="s">
        <v>3888</v>
      </c>
      <c r="E8190" s="1497">
        <v>150000</v>
      </c>
      <c r="F8190" s="1497"/>
      <c r="G8190" s="867" t="s">
        <v>56</v>
      </c>
      <c r="H8190" s="3"/>
    </row>
    <row r="8191" spans="1:8">
      <c r="A8191" s="119">
        <v>45846</v>
      </c>
      <c r="C8191" s="57" t="s">
        <v>205</v>
      </c>
      <c r="D8191" s="85" t="s">
        <v>71</v>
      </c>
      <c r="E8191" s="57">
        <v>5425000</v>
      </c>
      <c r="F8191" s="57"/>
      <c r="G8191" s="57" t="s">
        <v>56</v>
      </c>
      <c r="H8191" s="85"/>
    </row>
    <row r="8192" spans="1:8">
      <c r="A8192" s="866">
        <v>45846</v>
      </c>
      <c r="B8192" s="867"/>
      <c r="C8192" s="867" t="s">
        <v>77</v>
      </c>
      <c r="D8192" s="3" t="s">
        <v>3894</v>
      </c>
      <c r="E8192" s="1497"/>
      <c r="F8192" s="1497">
        <v>15000</v>
      </c>
      <c r="G8192" s="867" t="s">
        <v>27</v>
      </c>
      <c r="H8192" s="3"/>
    </row>
    <row r="8193" spans="1:8">
      <c r="A8193" s="866">
        <v>45846</v>
      </c>
      <c r="B8193" s="867"/>
      <c r="C8193" s="867" t="s">
        <v>205</v>
      </c>
      <c r="D8193" s="3" t="s">
        <v>859</v>
      </c>
      <c r="E8193" s="1497">
        <v>586220.80000000005</v>
      </c>
      <c r="F8193" s="1497"/>
      <c r="G8193" s="867" t="s">
        <v>27</v>
      </c>
      <c r="H8193" s="3"/>
    </row>
    <row r="8194" spans="1:8">
      <c r="A8194" s="866">
        <v>45846</v>
      </c>
      <c r="B8194" s="867"/>
      <c r="C8194" s="867" t="s">
        <v>79</v>
      </c>
      <c r="D8194" s="3" t="s">
        <v>2355</v>
      </c>
      <c r="E8194" s="1497">
        <v>20000</v>
      </c>
      <c r="F8194" s="1497"/>
      <c r="G8194" s="867" t="s">
        <v>27</v>
      </c>
      <c r="H8194" s="3"/>
    </row>
    <row r="8195" spans="1:8">
      <c r="A8195" s="866">
        <v>45846</v>
      </c>
      <c r="B8195" s="867"/>
      <c r="C8195" s="867" t="s">
        <v>433</v>
      </c>
      <c r="D8195" s="3" t="s">
        <v>2056</v>
      </c>
      <c r="E8195" s="1497">
        <v>221164.2</v>
      </c>
      <c r="F8195" s="1497"/>
      <c r="G8195" s="867" t="s">
        <v>108</v>
      </c>
      <c r="H8195" s="3"/>
    </row>
    <row r="8196" spans="1:8">
      <c r="A8196" s="866">
        <v>45846</v>
      </c>
      <c r="B8196" s="867"/>
      <c r="C8196" s="867" t="s">
        <v>433</v>
      </c>
      <c r="D8196" s="3" t="s">
        <v>155</v>
      </c>
      <c r="E8196" s="1497">
        <v>46444.480000000003</v>
      </c>
      <c r="F8196" s="1497"/>
      <c r="G8196" s="867" t="s">
        <v>108</v>
      </c>
      <c r="H8196" s="3"/>
    </row>
    <row r="8197" spans="1:8">
      <c r="A8197" s="866">
        <v>45846</v>
      </c>
      <c r="B8197" s="867"/>
      <c r="C8197" s="867" t="s">
        <v>433</v>
      </c>
      <c r="D8197" s="15" t="s">
        <v>3890</v>
      </c>
      <c r="E8197" s="1497">
        <v>2041.52</v>
      </c>
      <c r="F8197" s="1497"/>
      <c r="G8197" s="867" t="s">
        <v>108</v>
      </c>
      <c r="H8197" s="3"/>
    </row>
    <row r="8198" spans="1:8">
      <c r="A8198" s="866">
        <v>45846</v>
      </c>
      <c r="B8198" s="867"/>
      <c r="C8198" s="867" t="s">
        <v>79</v>
      </c>
      <c r="D8198" s="3" t="s">
        <v>3889</v>
      </c>
      <c r="E8198" s="1497">
        <v>53973.25</v>
      </c>
      <c r="F8198" s="1497"/>
      <c r="G8198" s="867" t="s">
        <v>108</v>
      </c>
      <c r="H8198" s="3"/>
    </row>
    <row r="8199" spans="1:8">
      <c r="A8199" s="866">
        <v>45846</v>
      </c>
      <c r="B8199" s="867"/>
      <c r="C8199" s="867" t="s">
        <v>409</v>
      </c>
      <c r="D8199" s="3" t="s">
        <v>904</v>
      </c>
      <c r="E8199" s="1497"/>
      <c r="F8199" s="1497">
        <v>885000</v>
      </c>
      <c r="G8199" s="867" t="s">
        <v>56</v>
      </c>
      <c r="H8199" s="3" t="s">
        <v>3740</v>
      </c>
    </row>
    <row r="8200" spans="1:8">
      <c r="A8200" s="869">
        <v>45848</v>
      </c>
      <c r="B8200" s="868"/>
      <c r="C8200" s="868" t="s">
        <v>205</v>
      </c>
      <c r="D8200" s="3" t="s">
        <v>859</v>
      </c>
      <c r="E8200" s="1497">
        <v>1550000</v>
      </c>
      <c r="F8200" s="1497"/>
      <c r="G8200" s="868" t="s">
        <v>56</v>
      </c>
      <c r="H8200" s="3"/>
    </row>
    <row r="8201" spans="1:8">
      <c r="A8201" s="869">
        <v>45848</v>
      </c>
      <c r="B8201" s="868"/>
      <c r="C8201" s="868" t="s">
        <v>433</v>
      </c>
      <c r="D8201" s="15" t="s">
        <v>319</v>
      </c>
      <c r="E8201" s="1497">
        <v>600000</v>
      </c>
      <c r="F8201" s="1497"/>
      <c r="G8201" s="868" t="s">
        <v>56</v>
      </c>
      <c r="H8201" s="3"/>
    </row>
    <row r="8202" spans="1:8">
      <c r="A8202" s="869">
        <v>45848</v>
      </c>
      <c r="B8202" s="868"/>
      <c r="C8202" s="868" t="s">
        <v>77</v>
      </c>
      <c r="D8202" s="3" t="s">
        <v>1020</v>
      </c>
      <c r="E8202" s="1497"/>
      <c r="F8202" s="1497">
        <v>125000</v>
      </c>
      <c r="G8202" s="868" t="s">
        <v>27</v>
      </c>
      <c r="H8202" s="3" t="s">
        <v>3891</v>
      </c>
    </row>
    <row r="8203" spans="1:8">
      <c r="A8203" s="869">
        <v>45848</v>
      </c>
      <c r="B8203" s="868"/>
      <c r="C8203" s="868" t="s">
        <v>65</v>
      </c>
      <c r="D8203" s="3" t="s">
        <v>1351</v>
      </c>
      <c r="E8203" s="1497">
        <v>53000</v>
      </c>
      <c r="F8203" s="1497"/>
      <c r="G8203" s="868" t="s">
        <v>56</v>
      </c>
      <c r="H8203" s="3"/>
    </row>
    <row r="8204" spans="1:8">
      <c r="A8204" s="870">
        <v>45848</v>
      </c>
      <c r="B8204" s="871"/>
      <c r="C8204" s="871" t="s">
        <v>77</v>
      </c>
      <c r="D8204" s="3" t="s">
        <v>3893</v>
      </c>
      <c r="E8204" s="1497"/>
      <c r="F8204" s="1497">
        <v>812000</v>
      </c>
      <c r="G8204" s="871" t="s">
        <v>27</v>
      </c>
      <c r="H8204" s="3"/>
    </row>
    <row r="8205" spans="1:8">
      <c r="A8205" s="870">
        <v>45848</v>
      </c>
      <c r="B8205" s="871"/>
      <c r="C8205" s="871" t="s">
        <v>77</v>
      </c>
      <c r="D8205" s="3" t="s">
        <v>3892</v>
      </c>
      <c r="E8205" s="1497"/>
      <c r="F8205" s="1497">
        <v>78900</v>
      </c>
      <c r="G8205" s="871" t="s">
        <v>56</v>
      </c>
      <c r="H8205" s="86">
        <v>19288410</v>
      </c>
    </row>
    <row r="8206" spans="1:8">
      <c r="A8206" s="870">
        <v>45849</v>
      </c>
      <c r="B8206" s="871"/>
      <c r="C8206" s="871" t="s">
        <v>76</v>
      </c>
      <c r="D8206" s="3" t="s">
        <v>3893</v>
      </c>
      <c r="E8206" s="1497"/>
      <c r="F8206" s="1497">
        <v>300000</v>
      </c>
      <c r="G8206" s="871" t="s">
        <v>56</v>
      </c>
      <c r="H8206" s="80" t="s">
        <v>76</v>
      </c>
    </row>
    <row r="8207" spans="1:8">
      <c r="A8207" s="870">
        <v>45849</v>
      </c>
      <c r="B8207" s="871"/>
      <c r="C8207" s="871" t="s">
        <v>55</v>
      </c>
      <c r="D8207" s="15" t="s">
        <v>1591</v>
      </c>
      <c r="E8207" s="1497">
        <v>5000</v>
      </c>
      <c r="F8207" s="1497"/>
      <c r="G8207" s="871" t="s">
        <v>56</v>
      </c>
      <c r="H8207" s="3"/>
    </row>
    <row r="8208" spans="1:8">
      <c r="A8208" s="870">
        <v>45849</v>
      </c>
      <c r="B8208" s="871"/>
      <c r="C8208" s="871" t="s">
        <v>55</v>
      </c>
      <c r="D8208" s="3" t="s">
        <v>335</v>
      </c>
      <c r="E8208" s="1497">
        <v>800</v>
      </c>
      <c r="F8208" s="1497"/>
      <c r="G8208" s="871" t="s">
        <v>56</v>
      </c>
      <c r="H8208" s="3"/>
    </row>
    <row r="8209" spans="1:8">
      <c r="A8209" s="873">
        <v>45849</v>
      </c>
      <c r="B8209" s="871"/>
      <c r="C8209" s="871" t="s">
        <v>205</v>
      </c>
      <c r="D8209" s="3" t="s">
        <v>2777</v>
      </c>
      <c r="E8209" s="1497">
        <v>413925</v>
      </c>
      <c r="F8209" s="1497"/>
      <c r="G8209" s="871" t="s">
        <v>27</v>
      </c>
      <c r="H8209" s="3"/>
    </row>
    <row r="8210" spans="1:8">
      <c r="A8210" s="873">
        <v>45849</v>
      </c>
      <c r="B8210" s="871"/>
      <c r="C8210" s="871" t="s">
        <v>205</v>
      </c>
      <c r="D8210" s="3" t="s">
        <v>45</v>
      </c>
      <c r="E8210" s="1497">
        <v>195420</v>
      </c>
      <c r="F8210" s="1497"/>
      <c r="G8210" s="871" t="s">
        <v>27</v>
      </c>
      <c r="H8210" s="3"/>
    </row>
    <row r="8211" spans="1:8">
      <c r="A8211" s="873">
        <v>45849</v>
      </c>
      <c r="B8211" s="872"/>
      <c r="C8211" s="872" t="s">
        <v>94</v>
      </c>
      <c r="D8211" s="3" t="s">
        <v>17</v>
      </c>
      <c r="E8211" s="1497">
        <v>81678.36</v>
      </c>
      <c r="F8211" s="1497"/>
      <c r="G8211" s="872" t="s">
        <v>27</v>
      </c>
      <c r="H8211" s="3"/>
    </row>
    <row r="8212" spans="1:8">
      <c r="A8212" s="873">
        <v>45849</v>
      </c>
      <c r="B8212" s="872"/>
      <c r="C8212" s="872" t="s">
        <v>79</v>
      </c>
      <c r="D8212" s="3" t="s">
        <v>3895</v>
      </c>
      <c r="E8212" s="1497">
        <v>100000</v>
      </c>
      <c r="F8212" s="1497"/>
      <c r="G8212" s="872" t="s">
        <v>56</v>
      </c>
      <c r="H8212" s="3"/>
    </row>
    <row r="8213" spans="1:8">
      <c r="A8213" s="873">
        <v>45849</v>
      </c>
      <c r="B8213" s="872"/>
      <c r="C8213" s="872" t="s">
        <v>3896</v>
      </c>
      <c r="D8213" s="15" t="s">
        <v>3496</v>
      </c>
      <c r="E8213" s="1497">
        <v>40000</v>
      </c>
      <c r="F8213" s="1497"/>
      <c r="G8213" s="872" t="s">
        <v>56</v>
      </c>
      <c r="H8213" s="3"/>
    </row>
    <row r="8214" spans="1:8">
      <c r="A8214" s="873">
        <v>45849</v>
      </c>
      <c r="B8214" s="872"/>
      <c r="C8214" s="872" t="s">
        <v>537</v>
      </c>
      <c r="D8214" s="3" t="s">
        <v>219</v>
      </c>
      <c r="E8214" s="1497">
        <v>350000</v>
      </c>
      <c r="F8214" s="1497"/>
      <c r="G8214" s="872" t="s">
        <v>56</v>
      </c>
      <c r="H8214" s="3"/>
    </row>
    <row r="8215" spans="1:8">
      <c r="A8215" s="873">
        <v>45849</v>
      </c>
      <c r="B8215" s="872"/>
      <c r="C8215" s="872" t="s">
        <v>537</v>
      </c>
      <c r="D8215" s="3" t="s">
        <v>2720</v>
      </c>
      <c r="E8215" s="1497">
        <v>336000</v>
      </c>
      <c r="F8215" s="1497"/>
      <c r="G8215" s="872" t="s">
        <v>56</v>
      </c>
      <c r="H8215" s="3"/>
    </row>
    <row r="8216" spans="1:8">
      <c r="A8216" s="873">
        <v>45849</v>
      </c>
      <c r="B8216" s="872"/>
      <c r="C8216" s="872" t="s">
        <v>537</v>
      </c>
      <c r="D8216" s="3" t="s">
        <v>575</v>
      </c>
      <c r="E8216" s="1497">
        <v>130000</v>
      </c>
      <c r="F8216" s="1497"/>
      <c r="G8216" s="872" t="s">
        <v>56</v>
      </c>
      <c r="H8216" s="3"/>
    </row>
    <row r="8217" spans="1:8">
      <c r="A8217" s="955">
        <v>45849</v>
      </c>
      <c r="B8217" s="954"/>
      <c r="C8217" s="954" t="s">
        <v>537</v>
      </c>
      <c r="D8217" s="3" t="s">
        <v>575</v>
      </c>
      <c r="E8217" s="1497">
        <v>480000</v>
      </c>
      <c r="F8217" s="1497"/>
      <c r="G8217" s="954" t="s">
        <v>56</v>
      </c>
      <c r="H8217" s="3"/>
    </row>
    <row r="8218" spans="1:8">
      <c r="A8218" s="955">
        <v>45849</v>
      </c>
      <c r="B8218" s="954"/>
      <c r="C8218" s="954" t="s">
        <v>77</v>
      </c>
      <c r="D8218" s="3" t="s">
        <v>3772</v>
      </c>
      <c r="E8218" s="1497"/>
      <c r="F8218" s="1497">
        <v>502000</v>
      </c>
      <c r="G8218" s="954" t="s">
        <v>56</v>
      </c>
      <c r="H8218" s="3"/>
    </row>
    <row r="8219" spans="1:8" ht="15.75" thickBot="1">
      <c r="A8219" s="930"/>
      <c r="B8219" s="930"/>
      <c r="C8219" s="930"/>
      <c r="D8219" s="115"/>
      <c r="E8219" s="1492"/>
      <c r="F8219" s="1492"/>
      <c r="G8219" s="930"/>
      <c r="H8219" s="209">
        <v>45849</v>
      </c>
    </row>
    <row r="8220" spans="1:8">
      <c r="A8220" s="930"/>
      <c r="B8220" s="930"/>
      <c r="C8220" s="930"/>
      <c r="D8220" s="115"/>
      <c r="E8220" s="1492"/>
      <c r="F8220" s="1492"/>
      <c r="G8220" s="930"/>
      <c r="H8220" s="803" t="s">
        <v>3880</v>
      </c>
    </row>
    <row r="8221" spans="1:8">
      <c r="H8221" s="137" t="s">
        <v>3899</v>
      </c>
    </row>
    <row r="8222" spans="1:8">
      <c r="H8222" s="138" t="s">
        <v>3850</v>
      </c>
    </row>
    <row r="8223" spans="1:8">
      <c r="H8223" s="138" t="s">
        <v>3793</v>
      </c>
    </row>
    <row r="8224" spans="1:8">
      <c r="H8224" s="138" t="s">
        <v>3875</v>
      </c>
    </row>
    <row r="8225" spans="1:8">
      <c r="H8225" s="138" t="s">
        <v>3760</v>
      </c>
    </row>
    <row r="8226" spans="1:8">
      <c r="H8226" s="138" t="s">
        <v>3897</v>
      </c>
    </row>
    <row r="8227" spans="1:8">
      <c r="H8227" s="138" t="s">
        <v>3878</v>
      </c>
    </row>
    <row r="8228" spans="1:8" ht="15.75" thickBot="1">
      <c r="H8228" s="139" t="s">
        <v>3759</v>
      </c>
    </row>
    <row r="8229" spans="1:8" ht="15.75" thickBot="1">
      <c r="H8229" s="538" t="s">
        <v>3898</v>
      </c>
    </row>
    <row r="8230" spans="1:8">
      <c r="A8230" s="874">
        <v>45852</v>
      </c>
      <c r="B8230" s="875"/>
      <c r="C8230" s="875" t="s">
        <v>2699</v>
      </c>
      <c r="D8230" s="3" t="s">
        <v>409</v>
      </c>
      <c r="E8230" s="1497">
        <v>100400</v>
      </c>
      <c r="F8230" s="1497"/>
      <c r="G8230" s="875" t="s">
        <v>56</v>
      </c>
      <c r="H8230" s="5"/>
    </row>
    <row r="8231" spans="1:8">
      <c r="A8231" s="874">
        <v>45852</v>
      </c>
      <c r="B8231" s="875"/>
      <c r="C8231" s="875" t="s">
        <v>79</v>
      </c>
      <c r="D8231" s="3" t="s">
        <v>79</v>
      </c>
      <c r="E8231" s="1497">
        <v>72150</v>
      </c>
      <c r="F8231" s="1497"/>
      <c r="G8231" s="875" t="s">
        <v>27</v>
      </c>
      <c r="H8231" s="3"/>
    </row>
    <row r="8232" spans="1:8">
      <c r="A8232" s="874">
        <v>45852</v>
      </c>
      <c r="B8232" s="875"/>
      <c r="C8232" s="875" t="s">
        <v>1495</v>
      </c>
      <c r="D8232" s="3" t="s">
        <v>2282</v>
      </c>
      <c r="E8232" s="1497">
        <v>55000</v>
      </c>
      <c r="F8232" s="1497"/>
      <c r="G8232" s="875" t="s">
        <v>27</v>
      </c>
      <c r="H8232" s="3"/>
    </row>
    <row r="8233" spans="1:8">
      <c r="A8233" s="874">
        <v>45852</v>
      </c>
      <c r="B8233" s="875"/>
      <c r="C8233" s="875" t="s">
        <v>76</v>
      </c>
      <c r="D8233" s="3" t="s">
        <v>3883</v>
      </c>
      <c r="E8233" s="1497"/>
      <c r="F8233" s="1497">
        <v>357000</v>
      </c>
      <c r="G8233" s="875" t="s">
        <v>56</v>
      </c>
      <c r="H8233" s="3"/>
    </row>
    <row r="8234" spans="1:8">
      <c r="A8234" s="874">
        <v>45852</v>
      </c>
      <c r="B8234" s="875"/>
      <c r="C8234" s="875" t="s">
        <v>537</v>
      </c>
      <c r="D8234" s="3" t="s">
        <v>144</v>
      </c>
      <c r="E8234" s="1497">
        <v>30000</v>
      </c>
      <c r="F8234" s="1497"/>
      <c r="G8234" s="875" t="s">
        <v>27</v>
      </c>
      <c r="H8234" s="3"/>
    </row>
    <row r="8235" spans="1:8">
      <c r="A8235" s="874">
        <v>45852</v>
      </c>
      <c r="B8235" s="875"/>
      <c r="C8235" s="875" t="s">
        <v>77</v>
      </c>
      <c r="D8235" s="3" t="s">
        <v>3900</v>
      </c>
      <c r="E8235" s="1497"/>
      <c r="F8235" s="1497">
        <v>1070000</v>
      </c>
      <c r="G8235" s="875" t="s">
        <v>27</v>
      </c>
      <c r="H8235" s="3"/>
    </row>
    <row r="8236" spans="1:8">
      <c r="A8236" s="874">
        <v>45852</v>
      </c>
      <c r="B8236" s="875"/>
      <c r="C8236" s="875" t="s">
        <v>77</v>
      </c>
      <c r="D8236" s="3" t="s">
        <v>3900</v>
      </c>
      <c r="E8236" s="1497">
        <v>13205.95</v>
      </c>
      <c r="F8236" s="1497"/>
      <c r="G8236" s="875" t="s">
        <v>27</v>
      </c>
      <c r="H8236" s="3"/>
    </row>
    <row r="8237" spans="1:8">
      <c r="A8237" s="874">
        <v>45852</v>
      </c>
      <c r="B8237" s="875"/>
      <c r="C8237" s="875" t="s">
        <v>92</v>
      </c>
      <c r="D8237" s="3" t="s">
        <v>1664</v>
      </c>
      <c r="E8237" s="1497"/>
      <c r="F8237" s="1497">
        <v>927000</v>
      </c>
      <c r="G8237" s="875" t="s">
        <v>27</v>
      </c>
      <c r="H8237" s="3"/>
    </row>
    <row r="8238" spans="1:8">
      <c r="A8238" s="874">
        <v>45852</v>
      </c>
      <c r="B8238" s="875"/>
      <c r="C8238" s="875" t="s">
        <v>92</v>
      </c>
      <c r="D8238" s="3" t="s">
        <v>1664</v>
      </c>
      <c r="E8238" s="1497">
        <v>9193.39</v>
      </c>
      <c r="F8238" s="1497"/>
      <c r="G8238" s="875" t="s">
        <v>27</v>
      </c>
      <c r="H8238" s="3"/>
    </row>
    <row r="8239" spans="1:8">
      <c r="A8239" s="874">
        <v>45852</v>
      </c>
      <c r="B8239" s="875"/>
      <c r="C8239" s="875" t="s">
        <v>77</v>
      </c>
      <c r="D8239" s="3" t="s">
        <v>3901</v>
      </c>
      <c r="E8239" s="1497"/>
      <c r="F8239" s="1501">
        <v>335350</v>
      </c>
      <c r="G8239" s="875" t="s">
        <v>72</v>
      </c>
      <c r="H8239" s="3"/>
    </row>
    <row r="8240" spans="1:8">
      <c r="A8240" s="874">
        <v>45852</v>
      </c>
      <c r="B8240" s="875"/>
      <c r="C8240" s="875" t="s">
        <v>205</v>
      </c>
      <c r="D8240" s="3" t="s">
        <v>45</v>
      </c>
      <c r="E8240" s="1497">
        <v>1103069</v>
      </c>
      <c r="F8240" s="1497"/>
      <c r="G8240" s="875" t="s">
        <v>27</v>
      </c>
      <c r="H8240" s="3"/>
    </row>
    <row r="8241" spans="1:8">
      <c r="A8241" s="874">
        <v>45852</v>
      </c>
      <c r="B8241" s="875"/>
      <c r="C8241" s="875" t="s">
        <v>205</v>
      </c>
      <c r="D8241" s="3" t="s">
        <v>846</v>
      </c>
      <c r="E8241" s="1497">
        <v>194386.5</v>
      </c>
      <c r="F8241" s="1497"/>
      <c r="G8241" s="875" t="s">
        <v>27</v>
      </c>
      <c r="H8241" s="3"/>
    </row>
    <row r="8242" spans="1:8">
      <c r="A8242" s="877">
        <v>45852</v>
      </c>
      <c r="B8242" s="876"/>
      <c r="C8242" s="876" t="s">
        <v>831</v>
      </c>
      <c r="D8242" s="3" t="s">
        <v>3807</v>
      </c>
      <c r="E8242" s="1497">
        <v>40000</v>
      </c>
      <c r="F8242" s="1497"/>
      <c r="G8242" s="876" t="s">
        <v>56</v>
      </c>
      <c r="H8242" s="3"/>
    </row>
    <row r="8243" spans="1:8">
      <c r="A8243" s="877">
        <v>45852</v>
      </c>
      <c r="B8243" s="876"/>
      <c r="C8243" s="876" t="s">
        <v>62</v>
      </c>
      <c r="D8243" s="3" t="s">
        <v>1735</v>
      </c>
      <c r="E8243" s="1497">
        <v>420</v>
      </c>
      <c r="F8243" s="1497"/>
      <c r="G8243" s="876" t="s">
        <v>56</v>
      </c>
      <c r="H8243" s="3"/>
    </row>
    <row r="8244" spans="1:8">
      <c r="A8244" s="877">
        <v>45852</v>
      </c>
      <c r="B8244" s="876"/>
      <c r="C8244" s="876" t="s">
        <v>77</v>
      </c>
      <c r="D8244" s="3" t="s">
        <v>3902</v>
      </c>
      <c r="E8244" s="1497"/>
      <c r="F8244" s="1497">
        <v>333600</v>
      </c>
      <c r="G8244" s="876" t="s">
        <v>72</v>
      </c>
      <c r="H8244" s="45" t="s">
        <v>3485</v>
      </c>
    </row>
    <row r="8245" spans="1:8">
      <c r="A8245" s="877">
        <v>45852</v>
      </c>
      <c r="B8245" s="876"/>
      <c r="C8245" s="876" t="s">
        <v>55</v>
      </c>
      <c r="D8245" s="3" t="s">
        <v>369</v>
      </c>
      <c r="E8245" s="1497">
        <v>3000</v>
      </c>
      <c r="F8245" s="1497"/>
      <c r="G8245" s="876" t="s">
        <v>56</v>
      </c>
      <c r="H8245" s="3"/>
    </row>
    <row r="8246" spans="1:8">
      <c r="A8246" s="877">
        <v>45853</v>
      </c>
      <c r="B8246" s="876"/>
      <c r="C8246" s="876" t="s">
        <v>205</v>
      </c>
      <c r="D8246" s="3" t="s">
        <v>859</v>
      </c>
      <c r="E8246" s="1497">
        <v>4535760</v>
      </c>
      <c r="F8246" s="1497"/>
      <c r="G8246" s="876" t="s">
        <v>72</v>
      </c>
      <c r="H8246" s="3"/>
    </row>
    <row r="8247" spans="1:8">
      <c r="A8247" s="877">
        <v>45853</v>
      </c>
      <c r="B8247" s="876"/>
      <c r="C8247" s="876" t="s">
        <v>92</v>
      </c>
      <c r="D8247" s="3" t="s">
        <v>582</v>
      </c>
      <c r="E8247" s="1497"/>
      <c r="F8247" s="1497">
        <v>205400</v>
      </c>
      <c r="G8247" s="876" t="s">
        <v>27</v>
      </c>
      <c r="H8247" s="3"/>
    </row>
    <row r="8248" spans="1:8">
      <c r="A8248" s="877">
        <v>45853</v>
      </c>
      <c r="B8248" s="876"/>
      <c r="C8248" s="876" t="s">
        <v>92</v>
      </c>
      <c r="D8248" s="3" t="s">
        <v>582</v>
      </c>
      <c r="E8248" s="1497">
        <v>706.55</v>
      </c>
      <c r="F8248" s="1497"/>
      <c r="G8248" s="876" t="s">
        <v>27</v>
      </c>
      <c r="H8248" s="3"/>
    </row>
    <row r="8249" spans="1:8">
      <c r="A8249" s="877">
        <v>45853</v>
      </c>
      <c r="B8249" s="876"/>
      <c r="C8249" s="876" t="s">
        <v>28</v>
      </c>
      <c r="D8249" s="3" t="s">
        <v>3903</v>
      </c>
      <c r="E8249" s="1497">
        <v>326945.3</v>
      </c>
      <c r="F8249" s="1497"/>
      <c r="G8249" s="876" t="s">
        <v>27</v>
      </c>
      <c r="H8249" s="3"/>
    </row>
    <row r="8250" spans="1:8">
      <c r="A8250" s="877">
        <v>45853</v>
      </c>
      <c r="B8250" s="876"/>
      <c r="C8250" s="876" t="s">
        <v>79</v>
      </c>
      <c r="D8250" s="3" t="s">
        <v>3904</v>
      </c>
      <c r="E8250" s="1497">
        <v>63052.7</v>
      </c>
      <c r="F8250" s="1497"/>
      <c r="G8250" s="876" t="s">
        <v>27</v>
      </c>
      <c r="H8250" s="3"/>
    </row>
    <row r="8251" spans="1:8">
      <c r="A8251" s="877">
        <v>45853</v>
      </c>
      <c r="B8251" s="876"/>
      <c r="C8251" s="876" t="s">
        <v>55</v>
      </c>
      <c r="D8251" s="3" t="s">
        <v>3905</v>
      </c>
      <c r="E8251" s="1497">
        <v>5000</v>
      </c>
      <c r="F8251" s="1497"/>
      <c r="G8251" s="876" t="s">
        <v>56</v>
      </c>
      <c r="H8251" s="3"/>
    </row>
    <row r="8252" spans="1:8">
      <c r="A8252" s="877">
        <v>45853</v>
      </c>
      <c r="B8252" s="876"/>
      <c r="C8252" s="876" t="s">
        <v>55</v>
      </c>
      <c r="D8252" s="3" t="s">
        <v>347</v>
      </c>
      <c r="E8252" s="1497">
        <v>3000</v>
      </c>
      <c r="F8252" s="1497"/>
      <c r="G8252" s="876" t="s">
        <v>56</v>
      </c>
      <c r="H8252" s="3"/>
    </row>
    <row r="8253" spans="1:8">
      <c r="A8253" s="877">
        <v>45853</v>
      </c>
      <c r="B8253" s="876"/>
      <c r="C8253" s="876" t="s">
        <v>77</v>
      </c>
      <c r="D8253" s="3" t="s">
        <v>1591</v>
      </c>
      <c r="E8253" s="1497"/>
      <c r="F8253" s="1497">
        <v>569000</v>
      </c>
      <c r="G8253" s="876" t="s">
        <v>56</v>
      </c>
      <c r="H8253" s="3"/>
    </row>
    <row r="8254" spans="1:8">
      <c r="A8254" s="877">
        <v>45853</v>
      </c>
      <c r="B8254" s="876"/>
      <c r="C8254" s="876" t="s">
        <v>79</v>
      </c>
      <c r="D8254" s="3" t="s">
        <v>3906</v>
      </c>
      <c r="E8254" s="1497">
        <v>115100.7</v>
      </c>
      <c r="F8254" s="1497"/>
      <c r="G8254" s="876" t="s">
        <v>27</v>
      </c>
      <c r="H8254" s="3"/>
    </row>
    <row r="8255" spans="1:8">
      <c r="A8255" s="878">
        <v>45854</v>
      </c>
      <c r="B8255" s="876"/>
      <c r="C8255" s="876" t="s">
        <v>156</v>
      </c>
      <c r="D8255" s="3" t="s">
        <v>3907</v>
      </c>
      <c r="E8255" s="1497">
        <v>398742.89</v>
      </c>
      <c r="F8255" s="1497"/>
      <c r="G8255" s="876" t="s">
        <v>27</v>
      </c>
      <c r="H8255" s="3"/>
    </row>
    <row r="8256" spans="1:8">
      <c r="A8256" s="878">
        <v>45854</v>
      </c>
      <c r="B8256" s="876"/>
      <c r="C8256" s="876" t="s">
        <v>77</v>
      </c>
      <c r="D8256" s="3" t="s">
        <v>675</v>
      </c>
      <c r="E8256" s="1497"/>
      <c r="F8256" s="1497">
        <v>28500</v>
      </c>
      <c r="G8256" s="876" t="s">
        <v>27</v>
      </c>
      <c r="H8256" s="3"/>
    </row>
    <row r="8257" spans="1:8">
      <c r="A8257" s="878">
        <v>45854</v>
      </c>
      <c r="B8257" s="876"/>
      <c r="C8257" s="876" t="s">
        <v>77</v>
      </c>
      <c r="D8257" s="3" t="s">
        <v>675</v>
      </c>
      <c r="E8257" s="1497">
        <v>27430.99</v>
      </c>
      <c r="F8257" s="1497"/>
      <c r="G8257" s="876" t="s">
        <v>27</v>
      </c>
      <c r="H8257" s="3"/>
    </row>
    <row r="8258" spans="1:8">
      <c r="A8258" s="878">
        <v>45854</v>
      </c>
      <c r="B8258" s="879"/>
      <c r="C8258" s="879" t="s">
        <v>90</v>
      </c>
      <c r="D8258" s="3" t="s">
        <v>334</v>
      </c>
      <c r="E8258" s="1497">
        <v>123972.5</v>
      </c>
      <c r="F8258" s="1497"/>
      <c r="G8258" s="879" t="s">
        <v>27</v>
      </c>
      <c r="H8258" s="3"/>
    </row>
    <row r="8259" spans="1:8">
      <c r="A8259" s="881">
        <v>45855</v>
      </c>
      <c r="B8259" s="880"/>
      <c r="C8259" s="880" t="s">
        <v>92</v>
      </c>
      <c r="D8259" s="3" t="s">
        <v>2130</v>
      </c>
      <c r="E8259" s="1497"/>
      <c r="F8259" s="1497">
        <v>23000</v>
      </c>
      <c r="G8259" s="880" t="s">
        <v>56</v>
      </c>
      <c r="H8259" s="3"/>
    </row>
    <row r="8260" spans="1:8">
      <c r="A8260" s="881">
        <v>45855</v>
      </c>
      <c r="B8260" s="880"/>
      <c r="C8260" s="880" t="s">
        <v>92</v>
      </c>
      <c r="D8260" s="3" t="s">
        <v>3908</v>
      </c>
      <c r="E8260" s="1497"/>
      <c r="F8260" s="1497">
        <v>38000</v>
      </c>
      <c r="G8260" s="880" t="s">
        <v>56</v>
      </c>
      <c r="H8260" s="3"/>
    </row>
    <row r="8261" spans="1:8">
      <c r="A8261" s="881">
        <v>45855</v>
      </c>
      <c r="B8261" s="880"/>
      <c r="C8261" s="880" t="s">
        <v>205</v>
      </c>
      <c r="D8261" s="15" t="s">
        <v>38</v>
      </c>
      <c r="E8261" s="1497">
        <v>1400</v>
      </c>
      <c r="F8261" s="1497"/>
      <c r="G8261" s="880" t="s">
        <v>56</v>
      </c>
      <c r="H8261" s="3"/>
    </row>
    <row r="8262" spans="1:8">
      <c r="A8262" s="881">
        <v>45855</v>
      </c>
      <c r="B8262" s="880"/>
      <c r="C8262" s="880" t="s">
        <v>55</v>
      </c>
      <c r="D8262" s="3" t="s">
        <v>70</v>
      </c>
      <c r="E8262" s="1497">
        <v>9000</v>
      </c>
      <c r="F8262" s="1497"/>
      <c r="G8262" s="880" t="s">
        <v>56</v>
      </c>
      <c r="H8262" s="3"/>
    </row>
    <row r="8263" spans="1:8">
      <c r="A8263" s="881">
        <v>45855</v>
      </c>
      <c r="B8263" s="880"/>
      <c r="C8263" s="880" t="s">
        <v>92</v>
      </c>
      <c r="D8263" s="3" t="s">
        <v>3909</v>
      </c>
      <c r="E8263" s="1497"/>
      <c r="F8263" s="1497">
        <v>1312000</v>
      </c>
      <c r="G8263" s="880" t="s">
        <v>27</v>
      </c>
      <c r="H8263" s="3"/>
    </row>
    <row r="8264" spans="1:8">
      <c r="A8264" s="881">
        <v>45855</v>
      </c>
      <c r="B8264" s="880"/>
      <c r="C8264" s="880" t="s">
        <v>90</v>
      </c>
      <c r="D8264" s="3" t="s">
        <v>2463</v>
      </c>
      <c r="E8264" s="1497">
        <v>15000</v>
      </c>
      <c r="F8264" s="1497"/>
      <c r="G8264" s="880" t="s">
        <v>56</v>
      </c>
      <c r="H8264" s="3"/>
    </row>
    <row r="8265" spans="1:8">
      <c r="A8265" s="882">
        <v>45855</v>
      </c>
      <c r="B8265" s="880"/>
      <c r="C8265" s="882" t="s">
        <v>86</v>
      </c>
      <c r="D8265" s="3" t="s">
        <v>534</v>
      </c>
      <c r="E8265" s="1497">
        <v>30000</v>
      </c>
      <c r="F8265" s="1497"/>
      <c r="G8265" s="880" t="s">
        <v>27</v>
      </c>
      <c r="H8265" s="3"/>
    </row>
    <row r="8266" spans="1:8">
      <c r="A8266" s="882">
        <v>45855</v>
      </c>
      <c r="B8266" s="880"/>
      <c r="C8266" s="880" t="s">
        <v>2699</v>
      </c>
      <c r="D8266" s="3" t="s">
        <v>3910</v>
      </c>
      <c r="E8266" s="1497">
        <v>195000</v>
      </c>
      <c r="F8266" s="1497"/>
      <c r="G8266" s="880" t="s">
        <v>27</v>
      </c>
      <c r="H8266" s="3"/>
    </row>
    <row r="8267" spans="1:8">
      <c r="A8267" s="886">
        <v>45855</v>
      </c>
      <c r="B8267" s="368"/>
      <c r="C8267" s="368" t="s">
        <v>86</v>
      </c>
      <c r="D8267" s="887" t="s">
        <v>3911</v>
      </c>
      <c r="E8267" s="368">
        <v>50000</v>
      </c>
      <c r="F8267" s="368"/>
      <c r="G8267" s="368" t="s">
        <v>56</v>
      </c>
      <c r="H8267" s="83"/>
    </row>
    <row r="8268" spans="1:8">
      <c r="A8268" s="885">
        <v>45856</v>
      </c>
      <c r="B8268" s="883"/>
      <c r="C8268" s="883" t="s">
        <v>156</v>
      </c>
      <c r="D8268" s="3" t="s">
        <v>3912</v>
      </c>
      <c r="E8268" s="1497">
        <v>403718.66</v>
      </c>
      <c r="F8268" s="1497"/>
      <c r="G8268" s="883" t="s">
        <v>27</v>
      </c>
      <c r="H8268" s="3"/>
    </row>
    <row r="8269" spans="1:8">
      <c r="A8269" s="885">
        <v>45856</v>
      </c>
      <c r="B8269" s="883"/>
      <c r="C8269" s="883" t="s">
        <v>176</v>
      </c>
      <c r="D8269" s="3" t="s">
        <v>3913</v>
      </c>
      <c r="E8269" s="1497"/>
      <c r="F8269" s="1497">
        <v>53000</v>
      </c>
      <c r="G8269" s="883" t="s">
        <v>56</v>
      </c>
      <c r="H8269" s="3"/>
    </row>
    <row r="8270" spans="1:8">
      <c r="A8270" s="885">
        <v>45856</v>
      </c>
      <c r="B8270" s="883"/>
      <c r="C8270" s="883" t="s">
        <v>537</v>
      </c>
      <c r="D8270" s="3" t="s">
        <v>2720</v>
      </c>
      <c r="E8270" s="1497">
        <v>336000</v>
      </c>
      <c r="F8270" s="1497"/>
      <c r="G8270" s="884" t="s">
        <v>56</v>
      </c>
      <c r="H8270" s="3"/>
    </row>
    <row r="8271" spans="1:8">
      <c r="A8271" s="885">
        <v>45856</v>
      </c>
      <c r="B8271" s="883"/>
      <c r="C8271" s="884" t="s">
        <v>537</v>
      </c>
      <c r="D8271" s="3" t="s">
        <v>219</v>
      </c>
      <c r="E8271" s="1497">
        <v>350000</v>
      </c>
      <c r="F8271" s="1497"/>
      <c r="G8271" s="884" t="s">
        <v>56</v>
      </c>
      <c r="H8271" s="3"/>
    </row>
    <row r="8272" spans="1:8">
      <c r="A8272" s="885">
        <v>45856</v>
      </c>
      <c r="B8272" s="883"/>
      <c r="C8272" s="884" t="s">
        <v>537</v>
      </c>
      <c r="D8272" s="3" t="s">
        <v>144</v>
      </c>
      <c r="E8272" s="1497">
        <v>480000</v>
      </c>
      <c r="F8272" s="1497"/>
      <c r="G8272" s="884" t="s">
        <v>56</v>
      </c>
      <c r="H8272" s="3"/>
    </row>
    <row r="8273" spans="1:8" ht="15.75" thickBot="1">
      <c r="A8273" s="885">
        <v>45856</v>
      </c>
      <c r="B8273" s="884"/>
      <c r="C8273" s="884" t="s">
        <v>537</v>
      </c>
      <c r="D8273" s="15" t="s">
        <v>193</v>
      </c>
      <c r="E8273" s="1497">
        <v>130000</v>
      </c>
      <c r="F8273" s="1497"/>
      <c r="G8273" s="884" t="s">
        <v>56</v>
      </c>
      <c r="H8273" s="85"/>
    </row>
    <row r="8274" spans="1:8" ht="15.75" thickBot="1">
      <c r="H8274" s="201">
        <v>45856</v>
      </c>
    </row>
    <row r="8275" spans="1:8">
      <c r="H8275" s="803" t="s">
        <v>3880</v>
      </c>
    </row>
    <row r="8276" spans="1:8">
      <c r="H8276" s="137" t="s">
        <v>3899</v>
      </c>
    </row>
    <row r="8277" spans="1:8">
      <c r="H8277" s="138" t="s">
        <v>3917</v>
      </c>
    </row>
    <row r="8278" spans="1:8">
      <c r="H8278" s="138" t="s">
        <v>3914</v>
      </c>
    </row>
    <row r="8279" spans="1:8">
      <c r="H8279" s="138" t="s">
        <v>3875</v>
      </c>
    </row>
    <row r="8280" spans="1:8">
      <c r="H8280" s="138" t="s">
        <v>3760</v>
      </c>
    </row>
    <row r="8281" spans="1:8">
      <c r="H8281" s="138" t="s">
        <v>3915</v>
      </c>
    </row>
    <row r="8282" spans="1:8">
      <c r="H8282" s="138" t="s">
        <v>3916</v>
      </c>
    </row>
    <row r="8283" spans="1:8" ht="15.75" thickBot="1">
      <c r="H8283" s="139" t="s">
        <v>3759</v>
      </c>
    </row>
    <row r="8284" spans="1:8" ht="15.75" thickBot="1">
      <c r="H8284" s="538" t="s">
        <v>3898</v>
      </c>
    </row>
    <row r="8285" spans="1:8">
      <c r="A8285" s="888">
        <v>45859</v>
      </c>
      <c r="B8285" s="889"/>
      <c r="C8285" s="889" t="s">
        <v>77</v>
      </c>
      <c r="D8285" s="3" t="s">
        <v>3919</v>
      </c>
      <c r="E8285" s="1497"/>
      <c r="F8285" s="1497">
        <v>2942100</v>
      </c>
      <c r="G8285" s="889" t="s">
        <v>27</v>
      </c>
      <c r="H8285" s="5"/>
    </row>
    <row r="8286" spans="1:8">
      <c r="A8286" s="888">
        <v>45859</v>
      </c>
      <c r="B8286" s="889"/>
      <c r="C8286" s="889" t="s">
        <v>77</v>
      </c>
      <c r="D8286" s="3" t="s">
        <v>3919</v>
      </c>
      <c r="E8286" s="1497">
        <v>67845.710000000006</v>
      </c>
      <c r="F8286" s="1497"/>
      <c r="G8286" s="889" t="s">
        <v>27</v>
      </c>
      <c r="H8286" s="3"/>
    </row>
    <row r="8287" spans="1:8">
      <c r="A8287" s="888">
        <v>45859</v>
      </c>
      <c r="B8287" s="889"/>
      <c r="C8287" s="889" t="s">
        <v>1098</v>
      </c>
      <c r="D8287" s="3" t="s">
        <v>3855</v>
      </c>
      <c r="E8287" s="1497">
        <v>150000</v>
      </c>
      <c r="F8287" s="1497"/>
      <c r="G8287" s="889" t="s">
        <v>27</v>
      </c>
      <c r="H8287" s="3"/>
    </row>
    <row r="8288" spans="1:8">
      <c r="A8288" s="888">
        <v>45859</v>
      </c>
      <c r="B8288" s="889"/>
      <c r="C8288" s="889" t="s">
        <v>1098</v>
      </c>
      <c r="D8288" s="3" t="s">
        <v>859</v>
      </c>
      <c r="E8288" s="1497">
        <v>250000</v>
      </c>
      <c r="F8288" s="1497"/>
      <c r="G8288" s="889" t="s">
        <v>27</v>
      </c>
      <c r="H8288" s="3"/>
    </row>
    <row r="8289" spans="1:8">
      <c r="A8289" s="888">
        <v>45859</v>
      </c>
      <c r="B8289" s="889"/>
      <c r="C8289" s="889" t="s">
        <v>1098</v>
      </c>
      <c r="D8289" s="15" t="s">
        <v>3920</v>
      </c>
      <c r="E8289" s="1497">
        <v>261326</v>
      </c>
      <c r="F8289" s="1497"/>
      <c r="G8289" s="889" t="s">
        <v>27</v>
      </c>
      <c r="H8289" s="3"/>
    </row>
    <row r="8290" spans="1:8">
      <c r="A8290" s="888">
        <v>45859</v>
      </c>
      <c r="B8290" s="889"/>
      <c r="C8290" s="889" t="s">
        <v>79</v>
      </c>
      <c r="D8290" s="15" t="s">
        <v>166</v>
      </c>
      <c r="E8290" s="1497">
        <v>483000</v>
      </c>
      <c r="F8290" s="1497"/>
      <c r="G8290" s="889" t="s">
        <v>27</v>
      </c>
      <c r="H8290" s="3"/>
    </row>
    <row r="8291" spans="1:8">
      <c r="A8291" s="888">
        <v>45859</v>
      </c>
      <c r="B8291" s="889"/>
      <c r="C8291" s="889" t="s">
        <v>79</v>
      </c>
      <c r="D8291" s="15" t="s">
        <v>79</v>
      </c>
      <c r="E8291" s="1497">
        <v>32850</v>
      </c>
      <c r="F8291" s="1497"/>
      <c r="G8291" s="889" t="s">
        <v>27</v>
      </c>
      <c r="H8291" s="3"/>
    </row>
    <row r="8292" spans="1:8">
      <c r="A8292" s="888">
        <v>45859</v>
      </c>
      <c r="B8292" s="889"/>
      <c r="C8292" s="889" t="s">
        <v>79</v>
      </c>
      <c r="D8292" s="15" t="s">
        <v>79</v>
      </c>
      <c r="E8292" s="1497">
        <v>16047</v>
      </c>
      <c r="F8292" s="1497"/>
      <c r="G8292" s="889" t="s">
        <v>27</v>
      </c>
      <c r="H8292" s="3"/>
    </row>
    <row r="8293" spans="1:8">
      <c r="A8293" s="888">
        <v>45859</v>
      </c>
      <c r="B8293" s="889"/>
      <c r="C8293" s="889" t="s">
        <v>1886</v>
      </c>
      <c r="D8293" s="15" t="s">
        <v>3921</v>
      </c>
      <c r="E8293" s="1497">
        <v>2000000</v>
      </c>
      <c r="F8293" s="1497"/>
      <c r="G8293" s="889" t="s">
        <v>27</v>
      </c>
      <c r="H8293" s="3"/>
    </row>
    <row r="8294" spans="1:8">
      <c r="A8294" s="888">
        <v>45859</v>
      </c>
      <c r="B8294" s="889"/>
      <c r="C8294" s="889" t="s">
        <v>79</v>
      </c>
      <c r="D8294" s="3" t="s">
        <v>3922</v>
      </c>
      <c r="E8294" s="1497"/>
      <c r="F8294" s="1497">
        <v>100000</v>
      </c>
      <c r="G8294" s="889" t="s">
        <v>56</v>
      </c>
      <c r="H8294" s="3"/>
    </row>
    <row r="8295" spans="1:8">
      <c r="A8295" s="888">
        <v>45859</v>
      </c>
      <c r="B8295" s="889"/>
      <c r="C8295" s="889" t="s">
        <v>92</v>
      </c>
      <c r="D8295" s="3" t="s">
        <v>582</v>
      </c>
      <c r="E8295" s="1497"/>
      <c r="F8295" s="1497">
        <v>368380</v>
      </c>
      <c r="G8295" s="889" t="s">
        <v>27</v>
      </c>
      <c r="H8295" s="3"/>
    </row>
    <row r="8296" spans="1:8">
      <c r="A8296" s="888">
        <v>45859</v>
      </c>
      <c r="B8296" s="889"/>
      <c r="C8296" s="890" t="s">
        <v>92</v>
      </c>
      <c r="D8296" s="3" t="s">
        <v>582</v>
      </c>
      <c r="E8296" s="1497">
        <v>61679.1</v>
      </c>
      <c r="F8296" s="1497"/>
      <c r="G8296" s="889" t="s">
        <v>27</v>
      </c>
      <c r="H8296" s="3"/>
    </row>
    <row r="8297" spans="1:8">
      <c r="A8297" s="891">
        <v>45860</v>
      </c>
      <c r="B8297" s="889"/>
      <c r="C8297" s="890" t="s">
        <v>55</v>
      </c>
      <c r="D8297" s="3" t="s">
        <v>63</v>
      </c>
      <c r="E8297" s="1497">
        <v>2900</v>
      </c>
      <c r="F8297" s="1497"/>
      <c r="G8297" s="889" t="s">
        <v>56</v>
      </c>
      <c r="H8297" s="3"/>
    </row>
    <row r="8298" spans="1:8">
      <c r="A8298" s="891">
        <v>45860</v>
      </c>
      <c r="B8298" s="889"/>
      <c r="C8298" s="890" t="s">
        <v>55</v>
      </c>
      <c r="D8298" s="3" t="s">
        <v>70</v>
      </c>
      <c r="E8298" s="1497">
        <v>2500</v>
      </c>
      <c r="F8298" s="1497"/>
      <c r="G8298" s="889" t="s">
        <v>56</v>
      </c>
      <c r="H8298" s="3"/>
    </row>
    <row r="8299" spans="1:8">
      <c r="A8299" s="891">
        <v>45860</v>
      </c>
      <c r="B8299" s="889"/>
      <c r="C8299" s="889" t="s">
        <v>205</v>
      </c>
      <c r="D8299" s="3" t="s">
        <v>3923</v>
      </c>
      <c r="E8299" s="1497">
        <v>5620</v>
      </c>
      <c r="F8299" s="1497"/>
      <c r="G8299" s="889" t="s">
        <v>56</v>
      </c>
      <c r="H8299" s="3"/>
    </row>
    <row r="8300" spans="1:8">
      <c r="A8300" s="891">
        <v>45860</v>
      </c>
      <c r="B8300" s="889"/>
      <c r="C8300" s="889" t="s">
        <v>77</v>
      </c>
      <c r="D8300" s="3" t="s">
        <v>3924</v>
      </c>
      <c r="E8300" s="1497"/>
      <c r="F8300" s="1497">
        <v>1000000</v>
      </c>
      <c r="G8300" s="889" t="s">
        <v>56</v>
      </c>
      <c r="H8300" s="3"/>
    </row>
    <row r="8301" spans="1:8">
      <c r="A8301" s="891">
        <v>45860</v>
      </c>
      <c r="B8301" s="889"/>
      <c r="C8301" s="889" t="s">
        <v>76</v>
      </c>
      <c r="D8301" s="3" t="s">
        <v>3925</v>
      </c>
      <c r="E8301" s="1497"/>
      <c r="F8301" s="1497">
        <v>425000</v>
      </c>
      <c r="G8301" s="889" t="s">
        <v>56</v>
      </c>
      <c r="H8301" s="3"/>
    </row>
    <row r="8302" spans="1:8">
      <c r="A8302" s="892">
        <v>45861</v>
      </c>
      <c r="B8302" s="893"/>
      <c r="C8302" s="893" t="s">
        <v>205</v>
      </c>
      <c r="D8302" s="3" t="s">
        <v>3927</v>
      </c>
      <c r="E8302" s="1497">
        <v>25000</v>
      </c>
      <c r="F8302" s="1497"/>
      <c r="G8302" s="893" t="s">
        <v>56</v>
      </c>
      <c r="H8302" s="45" t="s">
        <v>3926</v>
      </c>
    </row>
    <row r="8303" spans="1:8">
      <c r="A8303" s="892">
        <v>45861</v>
      </c>
      <c r="B8303" s="893"/>
      <c r="C8303" s="893" t="s">
        <v>94</v>
      </c>
      <c r="D8303" s="3" t="s">
        <v>3872</v>
      </c>
      <c r="E8303" s="1497">
        <v>26168.83</v>
      </c>
      <c r="F8303" s="1497"/>
      <c r="G8303" s="893" t="s">
        <v>27</v>
      </c>
      <c r="H8303" s="3"/>
    </row>
    <row r="8304" spans="1:8">
      <c r="A8304" s="892">
        <v>45861</v>
      </c>
      <c r="B8304" s="893"/>
      <c r="C8304" s="893" t="s">
        <v>205</v>
      </c>
      <c r="D8304" s="3" t="s">
        <v>3928</v>
      </c>
      <c r="E8304" s="1497">
        <v>29800</v>
      </c>
      <c r="F8304" s="1497"/>
      <c r="G8304" s="893" t="s">
        <v>56</v>
      </c>
      <c r="H8304" s="45" t="s">
        <v>3926</v>
      </c>
    </row>
    <row r="8305" spans="1:8">
      <c r="A8305" s="895">
        <v>45862</v>
      </c>
      <c r="B8305" s="893"/>
      <c r="C8305" s="894" t="s">
        <v>55</v>
      </c>
      <c r="D8305" s="3" t="s">
        <v>1711</v>
      </c>
      <c r="E8305" s="1497">
        <v>12980</v>
      </c>
      <c r="F8305" s="1497"/>
      <c r="G8305" s="893" t="s">
        <v>56</v>
      </c>
      <c r="H8305" s="3"/>
    </row>
    <row r="8306" spans="1:8">
      <c r="A8306" s="222">
        <v>45862</v>
      </c>
      <c r="B8306" s="184"/>
      <c r="C8306" s="184"/>
      <c r="D8306" s="223" t="s">
        <v>104</v>
      </c>
      <c r="E8306" s="184">
        <v>40000</v>
      </c>
      <c r="F8306" s="184"/>
      <c r="G8306" s="184" t="s">
        <v>56</v>
      </c>
      <c r="H8306" s="223" t="s">
        <v>3939</v>
      </c>
    </row>
    <row r="8307" spans="1:8">
      <c r="A8307" s="896">
        <v>45863</v>
      </c>
      <c r="B8307" s="893"/>
      <c r="C8307" s="893" t="s">
        <v>715</v>
      </c>
      <c r="D8307" s="3" t="s">
        <v>3929</v>
      </c>
      <c r="E8307" s="1497">
        <v>74287</v>
      </c>
      <c r="F8307" s="1497"/>
      <c r="G8307" s="893" t="s">
        <v>27</v>
      </c>
      <c r="H8307" s="3"/>
    </row>
    <row r="8308" spans="1:8">
      <c r="A8308" s="896">
        <v>45863</v>
      </c>
      <c r="B8308" s="894"/>
      <c r="C8308" s="897" t="s">
        <v>715</v>
      </c>
      <c r="D8308" s="3" t="s">
        <v>3930</v>
      </c>
      <c r="E8308" s="1497">
        <v>12649.86</v>
      </c>
      <c r="F8308" s="1497"/>
      <c r="G8308" s="897" t="s">
        <v>27</v>
      </c>
      <c r="H8308" s="3"/>
    </row>
    <row r="8309" spans="1:8">
      <c r="A8309" s="896">
        <v>45863</v>
      </c>
      <c r="B8309" s="894"/>
      <c r="C8309" s="894" t="s">
        <v>55</v>
      </c>
      <c r="D8309" s="3" t="s">
        <v>1546</v>
      </c>
      <c r="E8309" s="1497">
        <v>30000</v>
      </c>
      <c r="F8309" s="1497"/>
      <c r="G8309" s="894" t="s">
        <v>27</v>
      </c>
      <c r="H8309" s="3"/>
    </row>
    <row r="8310" spans="1:8">
      <c r="A8310" s="896">
        <v>45863</v>
      </c>
      <c r="B8310" s="897"/>
      <c r="C8310" s="897" t="s">
        <v>205</v>
      </c>
      <c r="D8310" s="3" t="s">
        <v>49</v>
      </c>
      <c r="E8310" s="1497">
        <v>400000</v>
      </c>
      <c r="F8310" s="1497"/>
      <c r="G8310" s="897" t="s">
        <v>56</v>
      </c>
      <c r="H8310" s="3" t="s">
        <v>3931</v>
      </c>
    </row>
    <row r="8311" spans="1:8">
      <c r="A8311" s="896">
        <v>45863</v>
      </c>
      <c r="B8311" s="897"/>
      <c r="C8311" s="897" t="s">
        <v>537</v>
      </c>
      <c r="D8311" s="3" t="s">
        <v>2720</v>
      </c>
      <c r="E8311" s="1497">
        <v>240000</v>
      </c>
      <c r="F8311" s="1497"/>
      <c r="G8311" s="897" t="s">
        <v>56</v>
      </c>
      <c r="H8311" s="3"/>
    </row>
    <row r="8312" spans="1:8">
      <c r="A8312" s="896">
        <v>45863</v>
      </c>
      <c r="B8312" s="897"/>
      <c r="C8312" s="897" t="s">
        <v>537</v>
      </c>
      <c r="D8312" s="3" t="s">
        <v>219</v>
      </c>
      <c r="E8312" s="1497">
        <v>250000</v>
      </c>
      <c r="F8312" s="1497"/>
      <c r="G8312" s="897" t="s">
        <v>56</v>
      </c>
      <c r="H8312" s="3"/>
    </row>
    <row r="8313" spans="1:8">
      <c r="A8313" s="896">
        <v>45863</v>
      </c>
      <c r="B8313" s="897"/>
      <c r="C8313" s="897" t="s">
        <v>537</v>
      </c>
      <c r="D8313" s="3" t="s">
        <v>144</v>
      </c>
      <c r="E8313" s="1497">
        <v>430000</v>
      </c>
      <c r="F8313" s="1497"/>
      <c r="G8313" s="897" t="s">
        <v>56</v>
      </c>
      <c r="H8313" s="3"/>
    </row>
    <row r="8314" spans="1:8">
      <c r="A8314" s="896">
        <v>45863</v>
      </c>
      <c r="B8314" s="897"/>
      <c r="C8314" s="897" t="s">
        <v>537</v>
      </c>
      <c r="D8314" s="15" t="s">
        <v>193</v>
      </c>
      <c r="E8314" s="1497">
        <v>130000</v>
      </c>
      <c r="F8314" s="1497"/>
      <c r="G8314" s="897" t="s">
        <v>56</v>
      </c>
      <c r="H8314" s="3"/>
    </row>
    <row r="8315" spans="1:8" ht="15.75" thickBot="1">
      <c r="A8315" s="896">
        <v>45863</v>
      </c>
      <c r="B8315" s="897"/>
      <c r="C8315" s="897" t="s">
        <v>205</v>
      </c>
      <c r="D8315" s="3" t="s">
        <v>53</v>
      </c>
      <c r="E8315" s="1497">
        <v>8107</v>
      </c>
      <c r="F8315" s="1497"/>
      <c r="G8315" s="906" t="s">
        <v>27</v>
      </c>
      <c r="H8315" s="45" t="s">
        <v>3926</v>
      </c>
    </row>
    <row r="8316" spans="1:8" ht="15.75" thickBot="1">
      <c r="A8316" s="897"/>
      <c r="B8316" s="897"/>
      <c r="C8316" s="897"/>
      <c r="D8316" s="3"/>
      <c r="E8316" s="1497"/>
      <c r="F8316" s="1497"/>
      <c r="G8316" s="897"/>
      <c r="H8316" s="201">
        <v>45863</v>
      </c>
    </row>
    <row r="8317" spans="1:8">
      <c r="H8317" s="803" t="s">
        <v>3880</v>
      </c>
    </row>
    <row r="8318" spans="1:8">
      <c r="H8318" s="137" t="s">
        <v>3935</v>
      </c>
    </row>
    <row r="8319" spans="1:8">
      <c r="H8319" s="138" t="s">
        <v>3934</v>
      </c>
    </row>
    <row r="8320" spans="1:8">
      <c r="H8320" s="138" t="s">
        <v>3914</v>
      </c>
    </row>
    <row r="8321" spans="1:8">
      <c r="H8321" s="138" t="s">
        <v>3875</v>
      </c>
    </row>
    <row r="8322" spans="1:8">
      <c r="H8322" s="138" t="s">
        <v>3760</v>
      </c>
    </row>
    <row r="8323" spans="1:8">
      <c r="H8323" s="138" t="s">
        <v>3933</v>
      </c>
    </row>
    <row r="8324" spans="1:8">
      <c r="H8324" s="138" t="s">
        <v>3932</v>
      </c>
    </row>
    <row r="8325" spans="1:8" ht="15.75" thickBot="1">
      <c r="H8325" s="139" t="s">
        <v>3759</v>
      </c>
    </row>
    <row r="8326" spans="1:8" ht="15.75" thickBot="1">
      <c r="H8326" s="538" t="s">
        <v>3898</v>
      </c>
    </row>
    <row r="8327" spans="1:8">
      <c r="A8327" s="899">
        <v>45866</v>
      </c>
      <c r="B8327" s="898"/>
      <c r="C8327" s="898" t="s">
        <v>79</v>
      </c>
      <c r="D8327" s="3" t="s">
        <v>2711</v>
      </c>
      <c r="E8327" s="1497">
        <v>400000</v>
      </c>
      <c r="F8327" s="1497"/>
      <c r="G8327" s="898" t="s">
        <v>56</v>
      </c>
      <c r="H8327" s="5"/>
    </row>
    <row r="8328" spans="1:8">
      <c r="A8328" s="899">
        <v>45866</v>
      </c>
      <c r="B8328" s="898"/>
      <c r="C8328" s="898" t="s">
        <v>79</v>
      </c>
      <c r="D8328" s="3" t="s">
        <v>718</v>
      </c>
      <c r="E8328" s="1497">
        <v>76000</v>
      </c>
      <c r="F8328" s="1497"/>
      <c r="G8328" s="898" t="s">
        <v>56</v>
      </c>
      <c r="H8328" s="3"/>
    </row>
    <row r="8329" spans="1:8">
      <c r="A8329" s="899">
        <v>45866</v>
      </c>
      <c r="B8329" s="898"/>
      <c r="C8329" s="898" t="s">
        <v>205</v>
      </c>
      <c r="D8329" s="3" t="s">
        <v>71</v>
      </c>
      <c r="E8329" s="1497">
        <v>367680</v>
      </c>
      <c r="F8329" s="1497"/>
      <c r="G8329" s="898" t="s">
        <v>27</v>
      </c>
      <c r="H8329" s="3"/>
    </row>
    <row r="8330" spans="1:8">
      <c r="A8330" s="899">
        <v>45866</v>
      </c>
      <c r="B8330" s="898"/>
      <c r="C8330" s="898" t="s">
        <v>79</v>
      </c>
      <c r="D8330" s="3" t="s">
        <v>2582</v>
      </c>
      <c r="E8330" s="1497">
        <v>57516</v>
      </c>
      <c r="F8330" s="1497"/>
      <c r="G8330" s="898" t="s">
        <v>56</v>
      </c>
      <c r="H8330" s="3"/>
    </row>
    <row r="8331" spans="1:8">
      <c r="A8331" s="899">
        <v>45866</v>
      </c>
      <c r="B8331" s="898"/>
      <c r="C8331" s="898" t="s">
        <v>205</v>
      </c>
      <c r="D8331" s="3" t="s">
        <v>63</v>
      </c>
      <c r="E8331" s="1497">
        <v>15222.14</v>
      </c>
      <c r="F8331" s="1497"/>
      <c r="G8331" s="898" t="s">
        <v>56</v>
      </c>
      <c r="H8331" s="3" t="s">
        <v>2136</v>
      </c>
    </row>
    <row r="8332" spans="1:8">
      <c r="A8332" s="899">
        <v>45866</v>
      </c>
      <c r="B8332" s="898"/>
      <c r="C8332" s="898" t="s">
        <v>92</v>
      </c>
      <c r="D8332" s="3" t="s">
        <v>3936</v>
      </c>
      <c r="E8332" s="1497"/>
      <c r="F8332" s="1497">
        <v>200000</v>
      </c>
      <c r="G8332" s="898" t="s">
        <v>27</v>
      </c>
      <c r="H8332" s="3"/>
    </row>
    <row r="8333" spans="1:8">
      <c r="A8333" s="899">
        <v>45866</v>
      </c>
      <c r="B8333" s="898"/>
      <c r="C8333" s="898" t="s">
        <v>730</v>
      </c>
      <c r="D8333" s="3" t="s">
        <v>3937</v>
      </c>
      <c r="E8333" s="1497">
        <v>200000</v>
      </c>
      <c r="F8333" s="1497"/>
      <c r="G8333" s="898" t="s">
        <v>27</v>
      </c>
      <c r="H8333" s="3"/>
    </row>
    <row r="8334" spans="1:8">
      <c r="A8334" s="900">
        <v>45867</v>
      </c>
      <c r="B8334" s="898"/>
      <c r="C8334" s="898" t="s">
        <v>77</v>
      </c>
      <c r="D8334" s="3" t="s">
        <v>3938</v>
      </c>
      <c r="E8334" s="1497"/>
      <c r="F8334" s="1497">
        <v>217000</v>
      </c>
      <c r="G8334" s="898" t="s">
        <v>56</v>
      </c>
      <c r="H8334" s="45" t="s">
        <v>3940</v>
      </c>
    </row>
    <row r="8335" spans="1:8">
      <c r="A8335" s="900">
        <v>45867</v>
      </c>
      <c r="B8335" s="901"/>
      <c r="C8335" s="901" t="s">
        <v>77</v>
      </c>
      <c r="D8335" s="3" t="s">
        <v>3941</v>
      </c>
      <c r="E8335" s="1497"/>
      <c r="F8335" s="1497">
        <v>8000000</v>
      </c>
      <c r="G8335" s="901" t="s">
        <v>56</v>
      </c>
      <c r="H8335" s="3"/>
    </row>
    <row r="8336" spans="1:8">
      <c r="A8336" s="903">
        <v>45867</v>
      </c>
      <c r="B8336" s="901"/>
      <c r="C8336" s="901" t="s">
        <v>205</v>
      </c>
      <c r="D8336" s="3" t="s">
        <v>33</v>
      </c>
      <c r="E8336" s="1497">
        <v>47900</v>
      </c>
      <c r="F8336" s="1497"/>
      <c r="G8336" s="901" t="s">
        <v>27</v>
      </c>
      <c r="H8336" s="3"/>
    </row>
    <row r="8337" spans="1:8">
      <c r="A8337" s="903">
        <v>45867</v>
      </c>
      <c r="B8337" s="902"/>
      <c r="C8337" s="902" t="s">
        <v>205</v>
      </c>
      <c r="D8337" s="3" t="s">
        <v>63</v>
      </c>
      <c r="E8337" s="1497">
        <v>486.4</v>
      </c>
      <c r="F8337" s="1497"/>
      <c r="G8337" s="902" t="s">
        <v>56</v>
      </c>
      <c r="H8337" s="3"/>
    </row>
    <row r="8338" spans="1:8">
      <c r="A8338" s="903">
        <v>45868</v>
      </c>
      <c r="B8338" s="901"/>
      <c r="C8338" s="901" t="s">
        <v>65</v>
      </c>
      <c r="D8338" s="3" t="s">
        <v>3942</v>
      </c>
      <c r="E8338" s="1497">
        <v>615427.1</v>
      </c>
      <c r="F8338" s="1497"/>
      <c r="G8338" s="901" t="s">
        <v>27</v>
      </c>
      <c r="H8338" s="3"/>
    </row>
    <row r="8339" spans="1:8">
      <c r="A8339" s="903">
        <v>45868</v>
      </c>
      <c r="B8339" s="901"/>
      <c r="C8339" s="902" t="s">
        <v>65</v>
      </c>
      <c r="D8339" s="3" t="s">
        <v>3943</v>
      </c>
      <c r="E8339" s="1497">
        <v>704090.33</v>
      </c>
      <c r="F8339" s="1497"/>
      <c r="G8339" s="901" t="s">
        <v>27</v>
      </c>
      <c r="H8339" s="3"/>
    </row>
    <row r="8340" spans="1:8">
      <c r="A8340" s="903">
        <v>45868</v>
      </c>
      <c r="B8340" s="902"/>
      <c r="C8340" s="902" t="s">
        <v>55</v>
      </c>
      <c r="D8340" s="3" t="s">
        <v>3944</v>
      </c>
      <c r="E8340" s="1497">
        <v>9000</v>
      </c>
      <c r="F8340" s="1497"/>
      <c r="G8340" s="902" t="s">
        <v>56</v>
      </c>
      <c r="H8340" s="3"/>
    </row>
    <row r="8341" spans="1:8">
      <c r="A8341" s="903">
        <v>45868</v>
      </c>
      <c r="B8341" s="902"/>
      <c r="C8341" s="902" t="s">
        <v>205</v>
      </c>
      <c r="D8341" s="15" t="s">
        <v>3947</v>
      </c>
      <c r="E8341" s="1497">
        <v>9000</v>
      </c>
      <c r="F8341" s="1497"/>
      <c r="G8341" s="902" t="s">
        <v>56</v>
      </c>
      <c r="H8341" s="45" t="s">
        <v>3945</v>
      </c>
    </row>
    <row r="8342" spans="1:8">
      <c r="A8342" s="903">
        <v>45868</v>
      </c>
      <c r="B8342" s="902"/>
      <c r="C8342" s="902" t="s">
        <v>77</v>
      </c>
      <c r="D8342" s="3" t="s">
        <v>3946</v>
      </c>
      <c r="E8342" s="1497"/>
      <c r="F8342" s="1497">
        <v>70000</v>
      </c>
      <c r="G8342" s="902" t="s">
        <v>27</v>
      </c>
      <c r="H8342" s="45" t="s">
        <v>3948</v>
      </c>
    </row>
    <row r="8343" spans="1:8">
      <c r="A8343" s="903">
        <v>45868</v>
      </c>
      <c r="B8343" s="902"/>
      <c r="C8343" s="902" t="s">
        <v>79</v>
      </c>
      <c r="D8343" s="3" t="s">
        <v>2711</v>
      </c>
      <c r="E8343" s="1497">
        <v>519000</v>
      </c>
      <c r="F8343" s="1497"/>
      <c r="G8343" s="902" t="s">
        <v>56</v>
      </c>
      <c r="H8343" s="3"/>
    </row>
    <row r="8344" spans="1:8">
      <c r="A8344" s="903">
        <v>45868</v>
      </c>
      <c r="B8344" s="902"/>
      <c r="C8344" s="902" t="s">
        <v>205</v>
      </c>
      <c r="D8344" s="15" t="s">
        <v>71</v>
      </c>
      <c r="E8344" s="1497">
        <v>5152000</v>
      </c>
      <c r="F8344" s="1497"/>
      <c r="G8344" s="902" t="s">
        <v>56</v>
      </c>
      <c r="H8344" s="3"/>
    </row>
    <row r="8345" spans="1:8">
      <c r="A8345" s="903">
        <v>45868</v>
      </c>
      <c r="B8345" s="902"/>
      <c r="C8345" s="902" t="s">
        <v>77</v>
      </c>
      <c r="D8345" s="3" t="s">
        <v>3693</v>
      </c>
      <c r="E8345" s="1497"/>
      <c r="F8345" s="1497">
        <v>17000</v>
      </c>
      <c r="G8345" s="902" t="s">
        <v>56</v>
      </c>
      <c r="H8345" s="3"/>
    </row>
    <row r="8346" spans="1:8">
      <c r="A8346" s="903">
        <v>45868</v>
      </c>
      <c r="B8346" s="902"/>
      <c r="C8346" s="902" t="s">
        <v>77</v>
      </c>
      <c r="D8346" s="3" t="s">
        <v>3949</v>
      </c>
      <c r="E8346" s="1497"/>
      <c r="F8346" s="1497">
        <v>123000</v>
      </c>
      <c r="G8346" s="902" t="s">
        <v>56</v>
      </c>
      <c r="H8346" s="3"/>
    </row>
    <row r="8347" spans="1:8">
      <c r="A8347" s="904">
        <v>45868</v>
      </c>
      <c r="B8347" s="902"/>
      <c r="C8347" s="902" t="s">
        <v>205</v>
      </c>
      <c r="D8347" s="3" t="s">
        <v>45</v>
      </c>
      <c r="E8347" s="1497">
        <v>163000</v>
      </c>
      <c r="F8347" s="1497"/>
      <c r="G8347" s="902" t="s">
        <v>56</v>
      </c>
      <c r="H8347" s="3"/>
    </row>
    <row r="8348" spans="1:8">
      <c r="A8348" s="904">
        <v>45868</v>
      </c>
      <c r="B8348" s="902"/>
      <c r="C8348" s="902" t="s">
        <v>77</v>
      </c>
      <c r="D8348" s="3" t="s">
        <v>659</v>
      </c>
      <c r="E8348" s="1497"/>
      <c r="F8348" s="1497">
        <v>1290000</v>
      </c>
      <c r="G8348" s="902" t="s">
        <v>56</v>
      </c>
      <c r="H8348" s="3"/>
    </row>
    <row r="8349" spans="1:8">
      <c r="A8349" s="904">
        <v>45869</v>
      </c>
      <c r="B8349" s="902"/>
      <c r="C8349" s="902" t="s">
        <v>79</v>
      </c>
      <c r="D8349" s="3" t="s">
        <v>2711</v>
      </c>
      <c r="E8349" s="1497">
        <v>100000</v>
      </c>
      <c r="F8349" s="1497"/>
      <c r="G8349" s="905" t="s">
        <v>56</v>
      </c>
      <c r="H8349" s="3"/>
    </row>
    <row r="8350" spans="1:8">
      <c r="A8350" s="904">
        <v>45869</v>
      </c>
      <c r="B8350" s="905"/>
      <c r="C8350" s="905" t="s">
        <v>90</v>
      </c>
      <c r="D8350" s="3" t="s">
        <v>1951</v>
      </c>
      <c r="E8350" s="1497">
        <v>15000</v>
      </c>
      <c r="F8350" s="1497"/>
      <c r="G8350" s="905" t="s">
        <v>56</v>
      </c>
      <c r="H8350" s="3"/>
    </row>
    <row r="8351" spans="1:8">
      <c r="A8351" s="904">
        <v>45869</v>
      </c>
      <c r="B8351" s="905"/>
      <c r="C8351" s="905" t="s">
        <v>92</v>
      </c>
      <c r="D8351" s="3" t="s">
        <v>317</v>
      </c>
      <c r="E8351" s="1497"/>
      <c r="F8351" s="1497">
        <v>54000</v>
      </c>
      <c r="G8351" s="905" t="s">
        <v>56</v>
      </c>
      <c r="H8351" s="3"/>
    </row>
    <row r="8352" spans="1:8">
      <c r="A8352" s="904">
        <v>45869</v>
      </c>
      <c r="B8352" s="905"/>
      <c r="C8352" s="905" t="s">
        <v>77</v>
      </c>
      <c r="D8352" s="3" t="s">
        <v>3354</v>
      </c>
      <c r="E8352" s="1497"/>
      <c r="F8352" s="1497">
        <v>204600</v>
      </c>
      <c r="G8352" s="905" t="s">
        <v>56</v>
      </c>
      <c r="H8352" s="3"/>
    </row>
    <row r="8353" spans="1:8">
      <c r="A8353" s="904">
        <v>45869</v>
      </c>
      <c r="B8353" s="905"/>
      <c r="C8353" s="905" t="s">
        <v>92</v>
      </c>
      <c r="D8353" s="15" t="s">
        <v>3936</v>
      </c>
      <c r="E8353" s="1497"/>
      <c r="F8353" s="1497">
        <v>361000</v>
      </c>
      <c r="G8353" s="905" t="s">
        <v>56</v>
      </c>
      <c r="H8353" s="3"/>
    </row>
    <row r="8354" spans="1:8">
      <c r="A8354" s="904">
        <v>45869</v>
      </c>
      <c r="B8354" s="905"/>
      <c r="C8354" s="905" t="s">
        <v>92</v>
      </c>
      <c r="D8354" s="15" t="s">
        <v>3936</v>
      </c>
      <c r="E8354" s="1497"/>
      <c r="F8354" s="1497">
        <v>100000</v>
      </c>
      <c r="G8354" s="905" t="s">
        <v>56</v>
      </c>
      <c r="H8354" s="3"/>
    </row>
    <row r="8355" spans="1:8">
      <c r="A8355" s="904">
        <v>45869</v>
      </c>
      <c r="B8355" s="905"/>
      <c r="C8355" s="905" t="s">
        <v>92</v>
      </c>
      <c r="D8355" s="3" t="s">
        <v>3950</v>
      </c>
      <c r="E8355" s="1497"/>
      <c r="F8355" s="1497">
        <v>76900</v>
      </c>
      <c r="G8355" s="905" t="s">
        <v>27</v>
      </c>
      <c r="H8355" s="3"/>
    </row>
    <row r="8356" spans="1:8" ht="15.75" thickBot="1">
      <c r="A8356" s="57"/>
      <c r="B8356" s="57"/>
      <c r="C8356" s="57" t="s">
        <v>3449</v>
      </c>
      <c r="D8356" s="85" t="s">
        <v>71</v>
      </c>
      <c r="E8356" s="57">
        <v>261326</v>
      </c>
      <c r="F8356" s="57"/>
      <c r="G8356" s="57" t="s">
        <v>27</v>
      </c>
      <c r="H8356" s="85" t="s">
        <v>4038</v>
      </c>
    </row>
    <row r="8357" spans="1:8" ht="15.75" thickBot="1">
      <c r="A8357" s="1532"/>
      <c r="B8357" s="1533"/>
      <c r="C8357" s="1533"/>
      <c r="D8357" s="1533"/>
      <c r="E8357" s="1533"/>
      <c r="F8357" s="1533"/>
      <c r="G8357" s="1533"/>
      <c r="H8357" s="1534"/>
    </row>
    <row r="8358" spans="1:8">
      <c r="A8358" s="77">
        <v>45870</v>
      </c>
      <c r="B8358" s="62"/>
      <c r="C8358" s="62" t="s">
        <v>65</v>
      </c>
      <c r="D8358" s="5" t="s">
        <v>662</v>
      </c>
      <c r="E8358" s="62">
        <v>15850</v>
      </c>
      <c r="F8358" s="62"/>
      <c r="G8358" s="62" t="s">
        <v>27</v>
      </c>
      <c r="H8358" s="5"/>
    </row>
    <row r="8359" spans="1:8">
      <c r="A8359" s="907">
        <v>45870</v>
      </c>
      <c r="B8359" s="906"/>
      <c r="C8359" s="906" t="s">
        <v>65</v>
      </c>
      <c r="D8359" s="3" t="s">
        <v>3951</v>
      </c>
      <c r="E8359" s="1497">
        <v>15850</v>
      </c>
      <c r="F8359" s="1497"/>
      <c r="G8359" s="906" t="s">
        <v>27</v>
      </c>
      <c r="H8359" s="3"/>
    </row>
    <row r="8360" spans="1:8">
      <c r="A8360" s="907">
        <v>45870</v>
      </c>
      <c r="B8360" s="906"/>
      <c r="C8360" s="906" t="s">
        <v>65</v>
      </c>
      <c r="D8360" s="3" t="s">
        <v>663</v>
      </c>
      <c r="E8360" s="1497">
        <v>43252.47</v>
      </c>
      <c r="F8360" s="1497"/>
      <c r="G8360" s="906" t="s">
        <v>27</v>
      </c>
      <c r="H8360" s="3"/>
    </row>
    <row r="8361" spans="1:8">
      <c r="A8361" s="907">
        <v>45870</v>
      </c>
      <c r="B8361" s="906"/>
      <c r="C8361" s="906" t="s">
        <v>730</v>
      </c>
      <c r="D8361" s="15" t="s">
        <v>9</v>
      </c>
      <c r="E8361" s="1497">
        <v>150000</v>
      </c>
      <c r="F8361" s="1497"/>
      <c r="G8361" s="906" t="s">
        <v>56</v>
      </c>
      <c r="H8361" s="3"/>
    </row>
    <row r="8362" spans="1:8">
      <c r="A8362" s="77">
        <v>45870</v>
      </c>
      <c r="B8362" s="906"/>
      <c r="C8362" s="906" t="s">
        <v>537</v>
      </c>
      <c r="D8362" s="3" t="s">
        <v>219</v>
      </c>
      <c r="E8362" s="1497">
        <v>210000</v>
      </c>
      <c r="F8362" s="1497"/>
      <c r="G8362" s="906" t="s">
        <v>56</v>
      </c>
      <c r="H8362" s="3"/>
    </row>
    <row r="8363" spans="1:8">
      <c r="A8363" s="907">
        <v>45870</v>
      </c>
      <c r="B8363" s="906"/>
      <c r="C8363" s="906" t="s">
        <v>537</v>
      </c>
      <c r="D8363" s="3" t="s">
        <v>208</v>
      </c>
      <c r="E8363" s="1497">
        <v>210000</v>
      </c>
      <c r="F8363" s="1497"/>
      <c r="G8363" s="906" t="s">
        <v>56</v>
      </c>
      <c r="H8363" s="3"/>
    </row>
    <row r="8364" spans="1:8">
      <c r="A8364" s="907">
        <v>45870</v>
      </c>
      <c r="B8364" s="906"/>
      <c r="C8364" s="906" t="s">
        <v>537</v>
      </c>
      <c r="D8364" s="15" t="s">
        <v>144</v>
      </c>
      <c r="E8364" s="1497">
        <v>400000</v>
      </c>
      <c r="F8364" s="1497"/>
      <c r="G8364" s="906" t="s">
        <v>56</v>
      </c>
      <c r="H8364" s="3"/>
    </row>
    <row r="8365" spans="1:8" ht="15.75" thickBot="1">
      <c r="A8365" s="909">
        <v>45870</v>
      </c>
      <c r="B8365" s="910"/>
      <c r="C8365" s="910" t="s">
        <v>537</v>
      </c>
      <c r="D8365" s="15" t="s">
        <v>193</v>
      </c>
      <c r="E8365" s="1497">
        <v>140000</v>
      </c>
      <c r="F8365" s="1497"/>
      <c r="G8365" s="910" t="s">
        <v>56</v>
      </c>
      <c r="H8365" s="3"/>
    </row>
    <row r="8366" spans="1:8" ht="15.75" thickBot="1">
      <c r="A8366" s="908"/>
      <c r="B8366" s="908"/>
      <c r="C8366" s="908"/>
      <c r="D8366" s="115"/>
      <c r="E8366" s="1492"/>
      <c r="F8366" s="1492"/>
      <c r="G8366" s="908"/>
      <c r="H8366" s="201">
        <v>45870</v>
      </c>
    </row>
    <row r="8367" spans="1:8">
      <c r="A8367" s="908"/>
      <c r="B8367" s="908"/>
      <c r="C8367" s="908"/>
      <c r="D8367" s="115"/>
      <c r="E8367" s="1492"/>
      <c r="F8367" s="1492"/>
      <c r="G8367" s="908"/>
      <c r="H8367" s="803" t="s">
        <v>3880</v>
      </c>
    </row>
    <row r="8368" spans="1:8">
      <c r="A8368" s="908"/>
      <c r="B8368" s="908"/>
      <c r="C8368" s="908"/>
      <c r="D8368" s="115"/>
      <c r="E8368" s="1492"/>
      <c r="F8368" s="1492"/>
      <c r="G8368" s="908"/>
      <c r="H8368" s="137" t="s">
        <v>3956</v>
      </c>
    </row>
    <row r="8369" spans="1:8">
      <c r="A8369" s="908"/>
      <c r="B8369" s="908"/>
      <c r="C8369" s="908"/>
      <c r="D8369" s="115"/>
      <c r="E8369" s="1492"/>
      <c r="F8369" s="1492"/>
      <c r="G8369" s="908"/>
      <c r="H8369" s="138" t="s">
        <v>3957</v>
      </c>
    </row>
    <row r="8370" spans="1:8">
      <c r="A8370" s="908"/>
      <c r="B8370" s="908"/>
      <c r="C8370" s="908"/>
      <c r="D8370" s="115"/>
      <c r="E8370" s="1492"/>
      <c r="F8370" s="1492"/>
      <c r="G8370" s="908"/>
      <c r="H8370" s="138" t="s">
        <v>3953</v>
      </c>
    </row>
    <row r="8371" spans="1:8">
      <c r="H8371" s="138" t="s">
        <v>3875</v>
      </c>
    </row>
    <row r="8372" spans="1:8">
      <c r="H8372" s="138" t="s">
        <v>3760</v>
      </c>
    </row>
    <row r="8373" spans="1:8">
      <c r="H8373" s="138" t="s">
        <v>3933</v>
      </c>
    </row>
    <row r="8374" spans="1:8">
      <c r="H8374" s="138" t="s">
        <v>3954</v>
      </c>
    </row>
    <row r="8375" spans="1:8" ht="15.75" thickBot="1">
      <c r="H8375" s="139" t="s">
        <v>3759</v>
      </c>
    </row>
    <row r="8376" spans="1:8" ht="15.75" thickBot="1">
      <c r="H8376" s="538" t="s">
        <v>3955</v>
      </c>
    </row>
    <row r="8377" spans="1:8">
      <c r="A8377" s="909">
        <v>45873</v>
      </c>
      <c r="B8377" s="910"/>
      <c r="C8377" s="910" t="s">
        <v>65</v>
      </c>
      <c r="D8377" s="3" t="s">
        <v>3958</v>
      </c>
      <c r="E8377" s="1497">
        <v>311000</v>
      </c>
      <c r="F8377" s="1497"/>
      <c r="G8377" s="910" t="s">
        <v>27</v>
      </c>
      <c r="H8377" s="5"/>
    </row>
    <row r="8378" spans="1:8">
      <c r="A8378" s="909">
        <v>45873</v>
      </c>
      <c r="B8378" s="910"/>
      <c r="C8378" s="910" t="s">
        <v>79</v>
      </c>
      <c r="D8378" s="3" t="s">
        <v>79</v>
      </c>
      <c r="E8378" s="1497">
        <v>27438.29</v>
      </c>
      <c r="F8378" s="1497"/>
      <c r="G8378" s="910" t="s">
        <v>27</v>
      </c>
      <c r="H8378" s="3"/>
    </row>
    <row r="8379" spans="1:8">
      <c r="A8379" s="909">
        <v>45873</v>
      </c>
      <c r="B8379" s="910"/>
      <c r="C8379" s="910" t="s">
        <v>79</v>
      </c>
      <c r="D8379" s="3" t="s">
        <v>79</v>
      </c>
      <c r="E8379" s="1497">
        <v>40000</v>
      </c>
      <c r="F8379" s="1497"/>
      <c r="G8379" s="910" t="s">
        <v>56</v>
      </c>
      <c r="H8379" s="3"/>
    </row>
    <row r="8380" spans="1:8">
      <c r="A8380" s="909">
        <v>45873</v>
      </c>
      <c r="B8380" s="910"/>
      <c r="C8380" s="910" t="s">
        <v>77</v>
      </c>
      <c r="D8380" s="3" t="s">
        <v>3959</v>
      </c>
      <c r="E8380" s="1497"/>
      <c r="F8380" s="1497">
        <v>940000</v>
      </c>
      <c r="G8380" s="910" t="s">
        <v>56</v>
      </c>
      <c r="H8380" s="3"/>
    </row>
    <row r="8381" spans="1:8">
      <c r="A8381" s="909">
        <v>45873</v>
      </c>
      <c r="B8381" s="910"/>
      <c r="C8381" s="910" t="s">
        <v>92</v>
      </c>
      <c r="D8381" s="3" t="s">
        <v>904</v>
      </c>
      <c r="E8381" s="1497"/>
      <c r="F8381" s="1497">
        <v>399500</v>
      </c>
      <c r="G8381" s="910" t="s">
        <v>56</v>
      </c>
      <c r="H8381" s="3"/>
    </row>
    <row r="8382" spans="1:8">
      <c r="A8382" s="912">
        <v>45873</v>
      </c>
      <c r="B8382" s="910"/>
      <c r="C8382" s="910" t="s">
        <v>79</v>
      </c>
      <c r="D8382" s="3" t="s">
        <v>1002</v>
      </c>
      <c r="E8382" s="1497">
        <v>60290</v>
      </c>
      <c r="F8382" s="1497"/>
      <c r="G8382" s="910" t="s">
        <v>27</v>
      </c>
      <c r="H8382" s="3"/>
    </row>
    <row r="8383" spans="1:8">
      <c r="A8383" s="912">
        <v>45873</v>
      </c>
      <c r="B8383" s="911"/>
      <c r="C8383" s="911" t="s">
        <v>205</v>
      </c>
      <c r="D8383" s="15" t="s">
        <v>765</v>
      </c>
      <c r="E8383" s="1497">
        <v>170000</v>
      </c>
      <c r="F8383" s="1497"/>
      <c r="G8383" s="911" t="s">
        <v>27</v>
      </c>
      <c r="H8383" s="3"/>
    </row>
    <row r="8384" spans="1:8">
      <c r="A8384" s="912">
        <v>45873</v>
      </c>
      <c r="B8384" s="911"/>
      <c r="C8384" s="911" t="s">
        <v>1495</v>
      </c>
      <c r="D8384" s="15" t="s">
        <v>3782</v>
      </c>
      <c r="E8384" s="1497">
        <v>55000</v>
      </c>
      <c r="F8384" s="1497"/>
      <c r="G8384" s="911" t="s">
        <v>27</v>
      </c>
      <c r="H8384" s="3"/>
    </row>
    <row r="8385" spans="1:8">
      <c r="A8385" s="912">
        <v>45873</v>
      </c>
      <c r="B8385" s="911"/>
      <c r="C8385" s="911" t="s">
        <v>1495</v>
      </c>
      <c r="D8385" s="15" t="s">
        <v>3782</v>
      </c>
      <c r="E8385" s="1497">
        <v>110000</v>
      </c>
      <c r="F8385" s="1497"/>
      <c r="G8385" s="911" t="s">
        <v>27</v>
      </c>
      <c r="H8385" s="3"/>
    </row>
    <row r="8386" spans="1:8">
      <c r="A8386" s="912">
        <v>45874</v>
      </c>
      <c r="B8386" s="911"/>
      <c r="C8386" s="911" t="s">
        <v>1148</v>
      </c>
      <c r="D8386" s="3" t="s">
        <v>846</v>
      </c>
      <c r="E8386" s="1497">
        <v>180000</v>
      </c>
      <c r="F8386" s="1497"/>
      <c r="G8386" s="911" t="s">
        <v>56</v>
      </c>
      <c r="H8386" s="3"/>
    </row>
    <row r="8387" spans="1:8">
      <c r="A8387" s="912">
        <v>45874</v>
      </c>
      <c r="B8387" s="911"/>
      <c r="C8387" s="911" t="s">
        <v>150</v>
      </c>
      <c r="D8387" s="15" t="s">
        <v>319</v>
      </c>
      <c r="E8387" s="1497">
        <v>570000</v>
      </c>
      <c r="F8387" s="1497"/>
      <c r="G8387" s="911" t="s">
        <v>56</v>
      </c>
      <c r="H8387" s="3"/>
    </row>
    <row r="8388" spans="1:8">
      <c r="A8388" s="912">
        <v>45874</v>
      </c>
      <c r="B8388" s="911"/>
      <c r="C8388" s="911" t="s">
        <v>150</v>
      </c>
      <c r="D8388" s="15" t="s">
        <v>319</v>
      </c>
      <c r="E8388" s="1497"/>
      <c r="F8388" s="1497">
        <v>570000</v>
      </c>
      <c r="G8388" s="911" t="s">
        <v>27</v>
      </c>
      <c r="H8388" s="3"/>
    </row>
    <row r="8389" spans="1:8">
      <c r="A8389" s="912">
        <v>45874</v>
      </c>
      <c r="B8389" s="911"/>
      <c r="C8389" s="911" t="s">
        <v>92</v>
      </c>
      <c r="D8389" s="3" t="s">
        <v>3716</v>
      </c>
      <c r="E8389" s="1497"/>
      <c r="F8389" s="1497">
        <v>25000</v>
      </c>
      <c r="G8389" s="911" t="s">
        <v>56</v>
      </c>
      <c r="H8389" s="3"/>
    </row>
    <row r="8390" spans="1:8">
      <c r="A8390" s="912">
        <v>45874</v>
      </c>
      <c r="B8390" s="911"/>
      <c r="C8390" s="911" t="s">
        <v>55</v>
      </c>
      <c r="D8390" s="3" t="s">
        <v>562</v>
      </c>
      <c r="E8390" s="1497">
        <v>30000</v>
      </c>
      <c r="F8390" s="1497"/>
      <c r="G8390" s="911" t="s">
        <v>56</v>
      </c>
      <c r="H8390" s="3"/>
    </row>
    <row r="8391" spans="1:8">
      <c r="A8391" s="912">
        <v>45874</v>
      </c>
      <c r="B8391" s="911"/>
      <c r="C8391" s="911" t="s">
        <v>77</v>
      </c>
      <c r="D8391" s="3" t="s">
        <v>3960</v>
      </c>
      <c r="E8391" s="1497"/>
      <c r="F8391" s="1497">
        <v>1397400</v>
      </c>
      <c r="G8391" s="911" t="s">
        <v>287</v>
      </c>
      <c r="H8391" s="3" t="s">
        <v>3961</v>
      </c>
    </row>
    <row r="8392" spans="1:8">
      <c r="A8392" s="912">
        <v>45874</v>
      </c>
      <c r="B8392" s="911"/>
      <c r="C8392" s="911" t="s">
        <v>205</v>
      </c>
      <c r="D8392" s="15" t="s">
        <v>3962</v>
      </c>
      <c r="E8392" s="1497">
        <v>210177</v>
      </c>
      <c r="F8392" s="1497"/>
      <c r="G8392" s="911" t="s">
        <v>27</v>
      </c>
      <c r="H8392" s="3"/>
    </row>
    <row r="8393" spans="1:8">
      <c r="A8393" s="912">
        <v>45874</v>
      </c>
      <c r="B8393" s="911"/>
      <c r="C8393" s="911" t="s">
        <v>205</v>
      </c>
      <c r="D8393" s="3" t="s">
        <v>63</v>
      </c>
      <c r="E8393" s="1497">
        <v>11174</v>
      </c>
      <c r="F8393" s="1497"/>
      <c r="G8393" s="911" t="s">
        <v>56</v>
      </c>
      <c r="H8393" s="3"/>
    </row>
    <row r="8394" spans="1:8">
      <c r="A8394" s="912">
        <v>45874</v>
      </c>
      <c r="B8394" s="911"/>
      <c r="C8394" s="911" t="s">
        <v>205</v>
      </c>
      <c r="D8394" s="3" t="s">
        <v>63</v>
      </c>
      <c r="E8394" s="1497">
        <v>6040</v>
      </c>
      <c r="F8394" s="1497"/>
      <c r="G8394" s="911" t="s">
        <v>56</v>
      </c>
      <c r="H8394" s="3"/>
    </row>
    <row r="8395" spans="1:8">
      <c r="A8395" s="913">
        <v>45874</v>
      </c>
      <c r="B8395" s="914"/>
      <c r="C8395" s="914" t="s">
        <v>77</v>
      </c>
      <c r="D8395" s="3" t="s">
        <v>3946</v>
      </c>
      <c r="E8395" s="1497"/>
      <c r="F8395" s="1497">
        <v>70000</v>
      </c>
      <c r="G8395" s="914" t="s">
        <v>27</v>
      </c>
      <c r="H8395" s="3"/>
    </row>
    <row r="8396" spans="1:8">
      <c r="A8396" s="913">
        <v>45874</v>
      </c>
      <c r="B8396" s="914"/>
      <c r="C8396" s="914" t="s">
        <v>150</v>
      </c>
      <c r="D8396" s="3" t="s">
        <v>319</v>
      </c>
      <c r="E8396" s="1497">
        <v>220000</v>
      </c>
      <c r="F8396" s="1497"/>
      <c r="G8396" s="914" t="s">
        <v>56</v>
      </c>
      <c r="H8396" s="3"/>
    </row>
    <row r="8397" spans="1:8">
      <c r="A8397" s="913">
        <v>45874</v>
      </c>
      <c r="B8397" s="914"/>
      <c r="C8397" s="914" t="s">
        <v>150</v>
      </c>
      <c r="D8397" s="3" t="s">
        <v>319</v>
      </c>
      <c r="E8397" s="1497"/>
      <c r="F8397" s="1497">
        <v>220000</v>
      </c>
      <c r="G8397" s="914" t="s">
        <v>27</v>
      </c>
      <c r="H8397" s="3"/>
    </row>
    <row r="8398" spans="1:8">
      <c r="A8398" s="913">
        <v>45874</v>
      </c>
      <c r="B8398" s="914"/>
      <c r="C8398" s="914" t="s">
        <v>205</v>
      </c>
      <c r="D8398" s="3" t="s">
        <v>859</v>
      </c>
      <c r="E8398" s="1497">
        <v>700000</v>
      </c>
      <c r="F8398" s="1497"/>
      <c r="G8398" s="914" t="s">
        <v>56</v>
      </c>
      <c r="H8398" s="3"/>
    </row>
    <row r="8399" spans="1:8">
      <c r="A8399" s="913">
        <v>45875</v>
      </c>
      <c r="B8399" s="914"/>
      <c r="C8399" s="914" t="s">
        <v>94</v>
      </c>
      <c r="D8399" s="3" t="s">
        <v>3545</v>
      </c>
      <c r="E8399" s="1497">
        <v>40999</v>
      </c>
      <c r="F8399" s="1497"/>
      <c r="G8399" s="914" t="s">
        <v>27</v>
      </c>
      <c r="H8399" s="3"/>
    </row>
    <row r="8400" spans="1:8">
      <c r="A8400" s="913">
        <v>45875</v>
      </c>
      <c r="B8400" s="914"/>
      <c r="C8400" s="914" t="s">
        <v>205</v>
      </c>
      <c r="D8400" s="15" t="s">
        <v>859</v>
      </c>
      <c r="E8400" s="1497">
        <v>1397400</v>
      </c>
      <c r="F8400" s="1497"/>
      <c r="G8400" s="914" t="s">
        <v>287</v>
      </c>
      <c r="H8400" s="3"/>
    </row>
    <row r="8401" spans="1:8">
      <c r="A8401" s="913">
        <v>45875</v>
      </c>
      <c r="B8401" s="914"/>
      <c r="C8401" s="914" t="s">
        <v>92</v>
      </c>
      <c r="D8401" s="3" t="s">
        <v>3822</v>
      </c>
      <c r="E8401" s="1497"/>
      <c r="F8401" s="1497">
        <v>622000</v>
      </c>
      <c r="G8401" s="914" t="s">
        <v>27</v>
      </c>
      <c r="H8401" s="3"/>
    </row>
    <row r="8402" spans="1:8">
      <c r="A8402" s="916">
        <v>45875</v>
      </c>
      <c r="B8402" s="914"/>
      <c r="C8402" s="914" t="s">
        <v>79</v>
      </c>
      <c r="D8402" s="3" t="s">
        <v>79</v>
      </c>
      <c r="E8402" s="1497">
        <v>50900</v>
      </c>
      <c r="F8402" s="1497"/>
      <c r="G8402" s="914" t="s">
        <v>27</v>
      </c>
      <c r="H8402" s="3"/>
    </row>
    <row r="8403" spans="1:8">
      <c r="A8403" s="916">
        <v>45876</v>
      </c>
      <c r="B8403" s="915"/>
      <c r="C8403" s="915" t="s">
        <v>150</v>
      </c>
      <c r="D8403" s="3" t="s">
        <v>3963</v>
      </c>
      <c r="E8403" s="1497">
        <v>311242.86</v>
      </c>
      <c r="F8403" s="1497"/>
      <c r="G8403" s="915" t="s">
        <v>108</v>
      </c>
      <c r="H8403" s="3"/>
    </row>
    <row r="8404" spans="1:8">
      <c r="A8404" s="916">
        <v>45876</v>
      </c>
      <c r="B8404" s="915"/>
      <c r="C8404" s="915" t="s">
        <v>150</v>
      </c>
      <c r="D8404" s="3" t="s">
        <v>3963</v>
      </c>
      <c r="E8404" s="1497">
        <v>65361</v>
      </c>
      <c r="F8404" s="1497"/>
      <c r="G8404" s="915" t="s">
        <v>108</v>
      </c>
      <c r="H8404" s="3"/>
    </row>
    <row r="8405" spans="1:8">
      <c r="A8405" s="916">
        <v>45876</v>
      </c>
      <c r="B8405" s="915"/>
      <c r="C8405" s="915" t="s">
        <v>150</v>
      </c>
      <c r="D8405" s="3" t="s">
        <v>3963</v>
      </c>
      <c r="E8405" s="1497">
        <v>65361</v>
      </c>
      <c r="F8405" s="1497"/>
      <c r="G8405" s="915" t="s">
        <v>108</v>
      </c>
      <c r="H8405" s="3"/>
    </row>
    <row r="8406" spans="1:8">
      <c r="A8406" s="916">
        <v>45876</v>
      </c>
      <c r="B8406" s="915"/>
      <c r="C8406" s="915" t="s">
        <v>86</v>
      </c>
      <c r="D8406" s="3" t="s">
        <v>3964</v>
      </c>
      <c r="E8406" s="1497">
        <v>30000</v>
      </c>
      <c r="F8406" s="1497"/>
      <c r="G8406" s="915" t="s">
        <v>56</v>
      </c>
      <c r="H8406" s="3"/>
    </row>
    <row r="8407" spans="1:8">
      <c r="A8407" s="916">
        <v>45876</v>
      </c>
      <c r="B8407" s="915"/>
      <c r="C8407" s="915" t="s">
        <v>90</v>
      </c>
      <c r="D8407" s="15" t="s">
        <v>1951</v>
      </c>
      <c r="E8407" s="1497">
        <v>15000</v>
      </c>
      <c r="F8407" s="1497"/>
      <c r="G8407" s="915" t="s">
        <v>56</v>
      </c>
      <c r="H8407" s="3"/>
    </row>
    <row r="8408" spans="1:8">
      <c r="A8408" s="916">
        <v>45876</v>
      </c>
      <c r="B8408" s="915"/>
      <c r="C8408" s="915" t="s">
        <v>86</v>
      </c>
      <c r="D8408" s="15" t="s">
        <v>104</v>
      </c>
      <c r="E8408" s="1497">
        <v>30000</v>
      </c>
      <c r="F8408" s="1497"/>
      <c r="G8408" s="915" t="s">
        <v>56</v>
      </c>
      <c r="H8408" s="3"/>
    </row>
    <row r="8409" spans="1:8">
      <c r="A8409" s="916">
        <v>45876</v>
      </c>
      <c r="B8409" s="915"/>
      <c r="C8409" s="915" t="s">
        <v>92</v>
      </c>
      <c r="D8409" s="3" t="s">
        <v>2635</v>
      </c>
      <c r="E8409" s="1497"/>
      <c r="F8409" s="1497">
        <v>78000</v>
      </c>
      <c r="G8409" s="915" t="s">
        <v>27</v>
      </c>
      <c r="H8409" s="3"/>
    </row>
    <row r="8410" spans="1:8">
      <c r="A8410" s="916">
        <v>45876</v>
      </c>
      <c r="B8410" s="915"/>
      <c r="C8410" s="915" t="s">
        <v>176</v>
      </c>
      <c r="D8410" s="3" t="s">
        <v>3965</v>
      </c>
      <c r="E8410" s="1497">
        <v>45000</v>
      </c>
      <c r="F8410" s="1497"/>
      <c r="G8410" s="915" t="s">
        <v>27</v>
      </c>
      <c r="H8410" s="3"/>
    </row>
    <row r="8411" spans="1:8">
      <c r="A8411" s="917">
        <v>45877</v>
      </c>
      <c r="B8411" s="915"/>
      <c r="C8411" s="915" t="s">
        <v>79</v>
      </c>
      <c r="D8411" s="3" t="s">
        <v>1854</v>
      </c>
      <c r="E8411" s="1497">
        <v>119000</v>
      </c>
      <c r="F8411" s="1497"/>
      <c r="G8411" s="915" t="s">
        <v>27</v>
      </c>
      <c r="H8411" s="3"/>
    </row>
    <row r="8412" spans="1:8">
      <c r="A8412" s="917">
        <v>45877</v>
      </c>
      <c r="B8412" s="915"/>
      <c r="C8412" s="915" t="s">
        <v>77</v>
      </c>
      <c r="D8412" s="3" t="s">
        <v>179</v>
      </c>
      <c r="E8412" s="1497"/>
      <c r="F8412" s="1497">
        <v>89000</v>
      </c>
      <c r="G8412" s="918" t="s">
        <v>27</v>
      </c>
      <c r="H8412" s="3"/>
    </row>
    <row r="8413" spans="1:8">
      <c r="A8413" s="917">
        <v>45877</v>
      </c>
      <c r="B8413" s="915"/>
      <c r="C8413" s="915" t="s">
        <v>77</v>
      </c>
      <c r="D8413" s="3" t="s">
        <v>179</v>
      </c>
      <c r="E8413" s="1497">
        <v>3873.07</v>
      </c>
      <c r="F8413" s="1497"/>
      <c r="G8413" s="918" t="s">
        <v>27</v>
      </c>
      <c r="H8413" s="3"/>
    </row>
    <row r="8414" spans="1:8">
      <c r="A8414" s="917">
        <v>45877</v>
      </c>
      <c r="B8414" s="918"/>
      <c r="C8414" s="918" t="s">
        <v>205</v>
      </c>
      <c r="D8414" s="3" t="s">
        <v>246</v>
      </c>
      <c r="E8414" s="1497">
        <v>119542</v>
      </c>
      <c r="F8414" s="1497"/>
      <c r="G8414" s="918" t="s">
        <v>27</v>
      </c>
      <c r="H8414" s="3"/>
    </row>
    <row r="8415" spans="1:8">
      <c r="A8415" s="917">
        <v>45877</v>
      </c>
      <c r="B8415" s="918"/>
      <c r="C8415" s="918" t="s">
        <v>77</v>
      </c>
      <c r="D8415" s="3" t="s">
        <v>3966</v>
      </c>
      <c r="E8415" s="1497"/>
      <c r="F8415" s="1497">
        <v>723000</v>
      </c>
      <c r="G8415" s="918" t="s">
        <v>56</v>
      </c>
      <c r="H8415" s="3"/>
    </row>
    <row r="8416" spans="1:8">
      <c r="A8416" s="917">
        <v>45877</v>
      </c>
      <c r="B8416" s="918"/>
      <c r="C8416" s="918" t="s">
        <v>94</v>
      </c>
      <c r="D8416" s="3" t="s">
        <v>17</v>
      </c>
      <c r="E8416" s="1497">
        <v>83767.09</v>
      </c>
      <c r="F8416" s="1497"/>
      <c r="G8416" s="918" t="s">
        <v>27</v>
      </c>
      <c r="H8416" s="3"/>
    </row>
    <row r="8417" spans="1:8">
      <c r="A8417" s="917">
        <v>45877</v>
      </c>
      <c r="B8417" s="918"/>
      <c r="C8417" s="918" t="s">
        <v>537</v>
      </c>
      <c r="D8417" s="3" t="s">
        <v>193</v>
      </c>
      <c r="E8417" s="1497">
        <v>140000</v>
      </c>
      <c r="F8417" s="1497"/>
      <c r="G8417" s="918" t="s">
        <v>56</v>
      </c>
      <c r="H8417" s="3"/>
    </row>
    <row r="8418" spans="1:8">
      <c r="A8418" s="917">
        <v>45877</v>
      </c>
      <c r="B8418" s="918"/>
      <c r="C8418" s="918" t="s">
        <v>537</v>
      </c>
      <c r="D8418" s="15" t="s">
        <v>208</v>
      </c>
      <c r="E8418" s="1497">
        <v>210000</v>
      </c>
      <c r="F8418" s="1497"/>
      <c r="G8418" s="918" t="s">
        <v>56</v>
      </c>
      <c r="H8418" s="3"/>
    </row>
    <row r="8419" spans="1:8">
      <c r="A8419" s="917">
        <v>45877</v>
      </c>
      <c r="B8419" s="918"/>
      <c r="C8419" s="918" t="s">
        <v>537</v>
      </c>
      <c r="D8419" s="15" t="s">
        <v>219</v>
      </c>
      <c r="E8419" s="1497">
        <v>217875</v>
      </c>
      <c r="F8419" s="1497"/>
      <c r="G8419" s="918" t="s">
        <v>56</v>
      </c>
      <c r="H8419" s="3"/>
    </row>
    <row r="8420" spans="1:8" ht="15.75" thickBot="1">
      <c r="A8420" s="917">
        <v>45877</v>
      </c>
      <c r="B8420" s="918"/>
      <c r="C8420" s="918" t="s">
        <v>537</v>
      </c>
      <c r="D8420" s="15" t="s">
        <v>144</v>
      </c>
      <c r="E8420" s="1497">
        <v>400000</v>
      </c>
      <c r="F8420" s="1497"/>
      <c r="G8420" s="918" t="s">
        <v>56</v>
      </c>
      <c r="H8420" s="3"/>
    </row>
    <row r="8421" spans="1:8" ht="15.75" thickBot="1">
      <c r="A8421" s="917">
        <v>45877</v>
      </c>
      <c r="B8421" s="918"/>
      <c r="C8421" s="918" t="s">
        <v>79</v>
      </c>
      <c r="D8421" s="3" t="s">
        <v>1002</v>
      </c>
      <c r="E8421" s="1497">
        <v>10500</v>
      </c>
      <c r="F8421" s="1497"/>
      <c r="G8421" s="918" t="s">
        <v>56</v>
      </c>
      <c r="H8421" s="201">
        <v>45877</v>
      </c>
    </row>
    <row r="8422" spans="1:8">
      <c r="A8422" s="917">
        <v>45877</v>
      </c>
      <c r="B8422" s="918"/>
      <c r="C8422" s="918" t="s">
        <v>79</v>
      </c>
      <c r="D8422" s="3" t="s">
        <v>640</v>
      </c>
      <c r="E8422" s="1497">
        <v>200000</v>
      </c>
      <c r="F8422" s="1497"/>
      <c r="G8422" s="918"/>
      <c r="H8422" s="803" t="s">
        <v>3880</v>
      </c>
    </row>
    <row r="8423" spans="1:8">
      <c r="A8423" s="917">
        <v>45877</v>
      </c>
      <c r="B8423" s="918"/>
      <c r="C8423" s="918" t="s">
        <v>150</v>
      </c>
      <c r="D8423" s="3" t="s">
        <v>108</v>
      </c>
      <c r="E8423" s="1497">
        <v>50000</v>
      </c>
      <c r="F8423" s="1497"/>
      <c r="G8423" s="918" t="s">
        <v>108</v>
      </c>
      <c r="H8423" s="137" t="s">
        <v>3970</v>
      </c>
    </row>
    <row r="8424" spans="1:8">
      <c r="H8424" s="138" t="s">
        <v>3971</v>
      </c>
    </row>
    <row r="8425" spans="1:8">
      <c r="H8425" s="138" t="s">
        <v>3967</v>
      </c>
    </row>
    <row r="8426" spans="1:8">
      <c r="H8426" s="138" t="s">
        <v>3968</v>
      </c>
    </row>
    <row r="8427" spans="1:8">
      <c r="H8427" s="138" t="s">
        <v>3760</v>
      </c>
    </row>
    <row r="8428" spans="1:8">
      <c r="H8428" s="138" t="s">
        <v>3933</v>
      </c>
    </row>
    <row r="8429" spans="1:8">
      <c r="H8429" s="138" t="s">
        <v>3969</v>
      </c>
    </row>
    <row r="8430" spans="1:8" ht="15.75" thickBot="1">
      <c r="H8430" s="139" t="s">
        <v>3759</v>
      </c>
    </row>
    <row r="8431" spans="1:8">
      <c r="H8431" s="288" t="s">
        <v>3972</v>
      </c>
    </row>
    <row r="8432" spans="1:8">
      <c r="A8432" s="920">
        <v>45880</v>
      </c>
      <c r="B8432" s="919"/>
      <c r="C8432" s="919" t="s">
        <v>715</v>
      </c>
      <c r="D8432" s="3" t="s">
        <v>2630</v>
      </c>
      <c r="E8432" s="1497">
        <v>33291</v>
      </c>
      <c r="F8432" s="1497"/>
      <c r="G8432" s="919" t="s">
        <v>27</v>
      </c>
      <c r="H8432" s="3"/>
    </row>
    <row r="8433" spans="1:8">
      <c r="A8433" s="920">
        <v>45880</v>
      </c>
      <c r="B8433" s="919"/>
      <c r="C8433" s="919" t="s">
        <v>55</v>
      </c>
      <c r="D8433" s="3" t="s">
        <v>514</v>
      </c>
      <c r="E8433" s="1497">
        <v>10000</v>
      </c>
      <c r="F8433" s="1497"/>
      <c r="G8433" s="919" t="s">
        <v>27</v>
      </c>
      <c r="H8433" s="3"/>
    </row>
    <row r="8434" spans="1:8">
      <c r="A8434" s="920">
        <v>45880</v>
      </c>
      <c r="B8434" s="919"/>
      <c r="C8434" s="919" t="s">
        <v>86</v>
      </c>
      <c r="D8434" s="3" t="s">
        <v>195</v>
      </c>
      <c r="E8434" s="1497">
        <v>50000</v>
      </c>
      <c r="F8434" s="1497"/>
      <c r="G8434" s="919" t="s">
        <v>27</v>
      </c>
      <c r="H8434" s="3"/>
    </row>
    <row r="8435" spans="1:8">
      <c r="A8435" s="920">
        <v>45880</v>
      </c>
      <c r="B8435" s="919"/>
      <c r="C8435" s="919" t="s">
        <v>205</v>
      </c>
      <c r="D8435" s="3" t="s">
        <v>52</v>
      </c>
      <c r="E8435" s="1497">
        <v>174128.79</v>
      </c>
      <c r="F8435" s="1497"/>
      <c r="G8435" s="919" t="s">
        <v>27</v>
      </c>
      <c r="H8435" s="3"/>
    </row>
    <row r="8436" spans="1:8">
      <c r="A8436" s="921">
        <v>45880</v>
      </c>
      <c r="B8436" s="922"/>
      <c r="C8436" s="922" t="s">
        <v>79</v>
      </c>
      <c r="D8436" s="3" t="s">
        <v>3976</v>
      </c>
      <c r="E8436" s="1497">
        <v>53973.25</v>
      </c>
      <c r="F8436" s="1497"/>
      <c r="G8436" s="922" t="s">
        <v>27</v>
      </c>
      <c r="H8436" s="3"/>
    </row>
    <row r="8437" spans="1:8">
      <c r="A8437" s="921">
        <v>45880</v>
      </c>
      <c r="B8437" s="922"/>
      <c r="C8437" s="922" t="s">
        <v>3977</v>
      </c>
      <c r="D8437" s="3" t="s">
        <v>344</v>
      </c>
      <c r="E8437" s="1497">
        <v>108103.85</v>
      </c>
      <c r="F8437" s="1497"/>
      <c r="G8437" s="922" t="s">
        <v>27</v>
      </c>
      <c r="H8437" s="3"/>
    </row>
    <row r="8438" spans="1:8">
      <c r="A8438" s="921">
        <v>45880</v>
      </c>
      <c r="B8438" s="919"/>
      <c r="C8438" s="919" t="s">
        <v>77</v>
      </c>
      <c r="D8438" s="3" t="s">
        <v>3973</v>
      </c>
      <c r="E8438" s="1497"/>
      <c r="F8438" s="1497">
        <v>2000000</v>
      </c>
      <c r="G8438" s="919" t="s">
        <v>27</v>
      </c>
      <c r="H8438" s="3"/>
    </row>
    <row r="8439" spans="1:8">
      <c r="A8439" s="921">
        <v>45880</v>
      </c>
      <c r="B8439" s="919"/>
      <c r="C8439" s="919" t="s">
        <v>77</v>
      </c>
      <c r="D8439" s="3" t="s">
        <v>3973</v>
      </c>
      <c r="E8439" s="1497"/>
      <c r="F8439" s="1497">
        <v>4800000</v>
      </c>
      <c r="G8439" s="919" t="s">
        <v>287</v>
      </c>
      <c r="H8439" s="3"/>
    </row>
    <row r="8440" spans="1:8">
      <c r="A8440" s="921">
        <v>45881</v>
      </c>
      <c r="B8440" s="919"/>
      <c r="C8440" s="919" t="s">
        <v>65</v>
      </c>
      <c r="D8440" s="3" t="s">
        <v>3712</v>
      </c>
      <c r="E8440" s="1497">
        <v>200000</v>
      </c>
      <c r="F8440" s="1497"/>
      <c r="G8440" s="919"/>
      <c r="H8440" s="3"/>
    </row>
    <row r="8441" spans="1:8">
      <c r="A8441" s="921">
        <v>45881</v>
      </c>
      <c r="B8441" s="922"/>
      <c r="C8441" s="922" t="s">
        <v>92</v>
      </c>
      <c r="D8441" s="3" t="s">
        <v>3974</v>
      </c>
      <c r="E8441" s="1497"/>
      <c r="F8441" s="1497">
        <v>185200</v>
      </c>
      <c r="G8441" s="922" t="s">
        <v>27</v>
      </c>
      <c r="H8441" s="3"/>
    </row>
    <row r="8442" spans="1:8">
      <c r="A8442" s="921">
        <v>45881</v>
      </c>
      <c r="B8442" s="922"/>
      <c r="C8442" s="922" t="s">
        <v>94</v>
      </c>
      <c r="D8442" s="3" t="s">
        <v>3975</v>
      </c>
      <c r="E8442" s="1497">
        <v>105420.01</v>
      </c>
      <c r="F8442" s="1497"/>
      <c r="G8442" s="922" t="s">
        <v>27</v>
      </c>
      <c r="H8442" s="3"/>
    </row>
    <row r="8443" spans="1:8">
      <c r="A8443" s="921">
        <v>45881</v>
      </c>
      <c r="B8443" s="922"/>
      <c r="C8443" s="922" t="s">
        <v>94</v>
      </c>
      <c r="D8443" s="15" t="s">
        <v>3978</v>
      </c>
      <c r="E8443" s="1497"/>
      <c r="F8443" s="1497">
        <v>93380</v>
      </c>
      <c r="G8443" s="922" t="s">
        <v>27</v>
      </c>
      <c r="H8443" s="3"/>
    </row>
    <row r="8444" spans="1:8">
      <c r="A8444" s="921">
        <v>45881</v>
      </c>
      <c r="B8444" s="922"/>
      <c r="C8444" s="922" t="s">
        <v>92</v>
      </c>
      <c r="D8444" s="3" t="s">
        <v>2559</v>
      </c>
      <c r="E8444" s="1497"/>
      <c r="F8444" s="1497">
        <v>53420</v>
      </c>
      <c r="G8444" s="922" t="s">
        <v>27</v>
      </c>
      <c r="H8444" s="3"/>
    </row>
    <row r="8445" spans="1:8">
      <c r="A8445" s="921">
        <v>45881</v>
      </c>
      <c r="B8445" s="922"/>
      <c r="C8445" s="922" t="s">
        <v>205</v>
      </c>
      <c r="D8445" s="3" t="s">
        <v>38</v>
      </c>
      <c r="E8445" s="1497">
        <v>1000</v>
      </c>
      <c r="F8445" s="1497"/>
      <c r="G8445" s="922" t="s">
        <v>56</v>
      </c>
      <c r="H8445" s="3"/>
    </row>
    <row r="8446" spans="1:8">
      <c r="A8446" s="921">
        <v>45881</v>
      </c>
      <c r="B8446" s="922"/>
      <c r="C8446" s="922" t="s">
        <v>409</v>
      </c>
      <c r="D8446" s="3" t="s">
        <v>3979</v>
      </c>
      <c r="E8446" s="1497"/>
      <c r="F8446" s="1497">
        <v>29000</v>
      </c>
      <c r="G8446" s="922" t="s">
        <v>56</v>
      </c>
      <c r="H8446" s="3"/>
    </row>
    <row r="8447" spans="1:8">
      <c r="A8447" s="923">
        <v>45882</v>
      </c>
      <c r="B8447" s="922"/>
      <c r="C8447" s="922" t="s">
        <v>205</v>
      </c>
      <c r="D8447" s="3" t="s">
        <v>3980</v>
      </c>
      <c r="E8447" s="1497">
        <v>90000</v>
      </c>
      <c r="F8447" s="1497"/>
      <c r="G8447" s="922" t="s">
        <v>56</v>
      </c>
      <c r="H8447" s="45" t="s">
        <v>3822</v>
      </c>
    </row>
    <row r="8448" spans="1:8">
      <c r="A8448" s="580">
        <v>45882</v>
      </c>
      <c r="B8448" s="221"/>
      <c r="C8448" s="221" t="s">
        <v>86</v>
      </c>
      <c r="D8448" s="933" t="s">
        <v>3749</v>
      </c>
      <c r="E8448" s="221">
        <v>53005.99</v>
      </c>
      <c r="F8448" s="221"/>
      <c r="G8448" s="221" t="s">
        <v>27</v>
      </c>
      <c r="H8448" s="933" t="s">
        <v>3981</v>
      </c>
    </row>
    <row r="8449" spans="1:8">
      <c r="A8449" s="580">
        <v>45882</v>
      </c>
      <c r="B8449" s="221"/>
      <c r="C8449" s="221" t="s">
        <v>1177</v>
      </c>
      <c r="D8449" s="933" t="s">
        <v>1177</v>
      </c>
      <c r="E8449" s="221">
        <v>27200</v>
      </c>
      <c r="F8449" s="221"/>
      <c r="G8449" s="221" t="s">
        <v>27</v>
      </c>
      <c r="H8449" s="933" t="s">
        <v>3981</v>
      </c>
    </row>
    <row r="8450" spans="1:8">
      <c r="A8450" s="924">
        <v>45883</v>
      </c>
      <c r="B8450" s="922"/>
      <c r="C8450" s="922" t="s">
        <v>92</v>
      </c>
      <c r="D8450" s="3" t="s">
        <v>3251</v>
      </c>
      <c r="E8450" s="1497"/>
      <c r="F8450" s="1497">
        <v>398000</v>
      </c>
      <c r="G8450" s="922" t="s">
        <v>27</v>
      </c>
      <c r="H8450" s="3"/>
    </row>
    <row r="8451" spans="1:8">
      <c r="A8451" s="924">
        <v>45883</v>
      </c>
      <c r="B8451" s="922"/>
      <c r="C8451" s="922" t="s">
        <v>79</v>
      </c>
      <c r="D8451" s="3" t="s">
        <v>640</v>
      </c>
      <c r="E8451" s="1497">
        <v>124070.67</v>
      </c>
      <c r="F8451" s="1497"/>
      <c r="G8451" s="922" t="s">
        <v>108</v>
      </c>
      <c r="H8451" s="3"/>
    </row>
    <row r="8452" spans="1:8">
      <c r="A8452" s="924">
        <v>45883</v>
      </c>
      <c r="B8452" s="922"/>
      <c r="C8452" s="922" t="s">
        <v>94</v>
      </c>
      <c r="D8452" s="3" t="s">
        <v>3982</v>
      </c>
      <c r="E8452" s="1497">
        <v>174831.22</v>
      </c>
      <c r="F8452" s="1497"/>
      <c r="G8452" s="922" t="s">
        <v>27</v>
      </c>
      <c r="H8452" s="3"/>
    </row>
    <row r="8453" spans="1:8">
      <c r="A8453" s="924">
        <v>45883</v>
      </c>
      <c r="B8453" s="922"/>
      <c r="C8453" s="922" t="s">
        <v>92</v>
      </c>
      <c r="D8453" s="3" t="s">
        <v>3983</v>
      </c>
      <c r="E8453" s="1497"/>
      <c r="F8453" s="1497">
        <v>170900</v>
      </c>
      <c r="G8453" s="922" t="s">
        <v>27</v>
      </c>
      <c r="H8453" s="3"/>
    </row>
    <row r="8454" spans="1:8">
      <c r="A8454" s="924">
        <v>45883</v>
      </c>
      <c r="B8454" s="922"/>
      <c r="C8454" s="922" t="s">
        <v>77</v>
      </c>
      <c r="D8454" s="3" t="s">
        <v>3710</v>
      </c>
      <c r="E8454" s="1497"/>
      <c r="F8454" s="1497">
        <v>880000</v>
      </c>
      <c r="G8454" s="922" t="s">
        <v>27</v>
      </c>
      <c r="H8454" s="3"/>
    </row>
    <row r="8455" spans="1:8">
      <c r="A8455" s="927">
        <v>45883</v>
      </c>
      <c r="B8455" s="922"/>
      <c r="C8455" s="922" t="s">
        <v>205</v>
      </c>
      <c r="D8455" s="3" t="s">
        <v>3984</v>
      </c>
      <c r="E8455" s="1497">
        <v>569000</v>
      </c>
      <c r="F8455" s="1497"/>
      <c r="G8455" s="922" t="s">
        <v>27</v>
      </c>
      <c r="H8455" s="3"/>
    </row>
    <row r="8456" spans="1:8">
      <c r="A8456" s="927">
        <v>45883</v>
      </c>
      <c r="B8456" s="925"/>
      <c r="C8456" s="925" t="s">
        <v>92</v>
      </c>
      <c r="D8456" s="3" t="s">
        <v>3985</v>
      </c>
      <c r="E8456" s="1497"/>
      <c r="F8456" s="1497">
        <v>85700</v>
      </c>
      <c r="G8456" s="926" t="s">
        <v>27</v>
      </c>
      <c r="H8456" s="3"/>
    </row>
    <row r="8457" spans="1:8">
      <c r="A8457" s="927">
        <v>45883</v>
      </c>
      <c r="B8457" s="925"/>
      <c r="C8457" s="925" t="s">
        <v>537</v>
      </c>
      <c r="D8457" s="3" t="s">
        <v>193</v>
      </c>
      <c r="E8457" s="1497">
        <v>140000</v>
      </c>
      <c r="F8457" s="1497"/>
      <c r="G8457" s="925" t="s">
        <v>56</v>
      </c>
      <c r="H8457" s="3"/>
    </row>
    <row r="8458" spans="1:8">
      <c r="A8458" s="927">
        <v>45883</v>
      </c>
      <c r="B8458" s="925"/>
      <c r="C8458" s="926" t="s">
        <v>537</v>
      </c>
      <c r="D8458" s="3" t="s">
        <v>144</v>
      </c>
      <c r="E8458" s="1497">
        <v>400000</v>
      </c>
      <c r="F8458" s="1497"/>
      <c r="G8458" s="925" t="s">
        <v>56</v>
      </c>
      <c r="H8458" s="3"/>
    </row>
    <row r="8459" spans="1:8">
      <c r="A8459" s="927">
        <v>45883</v>
      </c>
      <c r="B8459" s="925"/>
      <c r="C8459" s="926" t="s">
        <v>537</v>
      </c>
      <c r="D8459" s="3" t="s">
        <v>208</v>
      </c>
      <c r="E8459" s="1497">
        <v>210000</v>
      </c>
      <c r="F8459" s="1497"/>
      <c r="G8459" s="926" t="s">
        <v>56</v>
      </c>
      <c r="H8459" s="3"/>
    </row>
    <row r="8460" spans="1:8">
      <c r="A8460" s="927">
        <v>45883</v>
      </c>
      <c r="B8460" s="925"/>
      <c r="C8460" s="926" t="s">
        <v>537</v>
      </c>
      <c r="D8460" s="3" t="s">
        <v>219</v>
      </c>
      <c r="E8460" s="1497">
        <v>210000</v>
      </c>
      <c r="F8460" s="1497"/>
      <c r="G8460" s="926" t="s">
        <v>56</v>
      </c>
      <c r="H8460" s="3"/>
    </row>
    <row r="8461" spans="1:8">
      <c r="A8461" s="927">
        <v>45883</v>
      </c>
      <c r="B8461" s="926"/>
      <c r="C8461" s="926" t="s">
        <v>77</v>
      </c>
      <c r="D8461" s="15" t="s">
        <v>3993</v>
      </c>
      <c r="E8461" s="1497"/>
      <c r="F8461" s="1497">
        <v>297300</v>
      </c>
      <c r="G8461" s="926" t="s">
        <v>56</v>
      </c>
      <c r="H8461" s="3"/>
    </row>
    <row r="8462" spans="1:8" ht="15.75" thickBot="1">
      <c r="A8462" s="927">
        <v>45883</v>
      </c>
      <c r="B8462" s="926"/>
      <c r="C8462" s="926" t="s">
        <v>79</v>
      </c>
      <c r="D8462" s="15" t="s">
        <v>79</v>
      </c>
      <c r="E8462" s="1497">
        <v>300000</v>
      </c>
      <c r="F8462" s="1497"/>
      <c r="G8462" s="926" t="s">
        <v>56</v>
      </c>
      <c r="H8462" s="85"/>
    </row>
    <row r="8463" spans="1:8" ht="15.75" thickBot="1">
      <c r="H8463" s="201">
        <v>45883</v>
      </c>
    </row>
    <row r="8464" spans="1:8">
      <c r="H8464" s="803" t="s">
        <v>3992</v>
      </c>
    </row>
    <row r="8465" spans="1:8">
      <c r="H8465" s="137" t="s">
        <v>3987</v>
      </c>
    </row>
    <row r="8466" spans="1:8">
      <c r="H8466" s="138" t="s">
        <v>3990</v>
      </c>
    </row>
    <row r="8467" spans="1:8">
      <c r="H8467" s="138" t="s">
        <v>3988</v>
      </c>
    </row>
    <row r="8468" spans="1:8">
      <c r="H8468" s="138" t="s">
        <v>3968</v>
      </c>
    </row>
    <row r="8469" spans="1:8">
      <c r="H8469" s="138" t="s">
        <v>3989</v>
      </c>
    </row>
    <row r="8470" spans="1:8">
      <c r="H8470" s="138" t="s">
        <v>3933</v>
      </c>
    </row>
    <row r="8471" spans="1:8">
      <c r="H8471" s="138" t="s">
        <v>3986</v>
      </c>
    </row>
    <row r="8472" spans="1:8" ht="15.75" thickBot="1">
      <c r="H8472" s="139" t="s">
        <v>3759</v>
      </c>
    </row>
    <row r="8473" spans="1:8" ht="15.75" thickBot="1">
      <c r="H8473" s="538" t="s">
        <v>3991</v>
      </c>
    </row>
    <row r="8474" spans="1:8">
      <c r="A8474" s="928">
        <v>45887</v>
      </c>
      <c r="B8474" s="929"/>
      <c r="C8474" s="929" t="s">
        <v>65</v>
      </c>
      <c r="D8474" s="3" t="s">
        <v>3995</v>
      </c>
      <c r="E8474" s="1497">
        <v>10000</v>
      </c>
      <c r="F8474" s="1497"/>
      <c r="G8474" s="929" t="s">
        <v>56</v>
      </c>
      <c r="H8474" s="183"/>
    </row>
    <row r="8475" spans="1:8">
      <c r="A8475" s="928">
        <v>45887</v>
      </c>
      <c r="B8475" s="929"/>
      <c r="C8475" s="929" t="s">
        <v>65</v>
      </c>
      <c r="D8475" s="3" t="s">
        <v>3995</v>
      </c>
      <c r="E8475" s="1497">
        <v>50000</v>
      </c>
      <c r="F8475" s="1497"/>
      <c r="G8475" s="929" t="s">
        <v>3996</v>
      </c>
      <c r="H8475" s="126"/>
    </row>
    <row r="8476" spans="1:8">
      <c r="A8476" s="928">
        <v>45887</v>
      </c>
      <c r="B8476" s="929"/>
      <c r="C8476" s="929" t="s">
        <v>77</v>
      </c>
      <c r="D8476" s="3" t="s">
        <v>3997</v>
      </c>
      <c r="E8476" s="1497"/>
      <c r="F8476" s="1497">
        <v>275400</v>
      </c>
      <c r="G8476" s="929" t="s">
        <v>287</v>
      </c>
      <c r="H8476" s="126"/>
    </row>
    <row r="8477" spans="1:8">
      <c r="A8477" s="928">
        <v>45887</v>
      </c>
      <c r="B8477" s="929"/>
      <c r="C8477" s="929" t="s">
        <v>79</v>
      </c>
      <c r="D8477" s="3" t="s">
        <v>2582</v>
      </c>
      <c r="E8477" s="1497">
        <v>64275.47</v>
      </c>
      <c r="F8477" s="1497"/>
      <c r="G8477" s="929" t="s">
        <v>27</v>
      </c>
      <c r="H8477" s="126"/>
    </row>
    <row r="8478" spans="1:8">
      <c r="A8478" s="928">
        <v>45887</v>
      </c>
      <c r="B8478" s="929"/>
      <c r="C8478" s="929" t="s">
        <v>156</v>
      </c>
      <c r="D8478" s="3" t="s">
        <v>156</v>
      </c>
      <c r="E8478" s="1497">
        <v>391793.88</v>
      </c>
      <c r="F8478" s="1497"/>
      <c r="G8478" s="929" t="s">
        <v>27</v>
      </c>
      <c r="H8478" s="3"/>
    </row>
    <row r="8479" spans="1:8">
      <c r="A8479" s="928">
        <v>45887</v>
      </c>
      <c r="B8479" s="929"/>
      <c r="C8479" s="929" t="s">
        <v>156</v>
      </c>
      <c r="D8479" s="3" t="s">
        <v>3994</v>
      </c>
      <c r="E8479" s="1497">
        <v>6386.44</v>
      </c>
      <c r="F8479" s="1497"/>
      <c r="G8479" s="929" t="s">
        <v>27</v>
      </c>
      <c r="H8479" s="3"/>
    </row>
    <row r="8480" spans="1:8">
      <c r="A8480" s="928">
        <v>45887</v>
      </c>
      <c r="B8480" s="929"/>
      <c r="C8480" s="929" t="s">
        <v>86</v>
      </c>
      <c r="D8480" s="3" t="s">
        <v>104</v>
      </c>
      <c r="E8480" s="1497">
        <v>20000</v>
      </c>
      <c r="F8480" s="1497"/>
      <c r="G8480" s="929" t="s">
        <v>56</v>
      </c>
      <c r="H8480" s="3"/>
    </row>
    <row r="8481" spans="1:8">
      <c r="A8481" s="928">
        <v>45887</v>
      </c>
      <c r="B8481" s="929"/>
      <c r="C8481" s="929" t="s">
        <v>79</v>
      </c>
      <c r="D8481" s="3" t="s">
        <v>79</v>
      </c>
      <c r="E8481" s="1497">
        <v>60000</v>
      </c>
      <c r="F8481" s="1497"/>
      <c r="G8481" s="929" t="s">
        <v>56</v>
      </c>
      <c r="H8481" s="3"/>
    </row>
    <row r="8482" spans="1:8">
      <c r="A8482" s="932">
        <v>45888</v>
      </c>
      <c r="B8482" s="929"/>
      <c r="C8482" s="929" t="s">
        <v>65</v>
      </c>
      <c r="D8482" s="3" t="s">
        <v>787</v>
      </c>
      <c r="E8482" s="1497">
        <v>100000</v>
      </c>
      <c r="F8482" s="1497"/>
      <c r="G8482" s="931" t="s">
        <v>287</v>
      </c>
      <c r="H8482" s="3"/>
    </row>
    <row r="8483" spans="1:8">
      <c r="A8483" s="932">
        <v>45888</v>
      </c>
      <c r="B8483" s="929"/>
      <c r="C8483" s="931" t="s">
        <v>65</v>
      </c>
      <c r="D8483" s="3" t="s">
        <v>787</v>
      </c>
      <c r="E8483" s="1497">
        <v>85100</v>
      </c>
      <c r="F8483" s="1497"/>
      <c r="G8483" s="929" t="s">
        <v>995</v>
      </c>
      <c r="H8483" s="3"/>
    </row>
    <row r="8484" spans="1:8">
      <c r="A8484" s="934">
        <v>45889</v>
      </c>
      <c r="B8484" s="929"/>
      <c r="C8484" s="929" t="s">
        <v>205</v>
      </c>
      <c r="D8484" s="3" t="s">
        <v>448</v>
      </c>
      <c r="E8484" s="1497">
        <v>250000</v>
      </c>
      <c r="F8484" s="1497"/>
      <c r="G8484" s="929" t="s">
        <v>27</v>
      </c>
      <c r="H8484" s="3"/>
    </row>
    <row r="8485" spans="1:8">
      <c r="A8485" s="934">
        <v>45889</v>
      </c>
      <c r="B8485" s="929"/>
      <c r="C8485" s="929" t="s">
        <v>79</v>
      </c>
      <c r="D8485" s="3" t="s">
        <v>1001</v>
      </c>
      <c r="E8485" s="1497" t="s">
        <v>3998</v>
      </c>
      <c r="F8485" s="1497"/>
      <c r="G8485" s="929" t="s">
        <v>27</v>
      </c>
      <c r="H8485" s="3"/>
    </row>
    <row r="8486" spans="1:8">
      <c r="A8486" s="934">
        <v>45889</v>
      </c>
      <c r="B8486" s="929"/>
      <c r="C8486" s="929" t="s">
        <v>205</v>
      </c>
      <c r="D8486" s="3" t="s">
        <v>3980</v>
      </c>
      <c r="E8486" s="1497">
        <v>90000</v>
      </c>
      <c r="F8486" s="1497"/>
      <c r="G8486" s="929" t="s">
        <v>56</v>
      </c>
      <c r="H8486" s="45" t="s">
        <v>1308</v>
      </c>
    </row>
    <row r="8487" spans="1:8">
      <c r="A8487" s="934">
        <v>45889</v>
      </c>
      <c r="B8487" s="935"/>
      <c r="C8487" s="935" t="s">
        <v>205</v>
      </c>
      <c r="D8487" s="15" t="s">
        <v>2755</v>
      </c>
      <c r="E8487" s="1497">
        <v>3700</v>
      </c>
      <c r="F8487" s="1497"/>
      <c r="G8487" s="935" t="s">
        <v>56</v>
      </c>
      <c r="H8487" s="45" t="s">
        <v>3945</v>
      </c>
    </row>
    <row r="8488" spans="1:8">
      <c r="A8488" s="936">
        <v>45889</v>
      </c>
      <c r="B8488" s="937"/>
      <c r="C8488" s="937" t="s">
        <v>77</v>
      </c>
      <c r="D8488" s="3" t="s">
        <v>3999</v>
      </c>
      <c r="E8488" s="1497"/>
      <c r="F8488" s="1497">
        <v>1000000</v>
      </c>
      <c r="G8488" s="937" t="s">
        <v>56</v>
      </c>
      <c r="H8488" s="45"/>
    </row>
    <row r="8489" spans="1:8">
      <c r="A8489" s="936">
        <v>45889</v>
      </c>
      <c r="B8489" s="937"/>
      <c r="C8489" s="937" t="s">
        <v>79</v>
      </c>
      <c r="D8489" s="3" t="s">
        <v>2466</v>
      </c>
      <c r="E8489" s="1497">
        <v>33609.99</v>
      </c>
      <c r="F8489" s="1497"/>
      <c r="G8489" s="937" t="s">
        <v>27</v>
      </c>
      <c r="H8489" s="3"/>
    </row>
    <row r="8490" spans="1:8">
      <c r="A8490" s="936">
        <v>45889</v>
      </c>
      <c r="B8490" s="937"/>
      <c r="C8490" s="937" t="s">
        <v>79</v>
      </c>
      <c r="D8490" s="3" t="s">
        <v>2466</v>
      </c>
      <c r="E8490" s="1497">
        <v>16524</v>
      </c>
      <c r="F8490" s="1497"/>
      <c r="G8490" s="937" t="s">
        <v>27</v>
      </c>
      <c r="H8490" s="3"/>
    </row>
    <row r="8491" spans="1:8">
      <c r="A8491" s="936">
        <v>45890</v>
      </c>
      <c r="B8491" s="937"/>
      <c r="C8491" s="937" t="s">
        <v>90</v>
      </c>
      <c r="D8491" s="3" t="s">
        <v>1951</v>
      </c>
      <c r="E8491" s="1497">
        <v>15000</v>
      </c>
      <c r="F8491" s="1497"/>
      <c r="G8491" s="937" t="s">
        <v>56</v>
      </c>
      <c r="H8491" s="3"/>
    </row>
    <row r="8492" spans="1:8">
      <c r="A8492" s="936">
        <v>45890</v>
      </c>
      <c r="B8492" s="937"/>
      <c r="C8492" s="937" t="s">
        <v>205</v>
      </c>
      <c r="D8492" s="3" t="s">
        <v>448</v>
      </c>
      <c r="E8492" s="1497">
        <v>550000</v>
      </c>
      <c r="F8492" s="1497"/>
      <c r="G8492" s="937" t="s">
        <v>56</v>
      </c>
      <c r="H8492" s="3"/>
    </row>
    <row r="8493" spans="1:8">
      <c r="A8493" s="936">
        <v>45890</v>
      </c>
      <c r="B8493" s="937"/>
      <c r="C8493" s="937" t="s">
        <v>205</v>
      </c>
      <c r="D8493" s="15" t="s">
        <v>448</v>
      </c>
      <c r="E8493" s="1497">
        <v>3600000</v>
      </c>
      <c r="F8493" s="1497"/>
      <c r="G8493" s="937" t="s">
        <v>287</v>
      </c>
      <c r="H8493" s="45" t="s">
        <v>4000</v>
      </c>
    </row>
    <row r="8494" spans="1:8">
      <c r="A8494" s="124">
        <v>45890</v>
      </c>
      <c r="B8494" s="938"/>
      <c r="C8494" s="938" t="s">
        <v>1098</v>
      </c>
      <c r="D8494" s="79" t="s">
        <v>38</v>
      </c>
      <c r="E8494" s="1496">
        <v>3000</v>
      </c>
      <c r="F8494" s="1496"/>
      <c r="G8494" s="938" t="s">
        <v>56</v>
      </c>
      <c r="H8494" s="79"/>
    </row>
    <row r="8495" spans="1:8">
      <c r="A8495" s="124">
        <v>45891</v>
      </c>
      <c r="B8495" s="938"/>
      <c r="C8495" s="938" t="s">
        <v>77</v>
      </c>
      <c r="D8495" s="79" t="s">
        <v>4002</v>
      </c>
      <c r="E8495" s="1496"/>
      <c r="F8495" s="1496">
        <v>30000</v>
      </c>
      <c r="G8495" s="938" t="s">
        <v>27</v>
      </c>
      <c r="H8495" s="79" t="s">
        <v>4003</v>
      </c>
    </row>
    <row r="8496" spans="1:8">
      <c r="A8496" s="940">
        <v>45891</v>
      </c>
      <c r="B8496" s="939"/>
      <c r="C8496" s="939" t="s">
        <v>65</v>
      </c>
      <c r="D8496" s="3" t="s">
        <v>4001</v>
      </c>
      <c r="E8496" s="1496">
        <v>76290.3</v>
      </c>
      <c r="F8496" s="1497"/>
      <c r="G8496" s="939" t="s">
        <v>27</v>
      </c>
      <c r="H8496" s="3"/>
    </row>
    <row r="8497" spans="1:8">
      <c r="A8497" s="940">
        <v>45891</v>
      </c>
      <c r="B8497" s="939"/>
      <c r="C8497" s="939" t="s">
        <v>79</v>
      </c>
      <c r="D8497" s="3" t="s">
        <v>1854</v>
      </c>
      <c r="E8497" s="1496">
        <v>110000</v>
      </c>
      <c r="F8497" s="1497"/>
      <c r="G8497" s="939" t="s">
        <v>27</v>
      </c>
      <c r="H8497" s="3"/>
    </row>
    <row r="8498" spans="1:8">
      <c r="A8498" s="940">
        <v>45891</v>
      </c>
      <c r="B8498" s="939"/>
      <c r="C8498" s="939" t="s">
        <v>730</v>
      </c>
      <c r="D8498" s="3" t="s">
        <v>3888</v>
      </c>
      <c r="E8498" s="1497">
        <v>150000</v>
      </c>
      <c r="F8498" s="1497"/>
      <c r="G8498" s="939" t="s">
        <v>27</v>
      </c>
      <c r="H8498" s="3"/>
    </row>
    <row r="8499" spans="1:8">
      <c r="A8499" s="940">
        <v>45891</v>
      </c>
      <c r="B8499" s="939"/>
      <c r="C8499" s="939" t="s">
        <v>77</v>
      </c>
      <c r="D8499" s="3" t="s">
        <v>4004</v>
      </c>
      <c r="E8499" s="1497"/>
      <c r="F8499" s="1497">
        <v>7098750</v>
      </c>
      <c r="G8499" s="939" t="s">
        <v>108</v>
      </c>
      <c r="H8499" s="3"/>
    </row>
    <row r="8500" spans="1:8">
      <c r="A8500" s="940">
        <v>45891</v>
      </c>
      <c r="B8500" s="939"/>
      <c r="C8500" s="939" t="s">
        <v>205</v>
      </c>
      <c r="D8500" s="15" t="s">
        <v>63</v>
      </c>
      <c r="E8500" s="1497">
        <v>10264.01</v>
      </c>
      <c r="F8500" s="1497"/>
      <c r="G8500" s="939" t="s">
        <v>56</v>
      </c>
      <c r="H8500" s="941" t="s">
        <v>4005</v>
      </c>
    </row>
    <row r="8501" spans="1:8">
      <c r="A8501" s="940">
        <v>45891</v>
      </c>
      <c r="B8501" s="939"/>
      <c r="C8501" s="939" t="s">
        <v>537</v>
      </c>
      <c r="D8501" s="15" t="s">
        <v>208</v>
      </c>
      <c r="E8501" s="1497">
        <v>222000</v>
      </c>
      <c r="F8501" s="1497"/>
      <c r="G8501" s="939" t="s">
        <v>56</v>
      </c>
      <c r="H8501" s="3"/>
    </row>
    <row r="8502" spans="1:8">
      <c r="A8502" s="940">
        <v>45891</v>
      </c>
      <c r="B8502" s="939"/>
      <c r="C8502" s="939" t="s">
        <v>537</v>
      </c>
      <c r="D8502" s="15" t="s">
        <v>219</v>
      </c>
      <c r="E8502" s="1497">
        <v>222000</v>
      </c>
      <c r="F8502" s="1497"/>
      <c r="G8502" s="939" t="s">
        <v>56</v>
      </c>
      <c r="H8502" s="3"/>
    </row>
    <row r="8503" spans="1:8">
      <c r="A8503" s="940">
        <v>45891</v>
      </c>
      <c r="B8503" s="939"/>
      <c r="C8503" s="939" t="s">
        <v>537</v>
      </c>
      <c r="D8503" s="15" t="s">
        <v>144</v>
      </c>
      <c r="E8503" s="1497">
        <v>400000</v>
      </c>
      <c r="F8503" s="1497"/>
      <c r="G8503" s="939" t="s">
        <v>56</v>
      </c>
      <c r="H8503" s="3"/>
    </row>
    <row r="8504" spans="1:8">
      <c r="A8504" s="940">
        <v>45891</v>
      </c>
      <c r="B8504" s="939"/>
      <c r="C8504" s="939" t="s">
        <v>537</v>
      </c>
      <c r="D8504" s="15" t="s">
        <v>193</v>
      </c>
      <c r="E8504" s="1497">
        <v>140000</v>
      </c>
      <c r="F8504" s="1497"/>
      <c r="G8504" s="939" t="s">
        <v>56</v>
      </c>
      <c r="H8504" s="3"/>
    </row>
    <row r="8505" spans="1:8">
      <c r="A8505" s="944">
        <v>45891</v>
      </c>
      <c r="B8505" s="943"/>
      <c r="C8505" s="943" t="s">
        <v>86</v>
      </c>
      <c r="D8505" s="3" t="s">
        <v>3964</v>
      </c>
      <c r="E8505" s="1497">
        <v>30000</v>
      </c>
      <c r="F8505" s="1497"/>
      <c r="G8505" s="943" t="s">
        <v>56</v>
      </c>
      <c r="H8505" s="3"/>
    </row>
    <row r="8506" spans="1:8">
      <c r="A8506" s="944">
        <v>45891</v>
      </c>
      <c r="B8506" s="943"/>
      <c r="C8506" s="943" t="s">
        <v>79</v>
      </c>
      <c r="D8506" s="3" t="s">
        <v>166</v>
      </c>
      <c r="E8506" s="1497">
        <v>483000</v>
      </c>
      <c r="F8506" s="1497"/>
      <c r="G8506" s="943" t="s">
        <v>27</v>
      </c>
      <c r="H8506" s="3"/>
    </row>
    <row r="8507" spans="1:8" ht="15.75" thickBot="1">
      <c r="A8507" s="944">
        <v>45891</v>
      </c>
      <c r="B8507" s="943"/>
      <c r="C8507" s="943" t="s">
        <v>79</v>
      </c>
      <c r="D8507" s="3" t="s">
        <v>79</v>
      </c>
      <c r="E8507" s="1497">
        <v>24023.439999999999</v>
      </c>
      <c r="F8507" s="1497"/>
      <c r="G8507" s="943" t="s">
        <v>27</v>
      </c>
      <c r="H8507" s="85"/>
    </row>
    <row r="8508" spans="1:8" ht="15.75" thickBot="1">
      <c r="A8508" s="942"/>
      <c r="B8508" s="942"/>
      <c r="C8508" s="942"/>
      <c r="D8508" s="115"/>
      <c r="E8508" s="1492"/>
      <c r="F8508" s="1492"/>
      <c r="G8508" s="942"/>
      <c r="H8508" s="201">
        <v>45891</v>
      </c>
    </row>
    <row r="8509" spans="1:8">
      <c r="A8509" s="942"/>
      <c r="B8509" s="942"/>
      <c r="C8509" s="942"/>
      <c r="D8509" s="115"/>
      <c r="E8509" s="1492"/>
      <c r="F8509" s="1492"/>
      <c r="G8509" s="942"/>
      <c r="H8509" s="803" t="s">
        <v>3992</v>
      </c>
    </row>
    <row r="8510" spans="1:8">
      <c r="A8510" s="942"/>
      <c r="B8510" s="942"/>
      <c r="C8510" s="942"/>
      <c r="D8510" s="115"/>
      <c r="E8510" s="1492"/>
      <c r="F8510" s="1492"/>
      <c r="G8510" s="942"/>
      <c r="H8510" s="137" t="s">
        <v>3987</v>
      </c>
    </row>
    <row r="8511" spans="1:8">
      <c r="A8511" s="942"/>
      <c r="B8511" s="942"/>
      <c r="C8511" s="942"/>
      <c r="D8511" s="115"/>
      <c r="E8511" s="1492"/>
      <c r="F8511" s="1492"/>
      <c r="G8511" s="942"/>
      <c r="H8511" s="138" t="s">
        <v>3990</v>
      </c>
    </row>
    <row r="8512" spans="1:8">
      <c r="A8512" s="942"/>
      <c r="B8512" s="942"/>
      <c r="C8512" s="942"/>
      <c r="D8512" s="115"/>
      <c r="E8512" s="1492"/>
      <c r="F8512" s="1492"/>
      <c r="G8512" s="942"/>
      <c r="H8512" s="138" t="s">
        <v>3988</v>
      </c>
    </row>
    <row r="8513" spans="1:8">
      <c r="A8513" s="942"/>
      <c r="B8513" s="942"/>
      <c r="C8513" s="942"/>
      <c r="D8513" s="115"/>
      <c r="E8513" s="1492"/>
      <c r="F8513" s="1492"/>
      <c r="G8513" s="942"/>
      <c r="H8513" s="138" t="s">
        <v>3968</v>
      </c>
    </row>
    <row r="8514" spans="1:8">
      <c r="A8514" s="942"/>
      <c r="B8514" s="942"/>
      <c r="C8514" s="942"/>
      <c r="D8514" s="115"/>
      <c r="E8514" s="1492"/>
      <c r="F8514" s="1492"/>
      <c r="G8514" s="942"/>
      <c r="H8514" s="138" t="s">
        <v>3989</v>
      </c>
    </row>
    <row r="8515" spans="1:8">
      <c r="A8515" s="942"/>
      <c r="B8515" s="942"/>
      <c r="C8515" s="942"/>
      <c r="D8515" s="115"/>
      <c r="E8515" s="1492"/>
      <c r="F8515" s="1492"/>
      <c r="G8515" s="942"/>
      <c r="H8515" s="138" t="s">
        <v>3933</v>
      </c>
    </row>
    <row r="8516" spans="1:8">
      <c r="A8516" s="942"/>
      <c r="B8516" s="942"/>
      <c r="C8516" s="942"/>
      <c r="D8516" s="115"/>
      <c r="E8516" s="1492"/>
      <c r="F8516" s="1492"/>
      <c r="G8516" s="942"/>
      <c r="H8516" s="138" t="s">
        <v>3986</v>
      </c>
    </row>
    <row r="8517" spans="1:8" ht="15.75" thickBot="1">
      <c r="A8517" s="942"/>
      <c r="B8517" s="942"/>
      <c r="C8517" s="942"/>
      <c r="D8517" s="115"/>
      <c r="E8517" s="1492"/>
      <c r="F8517" s="1492"/>
      <c r="G8517" s="942"/>
      <c r="H8517" s="139" t="s">
        <v>3759</v>
      </c>
    </row>
    <row r="8518" spans="1:8" ht="15.75" thickBot="1">
      <c r="A8518" s="942"/>
      <c r="B8518" s="942"/>
      <c r="C8518" s="942"/>
      <c r="D8518" s="115"/>
      <c r="E8518" s="1492"/>
      <c r="F8518" s="1492"/>
      <c r="G8518" s="942"/>
      <c r="H8518" s="538" t="s">
        <v>3991</v>
      </c>
    </row>
    <row r="8519" spans="1:8">
      <c r="A8519" s="944">
        <v>45894</v>
      </c>
      <c r="B8519" s="943"/>
      <c r="C8519" s="943" t="s">
        <v>55</v>
      </c>
      <c r="D8519" s="3" t="s">
        <v>4006</v>
      </c>
      <c r="E8519" s="1497">
        <v>11000</v>
      </c>
      <c r="F8519" s="1497"/>
      <c r="G8519" s="943" t="s">
        <v>56</v>
      </c>
      <c r="H8519" s="5"/>
    </row>
    <row r="8520" spans="1:8">
      <c r="A8520" s="944">
        <v>45894</v>
      </c>
      <c r="B8520" s="943"/>
      <c r="C8520" s="943" t="s">
        <v>79</v>
      </c>
      <c r="D8520" s="3" t="s">
        <v>4007</v>
      </c>
      <c r="E8520" s="1497">
        <v>30000</v>
      </c>
      <c r="F8520" s="1497"/>
      <c r="G8520" s="943" t="s">
        <v>27</v>
      </c>
      <c r="H8520" s="3"/>
    </row>
    <row r="8521" spans="1:8">
      <c r="A8521" s="944">
        <v>45894</v>
      </c>
      <c r="B8521" s="943"/>
      <c r="C8521" s="943" t="s">
        <v>174</v>
      </c>
      <c r="D8521" s="3" t="s">
        <v>1403</v>
      </c>
      <c r="E8521" s="1497">
        <v>13409.05</v>
      </c>
      <c r="F8521" s="1497"/>
      <c r="G8521" s="943" t="s">
        <v>27</v>
      </c>
      <c r="H8521" s="3"/>
    </row>
    <row r="8522" spans="1:8">
      <c r="A8522" s="944">
        <v>45894</v>
      </c>
      <c r="B8522" s="943"/>
      <c r="C8522" s="943" t="s">
        <v>86</v>
      </c>
      <c r="D8522" s="3" t="s">
        <v>104</v>
      </c>
      <c r="E8522" s="1497">
        <v>30000</v>
      </c>
      <c r="F8522" s="1497"/>
      <c r="G8522" s="943" t="s">
        <v>56</v>
      </c>
      <c r="H8522" s="3"/>
    </row>
    <row r="8523" spans="1:8">
      <c r="A8523" s="944">
        <v>45894</v>
      </c>
      <c r="B8523" s="943"/>
      <c r="C8523" s="943" t="s">
        <v>77</v>
      </c>
      <c r="D8523" s="3" t="s">
        <v>4008</v>
      </c>
      <c r="E8523" s="1497"/>
      <c r="F8523" s="1497">
        <v>120000</v>
      </c>
      <c r="G8523" s="943" t="s">
        <v>287</v>
      </c>
      <c r="H8523" s="45" t="s">
        <v>4009</v>
      </c>
    </row>
    <row r="8524" spans="1:8">
      <c r="A8524" s="944">
        <v>45894</v>
      </c>
      <c r="B8524" s="943"/>
      <c r="C8524" s="943" t="s">
        <v>205</v>
      </c>
      <c r="D8524" s="3" t="s">
        <v>4010</v>
      </c>
      <c r="E8524" s="1497">
        <v>2820110.82</v>
      </c>
      <c r="F8524" s="1497"/>
      <c r="G8524" s="943" t="s">
        <v>108</v>
      </c>
      <c r="H8524" s="3"/>
    </row>
    <row r="8525" spans="1:8">
      <c r="A8525" s="945">
        <v>45895</v>
      </c>
      <c r="B8525" s="943"/>
      <c r="C8525" s="943" t="s">
        <v>77</v>
      </c>
      <c r="D8525" s="3" t="s">
        <v>4011</v>
      </c>
      <c r="E8525" s="1497"/>
      <c r="F8525" s="1497">
        <v>1555000</v>
      </c>
      <c r="G8525" s="943" t="s">
        <v>72</v>
      </c>
      <c r="H8525" s="3"/>
    </row>
    <row r="8526" spans="1:8">
      <c r="A8526" s="945">
        <v>45895</v>
      </c>
      <c r="B8526" s="943"/>
      <c r="C8526" s="943" t="s">
        <v>77</v>
      </c>
      <c r="D8526" s="3" t="s">
        <v>4011</v>
      </c>
      <c r="E8526" s="1497"/>
      <c r="F8526" s="1497">
        <v>1500000</v>
      </c>
      <c r="G8526" s="943" t="s">
        <v>27</v>
      </c>
      <c r="H8526" s="3"/>
    </row>
    <row r="8527" spans="1:8">
      <c r="A8527" s="945">
        <v>45895</v>
      </c>
      <c r="B8527" s="943"/>
      <c r="C8527" s="943" t="s">
        <v>76</v>
      </c>
      <c r="D8527" s="3" t="s">
        <v>4012</v>
      </c>
      <c r="E8527" s="1497"/>
      <c r="F8527" s="1497">
        <v>630000</v>
      </c>
      <c r="G8527" s="943" t="s">
        <v>72</v>
      </c>
      <c r="H8527" s="3"/>
    </row>
    <row r="8528" spans="1:8">
      <c r="A8528" s="947">
        <v>45895</v>
      </c>
      <c r="B8528" s="946"/>
      <c r="C8528" s="946" t="s">
        <v>79</v>
      </c>
      <c r="D8528" s="3" t="s">
        <v>4014</v>
      </c>
      <c r="E8528" s="1497">
        <v>390000</v>
      </c>
      <c r="F8528" s="1497"/>
      <c r="G8528" s="946" t="s">
        <v>56</v>
      </c>
      <c r="H8528" s="3"/>
    </row>
    <row r="8529" spans="1:8">
      <c r="A8529" s="947">
        <v>45896</v>
      </c>
      <c r="B8529" s="946"/>
      <c r="C8529" s="946" t="s">
        <v>77</v>
      </c>
      <c r="D8529" s="3" t="s">
        <v>179</v>
      </c>
      <c r="E8529" s="1497"/>
      <c r="F8529" s="1497">
        <v>85126.93</v>
      </c>
      <c r="G8529" s="946" t="s">
        <v>27</v>
      </c>
      <c r="H8529" s="3" t="s">
        <v>4013</v>
      </c>
    </row>
    <row r="8530" spans="1:8">
      <c r="A8530" s="947">
        <v>45896</v>
      </c>
      <c r="B8530" s="946"/>
      <c r="C8530" s="946" t="s">
        <v>79</v>
      </c>
      <c r="D8530" s="3" t="s">
        <v>79</v>
      </c>
      <c r="E8530" s="1497">
        <v>98000</v>
      </c>
      <c r="F8530" s="1497"/>
      <c r="G8530" s="946" t="s">
        <v>27</v>
      </c>
      <c r="H8530" s="3"/>
    </row>
    <row r="8531" spans="1:8">
      <c r="A8531" s="947">
        <v>45896</v>
      </c>
      <c r="B8531" s="946"/>
      <c r="C8531" s="946" t="s">
        <v>205</v>
      </c>
      <c r="D8531" s="3" t="s">
        <v>859</v>
      </c>
      <c r="E8531" s="1497">
        <v>1200000</v>
      </c>
      <c r="F8531" s="1497"/>
      <c r="G8531" s="946" t="s">
        <v>72</v>
      </c>
      <c r="H8531" s="45" t="s">
        <v>4009</v>
      </c>
    </row>
    <row r="8532" spans="1:8">
      <c r="A8532" s="947">
        <v>45896</v>
      </c>
      <c r="B8532" s="946"/>
      <c r="C8532" s="946" t="s">
        <v>205</v>
      </c>
      <c r="D8532" s="3" t="s">
        <v>859</v>
      </c>
      <c r="E8532" s="1497">
        <v>1200000</v>
      </c>
      <c r="F8532" s="1497"/>
      <c r="G8532" s="946" t="s">
        <v>27</v>
      </c>
      <c r="H8532" s="3"/>
    </row>
    <row r="8533" spans="1:8">
      <c r="A8533" s="947">
        <v>45896</v>
      </c>
      <c r="B8533" s="946"/>
      <c r="C8533" s="946" t="s">
        <v>205</v>
      </c>
      <c r="D8533" s="3" t="s">
        <v>190</v>
      </c>
      <c r="E8533" s="1497">
        <v>630000</v>
      </c>
      <c r="F8533" s="1497"/>
      <c r="G8533" s="946" t="s">
        <v>72</v>
      </c>
      <c r="H8533" s="3" t="s">
        <v>4015</v>
      </c>
    </row>
    <row r="8534" spans="1:8">
      <c r="A8534" s="947">
        <v>45896</v>
      </c>
      <c r="B8534" s="946"/>
      <c r="C8534" s="946" t="s">
        <v>205</v>
      </c>
      <c r="D8534" s="3" t="s">
        <v>38</v>
      </c>
      <c r="E8534" s="1497">
        <v>1000</v>
      </c>
      <c r="F8534" s="1497"/>
      <c r="G8534" s="946" t="s">
        <v>56</v>
      </c>
      <c r="H8534" s="3"/>
    </row>
    <row r="8535" spans="1:8">
      <c r="A8535" s="951">
        <v>45896</v>
      </c>
      <c r="B8535" s="950"/>
      <c r="C8535" s="950" t="s">
        <v>76</v>
      </c>
      <c r="D8535" s="3" t="s">
        <v>4022</v>
      </c>
      <c r="E8535" s="1497"/>
      <c r="F8535" s="1497"/>
      <c r="G8535" s="950" t="s">
        <v>56</v>
      </c>
      <c r="H8535" s="3"/>
    </row>
    <row r="8536" spans="1:8">
      <c r="A8536" s="951">
        <v>45896</v>
      </c>
      <c r="B8536" s="950"/>
      <c r="C8536" s="950" t="s">
        <v>55</v>
      </c>
      <c r="D8536" s="3" t="s">
        <v>4029</v>
      </c>
      <c r="E8536" s="1497">
        <v>10000</v>
      </c>
      <c r="F8536" s="1497"/>
      <c r="G8536" s="950" t="s">
        <v>56</v>
      </c>
      <c r="H8536" s="3"/>
    </row>
    <row r="8537" spans="1:8">
      <c r="A8537" s="951">
        <v>45896</v>
      </c>
      <c r="B8537" s="950"/>
      <c r="C8537" s="950" t="s">
        <v>68</v>
      </c>
      <c r="D8537" s="3" t="s">
        <v>1951</v>
      </c>
      <c r="E8537" s="1497">
        <v>15000</v>
      </c>
      <c r="F8537" s="1497"/>
      <c r="G8537" s="950" t="s">
        <v>56</v>
      </c>
      <c r="H8537" s="3"/>
    </row>
    <row r="8538" spans="1:8">
      <c r="A8538" s="951">
        <v>45896</v>
      </c>
      <c r="B8538" s="950"/>
      <c r="C8538" s="950" t="s">
        <v>92</v>
      </c>
      <c r="D8538" s="3" t="s">
        <v>2033</v>
      </c>
      <c r="E8538" s="1497"/>
      <c r="F8538" s="1497">
        <v>27000</v>
      </c>
      <c r="G8538" s="950" t="s">
        <v>56</v>
      </c>
      <c r="H8538" s="3"/>
    </row>
    <row r="8539" spans="1:8">
      <c r="A8539" s="948">
        <v>45897</v>
      </c>
      <c r="B8539" s="949"/>
      <c r="C8539" s="949" t="s">
        <v>79</v>
      </c>
      <c r="D8539" s="3" t="s">
        <v>534</v>
      </c>
      <c r="E8539" s="1497">
        <v>54006.98</v>
      </c>
      <c r="F8539" s="1497"/>
      <c r="G8539" s="949" t="s">
        <v>27</v>
      </c>
      <c r="H8539" s="3"/>
    </row>
    <row r="8540" spans="1:8">
      <c r="A8540" s="948">
        <v>45897</v>
      </c>
      <c r="B8540" s="949"/>
      <c r="C8540" s="949" t="s">
        <v>150</v>
      </c>
      <c r="D8540" s="3" t="s">
        <v>650</v>
      </c>
      <c r="E8540" s="1497">
        <v>30000</v>
      </c>
      <c r="F8540" s="1497"/>
      <c r="G8540" s="949" t="s">
        <v>27</v>
      </c>
      <c r="H8540" s="3"/>
    </row>
    <row r="8541" spans="1:8">
      <c r="A8541" s="948">
        <v>45897</v>
      </c>
      <c r="B8541" s="949"/>
      <c r="C8541" s="949" t="s">
        <v>79</v>
      </c>
      <c r="D8541" s="3" t="s">
        <v>2711</v>
      </c>
      <c r="E8541" s="1497">
        <v>256716.61</v>
      </c>
      <c r="F8541" s="1497"/>
      <c r="G8541" s="949" t="s">
        <v>56</v>
      </c>
      <c r="H8541" s="3"/>
    </row>
    <row r="8542" spans="1:8">
      <c r="A8542" s="948">
        <v>45897</v>
      </c>
      <c r="B8542" s="949"/>
      <c r="C8542" s="949" t="s">
        <v>90</v>
      </c>
      <c r="D8542" s="15" t="s">
        <v>4016</v>
      </c>
      <c r="E8542" s="1497">
        <v>503283.9</v>
      </c>
      <c r="F8542" s="1497"/>
      <c r="G8542" s="949" t="s">
        <v>56</v>
      </c>
      <c r="H8542" s="3"/>
    </row>
    <row r="8543" spans="1:8">
      <c r="A8543" s="948">
        <v>45897</v>
      </c>
      <c r="B8543" s="949"/>
      <c r="C8543" s="949" t="s">
        <v>79</v>
      </c>
      <c r="D8543" s="3" t="s">
        <v>4017</v>
      </c>
      <c r="E8543" s="1497">
        <v>74055.55</v>
      </c>
      <c r="F8543" s="1497"/>
      <c r="G8543" s="949" t="s">
        <v>27</v>
      </c>
      <c r="H8543" s="3"/>
    </row>
    <row r="8544" spans="1:8">
      <c r="A8544" s="948">
        <v>45897</v>
      </c>
      <c r="B8544" s="949"/>
      <c r="C8544" s="949" t="s">
        <v>156</v>
      </c>
      <c r="D8544" s="15" t="s">
        <v>4018</v>
      </c>
      <c r="E8544" s="1497">
        <v>72370.81</v>
      </c>
      <c r="F8544" s="1497"/>
      <c r="G8544" s="949" t="s">
        <v>27</v>
      </c>
      <c r="H8544" s="3"/>
    </row>
    <row r="8545" spans="1:8">
      <c r="A8545" s="951">
        <v>45898</v>
      </c>
      <c r="B8545" s="949"/>
      <c r="C8545" s="949" t="s">
        <v>77</v>
      </c>
      <c r="D8545" s="3" t="s">
        <v>4019</v>
      </c>
      <c r="E8545" s="1497"/>
      <c r="F8545" s="1497">
        <v>274500</v>
      </c>
      <c r="G8545" s="949" t="s">
        <v>27</v>
      </c>
      <c r="H8545" s="3"/>
    </row>
    <row r="8546" spans="1:8">
      <c r="A8546" s="951">
        <v>45898</v>
      </c>
      <c r="B8546" s="949"/>
      <c r="C8546" s="949" t="s">
        <v>185</v>
      </c>
      <c r="D8546" s="3" t="s">
        <v>4020</v>
      </c>
      <c r="E8546" s="1497">
        <v>870000</v>
      </c>
      <c r="F8546" s="1497"/>
      <c r="G8546" s="949" t="s">
        <v>56</v>
      </c>
      <c r="H8546" s="3"/>
    </row>
    <row r="8547" spans="1:8">
      <c r="A8547" s="951">
        <v>45898</v>
      </c>
      <c r="B8547" s="949"/>
      <c r="C8547" s="949" t="s">
        <v>205</v>
      </c>
      <c r="D8547" s="3" t="s">
        <v>4021</v>
      </c>
      <c r="E8547" s="1497">
        <v>84000</v>
      </c>
      <c r="F8547" s="1497"/>
      <c r="G8547" s="949" t="s">
        <v>27</v>
      </c>
      <c r="H8547" s="3"/>
    </row>
    <row r="8548" spans="1:8">
      <c r="A8548" s="951">
        <v>45898</v>
      </c>
      <c r="B8548" s="950"/>
      <c r="C8548" s="950" t="s">
        <v>76</v>
      </c>
      <c r="D8548" s="3" t="s">
        <v>4028</v>
      </c>
      <c r="E8548" s="1497"/>
      <c r="F8548" s="1497">
        <v>570250</v>
      </c>
      <c r="G8548" s="950" t="s">
        <v>27</v>
      </c>
      <c r="H8548" s="3"/>
    </row>
    <row r="8549" spans="1:8">
      <c r="A8549" s="951">
        <v>45898</v>
      </c>
      <c r="B8549" s="950"/>
      <c r="C8549" s="950" t="s">
        <v>76</v>
      </c>
      <c r="D8549" s="3" t="s">
        <v>4028</v>
      </c>
      <c r="E8549" s="1497" t="s">
        <v>4030</v>
      </c>
      <c r="F8549" s="1497"/>
      <c r="G8549" s="950" t="s">
        <v>27</v>
      </c>
      <c r="H8549" s="3"/>
    </row>
    <row r="8550" spans="1:8">
      <c r="A8550" s="951">
        <v>45898</v>
      </c>
      <c r="B8550" s="950"/>
      <c r="C8550" s="950" t="s">
        <v>185</v>
      </c>
      <c r="D8550" s="3" t="s">
        <v>4027</v>
      </c>
      <c r="E8550" s="1497">
        <v>703528.92</v>
      </c>
      <c r="F8550" s="1497"/>
      <c r="G8550" s="950" t="s">
        <v>27</v>
      </c>
      <c r="H8550" s="3"/>
    </row>
    <row r="8551" spans="1:8">
      <c r="A8551" s="951">
        <v>45898</v>
      </c>
      <c r="B8551" s="950"/>
      <c r="C8551" s="950" t="s">
        <v>185</v>
      </c>
      <c r="D8551" s="3" t="s">
        <v>4027</v>
      </c>
      <c r="E8551" s="1497">
        <v>614936.39</v>
      </c>
      <c r="F8551" s="1497"/>
      <c r="G8551" s="950" t="s">
        <v>27</v>
      </c>
      <c r="H8551" s="3"/>
    </row>
    <row r="8552" spans="1:8">
      <c r="A8552" s="951">
        <v>45898</v>
      </c>
      <c r="B8552" s="950"/>
      <c r="C8552" s="950" t="s">
        <v>537</v>
      </c>
      <c r="D8552" s="15" t="s">
        <v>575</v>
      </c>
      <c r="E8552" s="1497">
        <v>210000</v>
      </c>
      <c r="F8552" s="1497"/>
      <c r="G8552" s="950" t="s">
        <v>56</v>
      </c>
      <c r="H8552" s="3"/>
    </row>
    <row r="8553" spans="1:8">
      <c r="A8553" s="951">
        <v>45898</v>
      </c>
      <c r="B8553" s="950"/>
      <c r="C8553" s="950" t="s">
        <v>537</v>
      </c>
      <c r="D8553" s="15" t="s">
        <v>575</v>
      </c>
      <c r="E8553" s="1497">
        <v>210000</v>
      </c>
      <c r="F8553" s="1497"/>
      <c r="G8553" s="950" t="s">
        <v>56</v>
      </c>
      <c r="H8553" s="3"/>
    </row>
    <row r="8554" spans="1:8">
      <c r="A8554" s="951">
        <v>45898</v>
      </c>
      <c r="B8554" s="950"/>
      <c r="C8554" s="950" t="s">
        <v>537</v>
      </c>
      <c r="D8554" s="3" t="s">
        <v>144</v>
      </c>
      <c r="E8554" s="1497">
        <v>400000</v>
      </c>
      <c r="F8554" s="1497"/>
      <c r="G8554" s="950" t="s">
        <v>56</v>
      </c>
      <c r="H8554" s="3"/>
    </row>
    <row r="8555" spans="1:8">
      <c r="A8555" s="951">
        <v>45898</v>
      </c>
      <c r="B8555" s="950"/>
      <c r="C8555" s="959" t="s">
        <v>55</v>
      </c>
      <c r="D8555" s="15" t="s">
        <v>4031</v>
      </c>
      <c r="E8555" s="1497">
        <v>12000</v>
      </c>
      <c r="F8555" s="1497"/>
      <c r="G8555" s="950" t="s">
        <v>56</v>
      </c>
      <c r="H8555" s="3" t="s">
        <v>4037</v>
      </c>
    </row>
    <row r="8556" spans="1:8" ht="15.75" thickBot="1">
      <c r="H8556" s="209">
        <v>45898</v>
      </c>
    </row>
    <row r="8557" spans="1:8">
      <c r="H8557" s="803" t="s">
        <v>3992</v>
      </c>
    </row>
    <row r="8558" spans="1:8">
      <c r="H8558" s="199" t="s">
        <v>4026</v>
      </c>
    </row>
    <row r="8559" spans="1:8">
      <c r="H8559" s="137" t="s">
        <v>905</v>
      </c>
    </row>
    <row r="8560" spans="1:8">
      <c r="H8560" s="138" t="s">
        <v>4024</v>
      </c>
    </row>
    <row r="8561" spans="1:8">
      <c r="H8561" s="138" t="s">
        <v>4023</v>
      </c>
    </row>
    <row r="8562" spans="1:8">
      <c r="H8562" s="138" t="s">
        <v>3968</v>
      </c>
    </row>
    <row r="8563" spans="1:8">
      <c r="H8563" s="138" t="s">
        <v>3989</v>
      </c>
    </row>
    <row r="8564" spans="1:8">
      <c r="H8564" s="138" t="s">
        <v>4025</v>
      </c>
    </row>
    <row r="8565" spans="1:8">
      <c r="H8565" s="138" t="s">
        <v>3986</v>
      </c>
    </row>
    <row r="8566" spans="1:8" ht="15.75" thickBot="1">
      <c r="H8566" s="139" t="s">
        <v>3759</v>
      </c>
    </row>
    <row r="8567" spans="1:8">
      <c r="H8567" s="288" t="s">
        <v>3991</v>
      </c>
    </row>
    <row r="8568" spans="1:8">
      <c r="A8568" s="952">
        <v>45901</v>
      </c>
      <c r="B8568" s="953"/>
      <c r="C8568" s="953" t="s">
        <v>86</v>
      </c>
      <c r="D8568" s="3" t="s">
        <v>104</v>
      </c>
      <c r="E8568" s="1497">
        <v>30000</v>
      </c>
      <c r="F8568" s="1497"/>
      <c r="G8568" s="953" t="s">
        <v>56</v>
      </c>
      <c r="H8568" s="3"/>
    </row>
    <row r="8569" spans="1:8">
      <c r="A8569" s="952">
        <v>45901</v>
      </c>
      <c r="B8569" s="953"/>
      <c r="C8569" s="953" t="s">
        <v>86</v>
      </c>
      <c r="D8569" s="3" t="s">
        <v>107</v>
      </c>
      <c r="E8569" s="1497">
        <v>30000</v>
      </c>
      <c r="F8569" s="1497"/>
      <c r="G8569" s="953" t="s">
        <v>56</v>
      </c>
      <c r="H8569" s="3"/>
    </row>
    <row r="8570" spans="1:8">
      <c r="A8570" s="952">
        <v>45901</v>
      </c>
      <c r="B8570" s="953"/>
      <c r="C8570" s="953" t="s">
        <v>65</v>
      </c>
      <c r="D8570" s="3" t="s">
        <v>661</v>
      </c>
      <c r="E8570" s="1497">
        <v>16150</v>
      </c>
      <c r="F8570" s="1497"/>
      <c r="G8570" s="953" t="s">
        <v>27</v>
      </c>
      <c r="H8570" s="3"/>
    </row>
    <row r="8571" spans="1:8">
      <c r="A8571" s="952">
        <v>45901</v>
      </c>
      <c r="B8571" s="953"/>
      <c r="C8571" s="953" t="s">
        <v>65</v>
      </c>
      <c r="D8571" s="3" t="s">
        <v>662</v>
      </c>
      <c r="E8571" s="1497">
        <v>16150</v>
      </c>
      <c r="F8571" s="1497"/>
      <c r="G8571" s="953" t="s">
        <v>27</v>
      </c>
      <c r="H8571" s="3"/>
    </row>
    <row r="8572" spans="1:8">
      <c r="A8572" s="952">
        <v>45901</v>
      </c>
      <c r="B8572" s="953"/>
      <c r="C8572" s="953" t="s">
        <v>79</v>
      </c>
      <c r="D8572" s="3" t="s">
        <v>663</v>
      </c>
      <c r="E8572" s="1497" t="s">
        <v>4032</v>
      </c>
      <c r="F8572" s="1497"/>
      <c r="G8572" s="953" t="s">
        <v>27</v>
      </c>
      <c r="H8572" s="3"/>
    </row>
    <row r="8573" spans="1:8">
      <c r="A8573" s="952">
        <v>45901</v>
      </c>
      <c r="B8573" s="953"/>
      <c r="C8573" s="953" t="s">
        <v>79</v>
      </c>
      <c r="D8573" s="3" t="s">
        <v>195</v>
      </c>
      <c r="E8573" s="1497">
        <v>30630.67</v>
      </c>
      <c r="F8573" s="1497"/>
      <c r="G8573" s="953" t="s">
        <v>27</v>
      </c>
      <c r="H8573" s="3"/>
    </row>
    <row r="8574" spans="1:8">
      <c r="A8574" s="952">
        <v>45901</v>
      </c>
      <c r="B8574" s="953"/>
      <c r="C8574" s="953" t="s">
        <v>79</v>
      </c>
      <c r="D8574" s="3" t="s">
        <v>195</v>
      </c>
      <c r="E8574" s="1497">
        <v>40000</v>
      </c>
      <c r="F8574" s="1497"/>
      <c r="G8574" s="953" t="s">
        <v>27</v>
      </c>
      <c r="H8574" s="3"/>
    </row>
    <row r="8575" spans="1:8">
      <c r="A8575" s="955">
        <v>45902</v>
      </c>
      <c r="B8575" s="953"/>
      <c r="C8575" s="953" t="s">
        <v>79</v>
      </c>
      <c r="D8575" s="3" t="s">
        <v>4033</v>
      </c>
      <c r="E8575" s="1497">
        <v>220</v>
      </c>
      <c r="F8575" s="1497"/>
      <c r="G8575" s="953" t="s">
        <v>27</v>
      </c>
      <c r="H8575" s="3"/>
    </row>
    <row r="8576" spans="1:8">
      <c r="A8576" s="955">
        <v>45902</v>
      </c>
      <c r="B8576" s="953"/>
      <c r="C8576" s="953" t="s">
        <v>205</v>
      </c>
      <c r="D8576" s="3" t="s">
        <v>4034</v>
      </c>
      <c r="E8576" s="1497">
        <v>367680</v>
      </c>
      <c r="F8576" s="1497"/>
      <c r="G8576" s="953" t="s">
        <v>27</v>
      </c>
      <c r="H8576" s="3"/>
    </row>
    <row r="8577" spans="1:8">
      <c r="A8577" s="955">
        <v>45902</v>
      </c>
      <c r="B8577" s="953"/>
      <c r="C8577" s="953" t="s">
        <v>65</v>
      </c>
      <c r="D8577" s="3" t="s">
        <v>3712</v>
      </c>
      <c r="E8577" s="1497">
        <v>200000</v>
      </c>
      <c r="F8577" s="1497"/>
      <c r="G8577" s="954" t="s">
        <v>27</v>
      </c>
      <c r="H8577" s="3"/>
    </row>
    <row r="8578" spans="1:8">
      <c r="A8578" s="955">
        <v>45902</v>
      </c>
      <c r="B8578" s="953"/>
      <c r="C8578" s="953" t="s">
        <v>205</v>
      </c>
      <c r="D8578" s="3" t="s">
        <v>38</v>
      </c>
      <c r="E8578" s="1497">
        <v>2000</v>
      </c>
      <c r="F8578" s="1497"/>
      <c r="G8578" s="953" t="s">
        <v>56</v>
      </c>
      <c r="H8578" s="45" t="s">
        <v>4035</v>
      </c>
    </row>
    <row r="8579" spans="1:8">
      <c r="A8579" s="955">
        <v>45902</v>
      </c>
      <c r="B8579" s="953"/>
      <c r="C8579" s="953" t="s">
        <v>205</v>
      </c>
      <c r="D8579" s="3" t="s">
        <v>3923</v>
      </c>
      <c r="E8579" s="1497">
        <v>3900</v>
      </c>
      <c r="F8579" s="1497"/>
      <c r="G8579" s="953" t="s">
        <v>56</v>
      </c>
      <c r="H8579" s="45" t="s">
        <v>4035</v>
      </c>
    </row>
    <row r="8580" spans="1:8">
      <c r="A8580" s="955">
        <v>45902</v>
      </c>
      <c r="B8580" s="953"/>
      <c r="C8580" s="953" t="s">
        <v>77</v>
      </c>
      <c r="D8580" s="3" t="s">
        <v>4036</v>
      </c>
      <c r="E8580" s="1497"/>
      <c r="F8580" s="1497">
        <v>135730</v>
      </c>
      <c r="G8580" s="953" t="s">
        <v>27</v>
      </c>
      <c r="H8580" s="3"/>
    </row>
    <row r="8581" spans="1:8">
      <c r="A8581" s="956">
        <v>45903</v>
      </c>
      <c r="B8581" s="953"/>
      <c r="C8581" s="957" t="s">
        <v>174</v>
      </c>
      <c r="D8581" s="3" t="s">
        <v>2630</v>
      </c>
      <c r="E8581" s="1497">
        <v>33921</v>
      </c>
      <c r="F8581" s="1497"/>
      <c r="G8581" s="953" t="s">
        <v>27</v>
      </c>
      <c r="H8581" s="3"/>
    </row>
    <row r="8582" spans="1:8">
      <c r="A8582" s="958">
        <v>45903</v>
      </c>
      <c r="B8582" s="957"/>
      <c r="C8582" s="957" t="s">
        <v>77</v>
      </c>
      <c r="D8582" s="3" t="s">
        <v>4039</v>
      </c>
      <c r="E8582" s="1497"/>
      <c r="F8582" s="1497">
        <v>100800</v>
      </c>
      <c r="G8582" s="957" t="s">
        <v>27</v>
      </c>
      <c r="H8582" s="3"/>
    </row>
    <row r="8583" spans="1:8">
      <c r="A8583" s="960">
        <v>45904</v>
      </c>
      <c r="B8583" s="957"/>
      <c r="C8583" s="957" t="s">
        <v>94</v>
      </c>
      <c r="D8583" s="3" t="s">
        <v>3545</v>
      </c>
      <c r="E8583" s="1497">
        <v>43000</v>
      </c>
      <c r="F8583" s="1497"/>
      <c r="G8583" s="957" t="s">
        <v>27</v>
      </c>
      <c r="H8583" s="3"/>
    </row>
    <row r="8584" spans="1:8">
      <c r="A8584" s="960">
        <v>45905</v>
      </c>
      <c r="B8584" s="957"/>
      <c r="C8584" s="957" t="s">
        <v>327</v>
      </c>
      <c r="D8584" s="3" t="s">
        <v>3822</v>
      </c>
      <c r="E8584" s="1497"/>
      <c r="F8584" s="1497">
        <v>300000</v>
      </c>
      <c r="G8584" s="957" t="s">
        <v>56</v>
      </c>
      <c r="H8584" s="3" t="s">
        <v>4040</v>
      </c>
    </row>
    <row r="8585" spans="1:8">
      <c r="A8585" s="960">
        <v>45905</v>
      </c>
      <c r="B8585" s="957"/>
      <c r="C8585" s="957" t="s">
        <v>77</v>
      </c>
      <c r="D8585" s="3" t="s">
        <v>4011</v>
      </c>
      <c r="E8585" s="1497"/>
      <c r="F8585" s="1497" t="s">
        <v>4041</v>
      </c>
      <c r="G8585" s="957" t="s">
        <v>72</v>
      </c>
      <c r="H8585" s="3"/>
    </row>
    <row r="8586" spans="1:8">
      <c r="A8586" s="960">
        <v>45905</v>
      </c>
      <c r="B8586" s="959"/>
      <c r="C8586" s="959" t="s">
        <v>77</v>
      </c>
      <c r="D8586" s="3" t="s">
        <v>4011</v>
      </c>
      <c r="E8586" s="1497"/>
      <c r="F8586" s="1497">
        <v>131000</v>
      </c>
      <c r="G8586" s="959" t="s">
        <v>56</v>
      </c>
      <c r="H8586" s="3"/>
    </row>
    <row r="8587" spans="1:8">
      <c r="A8587" s="960">
        <v>45905</v>
      </c>
      <c r="B8587" s="959"/>
      <c r="C8587" s="959" t="s">
        <v>4044</v>
      </c>
      <c r="D8587" s="3" t="s">
        <v>4042</v>
      </c>
      <c r="E8587" s="1497"/>
      <c r="F8587" s="1497">
        <v>1799999.99</v>
      </c>
      <c r="G8587" s="959" t="s">
        <v>27</v>
      </c>
      <c r="H8587" s="3"/>
    </row>
    <row r="8588" spans="1:8">
      <c r="A8588" s="960">
        <v>45905</v>
      </c>
      <c r="B8588" s="959"/>
      <c r="C8588" s="959" t="s">
        <v>205</v>
      </c>
      <c r="D8588" s="15" t="s">
        <v>4043</v>
      </c>
      <c r="E8588" s="1497">
        <v>1789626</v>
      </c>
      <c r="F8588" s="1497"/>
      <c r="G8588" s="959" t="s">
        <v>27</v>
      </c>
      <c r="H8588" s="3"/>
    </row>
    <row r="8589" spans="1:8">
      <c r="A8589" s="960">
        <v>45905</v>
      </c>
      <c r="B8589" s="959"/>
      <c r="C8589" s="959" t="s">
        <v>537</v>
      </c>
      <c r="D8589" s="3" t="s">
        <v>219</v>
      </c>
      <c r="E8589" s="1497">
        <v>265000</v>
      </c>
      <c r="F8589" s="1497"/>
      <c r="G8589" s="959" t="s">
        <v>56</v>
      </c>
      <c r="H8589" s="3"/>
    </row>
    <row r="8590" spans="1:8">
      <c r="A8590" s="960">
        <v>45905</v>
      </c>
      <c r="B8590" s="959"/>
      <c r="C8590" s="959" t="s">
        <v>537</v>
      </c>
      <c r="D8590" s="3" t="s">
        <v>208</v>
      </c>
      <c r="E8590" s="1497">
        <v>265000</v>
      </c>
      <c r="F8590" s="1497"/>
      <c r="G8590" s="959" t="s">
        <v>56</v>
      </c>
      <c r="H8590" s="3"/>
    </row>
    <row r="8591" spans="1:8">
      <c r="A8591" s="960">
        <v>45905</v>
      </c>
      <c r="B8591" s="959"/>
      <c r="C8591" s="959" t="s">
        <v>537</v>
      </c>
      <c r="D8591" s="15" t="s">
        <v>144</v>
      </c>
      <c r="E8591" s="1497">
        <v>500000</v>
      </c>
      <c r="F8591" s="1497"/>
      <c r="G8591" s="959" t="s">
        <v>56</v>
      </c>
      <c r="H8591" s="3"/>
    </row>
    <row r="8592" spans="1:8">
      <c r="A8592" s="960">
        <v>45905</v>
      </c>
      <c r="B8592" s="959"/>
      <c r="C8592" s="959" t="s">
        <v>537</v>
      </c>
      <c r="D8592" s="15" t="s">
        <v>193</v>
      </c>
      <c r="E8592" s="1497">
        <v>140000</v>
      </c>
      <c r="F8592" s="1497"/>
      <c r="G8592" s="959" t="s">
        <v>56</v>
      </c>
      <c r="H8592" s="3"/>
    </row>
    <row r="8593" spans="1:8">
      <c r="A8593" s="960">
        <v>45905</v>
      </c>
      <c r="B8593" s="959"/>
      <c r="C8593" s="959" t="s">
        <v>205</v>
      </c>
      <c r="D8593" s="3" t="s">
        <v>4047</v>
      </c>
      <c r="E8593" s="1497">
        <v>3000</v>
      </c>
      <c r="F8593" s="1497"/>
      <c r="G8593" s="959" t="s">
        <v>56</v>
      </c>
      <c r="H8593" s="3"/>
    </row>
    <row r="8594" spans="1:8" ht="15.75" thickBot="1">
      <c r="A8594" s="960">
        <v>45905</v>
      </c>
      <c r="B8594" s="959"/>
      <c r="C8594" s="959" t="s">
        <v>77</v>
      </c>
      <c r="D8594" s="3" t="s">
        <v>3966</v>
      </c>
      <c r="E8594" s="1497"/>
      <c r="F8594" s="1497">
        <v>110000</v>
      </c>
      <c r="G8594" s="959" t="s">
        <v>56</v>
      </c>
      <c r="H8594" s="3"/>
    </row>
    <row r="8595" spans="1:8" ht="15.75" thickBot="1">
      <c r="H8595" s="201">
        <v>45905</v>
      </c>
    </row>
    <row r="8596" spans="1:8">
      <c r="H8596" s="803" t="s">
        <v>3992</v>
      </c>
    </row>
    <row r="8597" spans="1:8">
      <c r="H8597" s="199" t="s">
        <v>4051</v>
      </c>
    </row>
    <row r="8598" spans="1:8">
      <c r="H8598" s="137" t="s">
        <v>4052</v>
      </c>
    </row>
    <row r="8599" spans="1:8">
      <c r="H8599" s="138" t="s">
        <v>4024</v>
      </c>
    </row>
    <row r="8600" spans="1:8">
      <c r="H8600" s="138" t="s">
        <v>4045</v>
      </c>
    </row>
    <row r="8601" spans="1:8">
      <c r="H8601" s="138" t="s">
        <v>4046</v>
      </c>
    </row>
    <row r="8602" spans="1:8">
      <c r="H8602" s="138" t="s">
        <v>4049</v>
      </c>
    </row>
    <row r="8603" spans="1:8">
      <c r="H8603" s="138" t="s">
        <v>4048</v>
      </c>
    </row>
    <row r="8604" spans="1:8">
      <c r="H8604" s="138" t="s">
        <v>4050</v>
      </c>
    </row>
    <row r="8605" spans="1:8" ht="15.75" thickBot="1">
      <c r="H8605" s="139" t="s">
        <v>3759</v>
      </c>
    </row>
    <row r="8606" spans="1:8" ht="15.75" thickBot="1">
      <c r="H8606" s="538" t="s">
        <v>4053</v>
      </c>
    </row>
    <row r="8607" spans="1:8">
      <c r="A8607" s="961">
        <v>45908</v>
      </c>
      <c r="B8607" s="962"/>
      <c r="C8607" s="962" t="s">
        <v>77</v>
      </c>
      <c r="D8607" s="3" t="s">
        <v>4054</v>
      </c>
      <c r="E8607" s="1497"/>
      <c r="F8607" s="1497">
        <v>4500000</v>
      </c>
      <c r="G8607" s="962" t="s">
        <v>27</v>
      </c>
      <c r="H8607" s="183"/>
    </row>
    <row r="8608" spans="1:8">
      <c r="A8608" s="961">
        <v>45908</v>
      </c>
      <c r="B8608" s="962"/>
      <c r="C8608" s="962" t="s">
        <v>79</v>
      </c>
      <c r="D8608" s="3" t="s">
        <v>2355</v>
      </c>
      <c r="E8608" s="1497">
        <v>15000</v>
      </c>
      <c r="F8608" s="1497"/>
      <c r="G8608" s="962" t="s">
        <v>27</v>
      </c>
      <c r="H8608" s="3"/>
    </row>
    <row r="8609" spans="1:8">
      <c r="A8609" s="961">
        <v>45908</v>
      </c>
      <c r="B8609" s="962"/>
      <c r="C8609" s="962" t="s">
        <v>79</v>
      </c>
      <c r="D8609" s="3" t="s">
        <v>3016</v>
      </c>
      <c r="E8609" s="1497">
        <v>10000</v>
      </c>
      <c r="F8609" s="1497"/>
      <c r="G8609" s="962" t="s">
        <v>27</v>
      </c>
      <c r="H8609" s="3"/>
    </row>
    <row r="8610" spans="1:8">
      <c r="A8610" s="961">
        <v>45908</v>
      </c>
      <c r="B8610" s="962"/>
      <c r="C8610" s="962" t="s">
        <v>79</v>
      </c>
      <c r="D8610" s="3" t="s">
        <v>17</v>
      </c>
      <c r="E8610" s="1497">
        <v>86634.66</v>
      </c>
      <c r="F8610" s="1497"/>
      <c r="G8610" s="962" t="s">
        <v>27</v>
      </c>
      <c r="H8610" s="3"/>
    </row>
    <row r="8611" spans="1:8">
      <c r="A8611" s="961">
        <v>45908</v>
      </c>
      <c r="B8611" s="962"/>
      <c r="C8611" s="962" t="s">
        <v>205</v>
      </c>
      <c r="D8611" s="3" t="s">
        <v>970</v>
      </c>
      <c r="E8611" s="1497">
        <v>278621</v>
      </c>
      <c r="F8611" s="1497"/>
      <c r="G8611" s="962" t="s">
        <v>27</v>
      </c>
      <c r="H8611" s="3"/>
    </row>
    <row r="8612" spans="1:8">
      <c r="A8612" s="961">
        <v>45908</v>
      </c>
      <c r="B8612" s="962"/>
      <c r="C8612" s="962" t="s">
        <v>55</v>
      </c>
      <c r="D8612" s="3" t="s">
        <v>1803</v>
      </c>
      <c r="E8612" s="1497">
        <v>5000</v>
      </c>
      <c r="F8612" s="1497"/>
      <c r="G8612" s="962" t="s">
        <v>56</v>
      </c>
      <c r="H8612" s="3"/>
    </row>
    <row r="8613" spans="1:8">
      <c r="A8613" s="961">
        <v>45908</v>
      </c>
      <c r="B8613" s="962"/>
      <c r="C8613" s="962" t="s">
        <v>77</v>
      </c>
      <c r="D8613" s="3" t="s">
        <v>3978</v>
      </c>
      <c r="E8613" s="1497"/>
      <c r="F8613" s="1497">
        <v>322560</v>
      </c>
      <c r="G8613" s="962" t="s">
        <v>56</v>
      </c>
      <c r="H8613" s="3"/>
    </row>
    <row r="8614" spans="1:8">
      <c r="A8614" s="961">
        <v>45908</v>
      </c>
      <c r="B8614" s="962"/>
      <c r="C8614" s="962" t="s">
        <v>92</v>
      </c>
      <c r="D8614" s="3" t="s">
        <v>3978</v>
      </c>
      <c r="E8614" s="1497"/>
      <c r="F8614" s="1497">
        <v>148000</v>
      </c>
      <c r="G8614" s="962" t="s">
        <v>56</v>
      </c>
      <c r="H8614" s="3"/>
    </row>
    <row r="8615" spans="1:8">
      <c r="A8615" s="961">
        <v>45908</v>
      </c>
      <c r="B8615" s="962"/>
      <c r="C8615" s="962" t="s">
        <v>55</v>
      </c>
      <c r="D8615" s="3" t="s">
        <v>70</v>
      </c>
      <c r="E8615" s="1497">
        <v>21894</v>
      </c>
      <c r="F8615" s="1497"/>
      <c r="G8615" s="962" t="s">
        <v>56</v>
      </c>
      <c r="H8615" s="3"/>
    </row>
    <row r="8616" spans="1:8">
      <c r="A8616" s="961">
        <v>45908</v>
      </c>
      <c r="B8616" s="962"/>
      <c r="C8616" s="962" t="s">
        <v>79</v>
      </c>
      <c r="D8616" s="3" t="s">
        <v>4055</v>
      </c>
      <c r="E8616" s="1497">
        <v>90000</v>
      </c>
      <c r="F8616" s="1497"/>
      <c r="G8616" s="962" t="s">
        <v>56</v>
      </c>
      <c r="H8616" s="3"/>
    </row>
    <row r="8617" spans="1:8">
      <c r="A8617" s="961">
        <v>45908</v>
      </c>
      <c r="B8617" s="962"/>
      <c r="C8617" s="962" t="s">
        <v>55</v>
      </c>
      <c r="D8617" s="3" t="s">
        <v>4056</v>
      </c>
      <c r="E8617" s="1497">
        <v>2000</v>
      </c>
      <c r="F8617" s="1497"/>
      <c r="G8617" s="962" t="s">
        <v>56</v>
      </c>
      <c r="H8617" s="3"/>
    </row>
    <row r="8618" spans="1:8">
      <c r="A8618" s="961">
        <v>45908</v>
      </c>
      <c r="B8618" s="962"/>
      <c r="C8618" s="962" t="s">
        <v>79</v>
      </c>
      <c r="D8618" s="3" t="s">
        <v>4057</v>
      </c>
      <c r="E8618" s="1497">
        <v>200000</v>
      </c>
      <c r="F8618" s="1497"/>
      <c r="G8618" s="962" t="s">
        <v>56</v>
      </c>
      <c r="H8618" s="3"/>
    </row>
    <row r="8619" spans="1:8">
      <c r="A8619" s="961">
        <v>45908</v>
      </c>
      <c r="B8619" s="962"/>
      <c r="C8619" s="962" t="s">
        <v>79</v>
      </c>
      <c r="D8619" s="3" t="s">
        <v>4058</v>
      </c>
      <c r="E8619" s="1497">
        <v>44000</v>
      </c>
      <c r="F8619" s="1497"/>
      <c r="G8619" s="962" t="s">
        <v>56</v>
      </c>
      <c r="H8619" s="3"/>
    </row>
    <row r="8620" spans="1:8">
      <c r="A8620" s="961">
        <v>45909</v>
      </c>
      <c r="B8620" s="962"/>
      <c r="C8620" s="962" t="s">
        <v>76</v>
      </c>
      <c r="D8620" s="3" t="s">
        <v>2635</v>
      </c>
      <c r="E8620" s="1497"/>
      <c r="F8620" s="1497">
        <v>1536000</v>
      </c>
      <c r="G8620" s="962" t="s">
        <v>27</v>
      </c>
      <c r="H8620" s="3"/>
    </row>
    <row r="8621" spans="1:8">
      <c r="A8621" s="964">
        <v>45909</v>
      </c>
      <c r="B8621" s="962"/>
      <c r="C8621" s="962" t="s">
        <v>77</v>
      </c>
      <c r="D8621" s="3" t="s">
        <v>2635</v>
      </c>
      <c r="E8621" s="1497"/>
      <c r="F8621" s="1497">
        <v>2877020</v>
      </c>
      <c r="G8621" s="962" t="s">
        <v>287</v>
      </c>
      <c r="H8621" s="3" t="s">
        <v>4059</v>
      </c>
    </row>
    <row r="8622" spans="1:8">
      <c r="A8622" s="964">
        <v>45909</v>
      </c>
      <c r="B8622" s="962"/>
      <c r="C8622" s="962" t="s">
        <v>4061</v>
      </c>
      <c r="D8622" s="3" t="s">
        <v>4060</v>
      </c>
      <c r="E8622" s="1497">
        <v>616191.07999999996</v>
      </c>
      <c r="F8622" s="1497"/>
      <c r="G8622" s="962" t="s">
        <v>27</v>
      </c>
      <c r="H8622" s="3"/>
    </row>
    <row r="8623" spans="1:8">
      <c r="A8623" s="964">
        <v>45909</v>
      </c>
      <c r="B8623" s="963"/>
      <c r="C8623" s="963" t="s">
        <v>150</v>
      </c>
      <c r="D8623" s="3" t="s">
        <v>3963</v>
      </c>
      <c r="E8623" s="1497">
        <v>318364.61</v>
      </c>
      <c r="F8623" s="1497"/>
      <c r="G8623" s="963" t="s">
        <v>108</v>
      </c>
      <c r="H8623" s="3"/>
    </row>
    <row r="8624" spans="1:8">
      <c r="A8624" s="964">
        <v>45909</v>
      </c>
      <c r="B8624" s="963"/>
      <c r="C8624" s="963" t="s">
        <v>150</v>
      </c>
      <c r="D8624" s="3" t="s">
        <v>4062</v>
      </c>
      <c r="E8624" s="1497">
        <v>67068.149999999994</v>
      </c>
      <c r="F8624" s="1497"/>
      <c r="G8624" s="963" t="s">
        <v>108</v>
      </c>
      <c r="H8624" s="3"/>
    </row>
    <row r="8625" spans="1:8">
      <c r="A8625" s="964">
        <v>45909</v>
      </c>
      <c r="B8625" s="963"/>
      <c r="C8625" s="963" t="s">
        <v>150</v>
      </c>
      <c r="D8625" s="15" t="s">
        <v>4063</v>
      </c>
      <c r="E8625" s="1497">
        <v>2947.71</v>
      </c>
      <c r="F8625" s="1497"/>
      <c r="G8625" s="963" t="s">
        <v>108</v>
      </c>
      <c r="H8625" s="3"/>
    </row>
    <row r="8626" spans="1:8">
      <c r="A8626" s="964">
        <v>45909</v>
      </c>
      <c r="B8626" s="963"/>
      <c r="C8626" s="963" t="s">
        <v>150</v>
      </c>
      <c r="D8626" s="15" t="s">
        <v>4064</v>
      </c>
      <c r="E8626" s="1497">
        <v>1007.52</v>
      </c>
      <c r="F8626" s="1497"/>
      <c r="G8626" s="963" t="s">
        <v>108</v>
      </c>
      <c r="H8626" s="3"/>
    </row>
    <row r="8627" spans="1:8">
      <c r="A8627" s="965">
        <v>45909</v>
      </c>
      <c r="B8627" s="966"/>
      <c r="C8627" s="966" t="s">
        <v>205</v>
      </c>
      <c r="D8627" s="3" t="s">
        <v>3980</v>
      </c>
      <c r="E8627" s="1497">
        <v>95000</v>
      </c>
      <c r="F8627" s="1497"/>
      <c r="G8627" s="966" t="s">
        <v>56</v>
      </c>
      <c r="H8627" s="45" t="s">
        <v>4065</v>
      </c>
    </row>
    <row r="8628" spans="1:8">
      <c r="A8628" s="965">
        <v>45909</v>
      </c>
      <c r="B8628" s="966"/>
      <c r="C8628" s="966" t="s">
        <v>4066</v>
      </c>
      <c r="D8628" s="3" t="s">
        <v>1861</v>
      </c>
      <c r="E8628" s="1497"/>
      <c r="F8628" s="1497">
        <v>170960</v>
      </c>
      <c r="G8628" s="966" t="s">
        <v>27</v>
      </c>
      <c r="H8628" s="3"/>
    </row>
    <row r="8629" spans="1:8">
      <c r="A8629" s="965">
        <v>45909</v>
      </c>
      <c r="B8629" s="966"/>
      <c r="C8629" s="966" t="s">
        <v>4066</v>
      </c>
      <c r="D8629" s="3" t="s">
        <v>1861</v>
      </c>
      <c r="E8629" s="1497">
        <v>170960</v>
      </c>
      <c r="F8629" s="1497"/>
      <c r="G8629" s="966" t="s">
        <v>27</v>
      </c>
      <c r="H8629" s="3"/>
    </row>
    <row r="8630" spans="1:8">
      <c r="A8630" s="965">
        <v>45909</v>
      </c>
      <c r="B8630" s="966"/>
      <c r="C8630" s="966" t="s">
        <v>176</v>
      </c>
      <c r="D8630" s="3" t="s">
        <v>4067</v>
      </c>
      <c r="E8630" s="1497">
        <v>140000</v>
      </c>
      <c r="F8630" s="1497"/>
      <c r="G8630" s="966" t="s">
        <v>27</v>
      </c>
      <c r="H8630" s="3"/>
    </row>
    <row r="8631" spans="1:8">
      <c r="A8631" s="965">
        <v>45910</v>
      </c>
      <c r="B8631" s="966"/>
      <c r="C8631" s="966" t="s">
        <v>205</v>
      </c>
      <c r="D8631" s="3" t="s">
        <v>448</v>
      </c>
      <c r="E8631" s="1497">
        <v>1555000</v>
      </c>
      <c r="F8631" s="1497"/>
      <c r="G8631" s="966" t="s">
        <v>72</v>
      </c>
      <c r="H8631" s="3"/>
    </row>
    <row r="8632" spans="1:8">
      <c r="A8632" s="965">
        <v>45910</v>
      </c>
      <c r="B8632" s="966"/>
      <c r="C8632" s="966" t="s">
        <v>205</v>
      </c>
      <c r="D8632" s="3" t="s">
        <v>448</v>
      </c>
      <c r="E8632" s="1497">
        <v>58451</v>
      </c>
      <c r="F8632" s="1497"/>
      <c r="G8632" s="966" t="s">
        <v>72</v>
      </c>
      <c r="H8632" s="3"/>
    </row>
    <row r="8633" spans="1:8">
      <c r="A8633" s="965">
        <v>45910</v>
      </c>
      <c r="B8633" s="966"/>
      <c r="C8633" s="966" t="s">
        <v>205</v>
      </c>
      <c r="D8633" s="3" t="s">
        <v>448</v>
      </c>
      <c r="E8633" s="1497">
        <v>41443.21</v>
      </c>
      <c r="F8633" s="1497"/>
      <c r="G8633" s="966" t="s">
        <v>72</v>
      </c>
      <c r="H8633" s="3"/>
    </row>
    <row r="8634" spans="1:8">
      <c r="A8634" s="968">
        <v>45911</v>
      </c>
      <c r="B8634" s="966"/>
      <c r="C8634" s="966" t="s">
        <v>90</v>
      </c>
      <c r="D8634" s="3" t="s">
        <v>1951</v>
      </c>
      <c r="E8634" s="1497">
        <v>15000</v>
      </c>
      <c r="F8634" s="1497"/>
      <c r="G8634" s="966" t="s">
        <v>56</v>
      </c>
      <c r="H8634" s="3"/>
    </row>
    <row r="8635" spans="1:8">
      <c r="A8635" s="968">
        <v>45911</v>
      </c>
      <c r="B8635" s="966"/>
      <c r="C8635" s="966" t="s">
        <v>150</v>
      </c>
      <c r="D8635" s="3" t="s">
        <v>4072</v>
      </c>
      <c r="E8635" s="1497">
        <v>1100</v>
      </c>
      <c r="F8635" s="1497"/>
      <c r="G8635" s="966" t="s">
        <v>4071</v>
      </c>
      <c r="H8635" s="3"/>
    </row>
    <row r="8636" spans="1:8">
      <c r="A8636" s="968">
        <v>45911</v>
      </c>
      <c r="B8636" s="966"/>
      <c r="C8636" s="967" t="s">
        <v>150</v>
      </c>
      <c r="D8636" s="3" t="s">
        <v>4072</v>
      </c>
      <c r="E8636" s="1497"/>
      <c r="F8636" s="1497">
        <v>1528978</v>
      </c>
      <c r="G8636" s="966" t="s">
        <v>27</v>
      </c>
      <c r="H8636" s="3"/>
    </row>
    <row r="8637" spans="1:8">
      <c r="A8637" s="968">
        <v>45911</v>
      </c>
      <c r="B8637" s="967"/>
      <c r="C8637" s="967" t="s">
        <v>29</v>
      </c>
      <c r="D8637" s="3" t="s">
        <v>3296</v>
      </c>
      <c r="E8637" s="1497">
        <v>1175000</v>
      </c>
      <c r="F8637" s="1497"/>
      <c r="G8637" s="967" t="s">
        <v>27</v>
      </c>
      <c r="H8637" s="3"/>
    </row>
    <row r="8638" spans="1:8">
      <c r="A8638" s="968">
        <v>45911</v>
      </c>
      <c r="B8638" s="967"/>
      <c r="C8638" s="967" t="s">
        <v>150</v>
      </c>
      <c r="D8638" s="3" t="s">
        <v>4068</v>
      </c>
      <c r="E8638" s="1497">
        <v>300000</v>
      </c>
      <c r="F8638" s="1497"/>
      <c r="G8638" s="967" t="s">
        <v>27</v>
      </c>
      <c r="H8638" s="3"/>
    </row>
    <row r="8639" spans="1:8">
      <c r="A8639" s="968">
        <v>45911</v>
      </c>
      <c r="B8639" s="967"/>
      <c r="C8639" s="967" t="s">
        <v>150</v>
      </c>
      <c r="D8639" s="3" t="s">
        <v>4068</v>
      </c>
      <c r="E8639" s="1497"/>
      <c r="F8639" s="1497">
        <v>30000</v>
      </c>
      <c r="G8639" s="967" t="s">
        <v>108</v>
      </c>
      <c r="H8639" s="3"/>
    </row>
    <row r="8640" spans="1:8">
      <c r="A8640" s="968">
        <v>45911</v>
      </c>
      <c r="B8640" s="967"/>
      <c r="C8640" s="967" t="s">
        <v>55</v>
      </c>
      <c r="D8640" s="3" t="s">
        <v>4069</v>
      </c>
      <c r="E8640" s="1497">
        <v>30000</v>
      </c>
      <c r="F8640" s="1497"/>
      <c r="G8640" s="967" t="s">
        <v>56</v>
      </c>
      <c r="H8640" s="3"/>
    </row>
    <row r="8641" spans="1:8">
      <c r="A8641" s="968">
        <v>45911</v>
      </c>
      <c r="B8641" s="967"/>
      <c r="C8641" s="967" t="s">
        <v>3021</v>
      </c>
      <c r="D8641" s="3" t="s">
        <v>3749</v>
      </c>
      <c r="E8641" s="1497">
        <v>30000</v>
      </c>
      <c r="F8641" s="1497"/>
      <c r="G8641" s="967" t="s">
        <v>27</v>
      </c>
      <c r="H8641" s="3"/>
    </row>
    <row r="8642" spans="1:8">
      <c r="A8642" s="968">
        <v>45911</v>
      </c>
      <c r="B8642" s="967"/>
      <c r="C8642" s="967" t="s">
        <v>29</v>
      </c>
      <c r="D8642" s="3" t="s">
        <v>238</v>
      </c>
      <c r="E8642" s="1497">
        <v>136400.84</v>
      </c>
      <c r="F8642" s="1497"/>
      <c r="G8642" s="967" t="s">
        <v>27</v>
      </c>
      <c r="H8642" s="3"/>
    </row>
    <row r="8643" spans="1:8">
      <c r="A8643" s="968">
        <v>45911</v>
      </c>
      <c r="B8643" s="967"/>
      <c r="C8643" s="967" t="s">
        <v>79</v>
      </c>
      <c r="D8643" s="15" t="s">
        <v>633</v>
      </c>
      <c r="E8643" s="1497">
        <v>3000</v>
      </c>
      <c r="F8643" s="1497"/>
      <c r="G8643" s="967" t="s">
        <v>56</v>
      </c>
      <c r="H8643" s="3"/>
    </row>
    <row r="8644" spans="1:8">
      <c r="A8644" s="968">
        <v>45911</v>
      </c>
      <c r="B8644" s="967"/>
      <c r="C8644" s="967" t="s">
        <v>79</v>
      </c>
      <c r="D8644" s="3" t="s">
        <v>4070</v>
      </c>
      <c r="E8644" s="1497">
        <v>5000</v>
      </c>
      <c r="F8644" s="1497"/>
      <c r="G8644" s="967" t="s">
        <v>56</v>
      </c>
      <c r="H8644" s="3"/>
    </row>
    <row r="8645" spans="1:8">
      <c r="A8645" s="968">
        <v>45911</v>
      </c>
      <c r="B8645" s="967"/>
      <c r="C8645" s="967" t="s">
        <v>55</v>
      </c>
      <c r="D8645" s="3" t="s">
        <v>514</v>
      </c>
      <c r="E8645" s="1497">
        <v>15000</v>
      </c>
      <c r="F8645" s="1497"/>
      <c r="G8645" s="967" t="s">
        <v>56</v>
      </c>
      <c r="H8645" s="3"/>
    </row>
    <row r="8646" spans="1:8">
      <c r="A8646" s="969">
        <v>45912</v>
      </c>
      <c r="B8646" s="967"/>
      <c r="C8646" s="967" t="s">
        <v>92</v>
      </c>
      <c r="D8646" s="3" t="s">
        <v>956</v>
      </c>
      <c r="E8646" s="1497"/>
      <c r="F8646" s="1497">
        <v>150000</v>
      </c>
      <c r="G8646" s="967" t="s">
        <v>56</v>
      </c>
      <c r="H8646" s="3"/>
    </row>
    <row r="8647" spans="1:8">
      <c r="A8647" s="969">
        <v>45912</v>
      </c>
      <c r="B8647" s="967"/>
      <c r="C8647" s="967" t="s">
        <v>79</v>
      </c>
      <c r="D8647" s="3" t="s">
        <v>79</v>
      </c>
      <c r="E8647" s="1497">
        <v>25000</v>
      </c>
      <c r="F8647" s="1497"/>
      <c r="G8647" s="967" t="s">
        <v>56</v>
      </c>
      <c r="H8647" s="3"/>
    </row>
    <row r="8648" spans="1:8">
      <c r="A8648" s="969">
        <v>45912</v>
      </c>
      <c r="B8648" s="967"/>
      <c r="C8648" s="967" t="s">
        <v>92</v>
      </c>
      <c r="D8648" s="3" t="s">
        <v>4073</v>
      </c>
      <c r="E8648" s="1497"/>
      <c r="F8648" s="1497">
        <v>54000</v>
      </c>
      <c r="G8648" s="967" t="s">
        <v>27</v>
      </c>
      <c r="H8648" s="3"/>
    </row>
    <row r="8649" spans="1:8">
      <c r="A8649" s="969">
        <v>45912</v>
      </c>
      <c r="B8649" s="967"/>
      <c r="C8649" s="967" t="s">
        <v>730</v>
      </c>
      <c r="D8649" s="3" t="s">
        <v>3888</v>
      </c>
      <c r="E8649" s="1497">
        <v>150000</v>
      </c>
      <c r="F8649" s="1497"/>
      <c r="G8649" s="967" t="s">
        <v>56</v>
      </c>
      <c r="H8649" s="3"/>
    </row>
    <row r="8650" spans="1:8">
      <c r="A8650" s="969">
        <v>45912</v>
      </c>
      <c r="B8650" s="967"/>
      <c r="C8650" s="967" t="s">
        <v>4075</v>
      </c>
      <c r="D8650" s="3" t="s">
        <v>4074</v>
      </c>
      <c r="E8650" s="1497">
        <v>50000</v>
      </c>
      <c r="F8650" s="1497"/>
      <c r="G8650" s="967" t="s">
        <v>56</v>
      </c>
      <c r="H8650" s="3"/>
    </row>
    <row r="8651" spans="1:8" ht="16.5">
      <c r="A8651" s="969">
        <v>45912</v>
      </c>
      <c r="B8651" s="967"/>
      <c r="C8651" s="967" t="s">
        <v>77</v>
      </c>
      <c r="D8651" s="3" t="s">
        <v>3973</v>
      </c>
      <c r="E8651" s="1469"/>
      <c r="F8651" s="1497">
        <v>46500</v>
      </c>
      <c r="G8651" s="967" t="s">
        <v>27</v>
      </c>
      <c r="H8651" s="3"/>
    </row>
    <row r="8652" spans="1:8">
      <c r="A8652" s="969">
        <v>45912</v>
      </c>
      <c r="B8652" s="967"/>
      <c r="C8652" s="967" t="s">
        <v>537</v>
      </c>
      <c r="D8652" s="3" t="s">
        <v>208</v>
      </c>
      <c r="E8652" s="1497">
        <v>265000</v>
      </c>
      <c r="F8652" s="1497"/>
      <c r="G8652" s="967" t="s">
        <v>56</v>
      </c>
      <c r="H8652" s="3"/>
    </row>
    <row r="8653" spans="1:8">
      <c r="A8653" s="969">
        <v>45912</v>
      </c>
      <c r="B8653" s="970"/>
      <c r="C8653" s="970" t="s">
        <v>537</v>
      </c>
      <c r="D8653" s="3" t="s">
        <v>144</v>
      </c>
      <c r="E8653" s="1497">
        <v>500000</v>
      </c>
      <c r="F8653" s="1497"/>
      <c r="G8653" s="970" t="s">
        <v>56</v>
      </c>
      <c r="H8653" s="3"/>
    </row>
    <row r="8654" spans="1:8">
      <c r="A8654" s="973">
        <v>45912</v>
      </c>
      <c r="B8654" s="974"/>
      <c r="C8654" s="974" t="s">
        <v>537</v>
      </c>
      <c r="D8654" s="3" t="s">
        <v>193</v>
      </c>
      <c r="E8654" s="1497">
        <v>140000</v>
      </c>
      <c r="F8654" s="1497"/>
      <c r="G8654" s="974" t="s">
        <v>56</v>
      </c>
      <c r="H8654" s="3"/>
    </row>
    <row r="8655" spans="1:8">
      <c r="A8655" s="973">
        <v>45912</v>
      </c>
      <c r="B8655" s="974"/>
      <c r="C8655" s="974" t="s">
        <v>537</v>
      </c>
      <c r="D8655" s="3" t="s">
        <v>219</v>
      </c>
      <c r="E8655" s="1497">
        <v>265000</v>
      </c>
      <c r="F8655" s="1497"/>
      <c r="G8655" s="974" t="s">
        <v>56</v>
      </c>
      <c r="H8655" s="3"/>
    </row>
    <row r="8656" spans="1:8">
      <c r="A8656" s="973">
        <v>45912</v>
      </c>
      <c r="B8656" s="974"/>
      <c r="C8656" s="974" t="s">
        <v>205</v>
      </c>
      <c r="D8656" s="15" t="s">
        <v>448</v>
      </c>
      <c r="E8656" s="1497">
        <v>200000</v>
      </c>
      <c r="F8656" s="1497"/>
      <c r="G8656" s="974" t="s">
        <v>27</v>
      </c>
      <c r="H8656" s="3"/>
    </row>
    <row r="8657" spans="1:8" ht="15.75" thickBot="1">
      <c r="H8657" s="209">
        <v>45912</v>
      </c>
    </row>
    <row r="8658" spans="1:8">
      <c r="H8658" s="803" t="s">
        <v>4078</v>
      </c>
    </row>
    <row r="8659" spans="1:8">
      <c r="H8659" s="199" t="s">
        <v>4077</v>
      </c>
    </row>
    <row r="8660" spans="1:8">
      <c r="H8660" s="137" t="s">
        <v>4076</v>
      </c>
    </row>
    <row r="8661" spans="1:8">
      <c r="H8661" s="138" t="s">
        <v>3990</v>
      </c>
    </row>
    <row r="8662" spans="1:8">
      <c r="H8662" s="138" t="s">
        <v>4081</v>
      </c>
    </row>
    <row r="8663" spans="1:8">
      <c r="H8663" s="138" t="s">
        <v>4082</v>
      </c>
    </row>
    <row r="8664" spans="1:8">
      <c r="H8664" s="138" t="s">
        <v>4079</v>
      </c>
    </row>
    <row r="8665" spans="1:8">
      <c r="H8665" s="138" t="s">
        <v>3933</v>
      </c>
    </row>
    <row r="8666" spans="1:8">
      <c r="H8666" s="139" t="s">
        <v>4080</v>
      </c>
    </row>
    <row r="8667" spans="1:8">
      <c r="A8667" s="972">
        <v>45915</v>
      </c>
      <c r="B8667" s="971"/>
      <c r="C8667" s="971" t="s">
        <v>94</v>
      </c>
      <c r="D8667" s="3" t="s">
        <v>13</v>
      </c>
      <c r="E8667" s="1497">
        <v>141726.01</v>
      </c>
      <c r="F8667" s="1497"/>
      <c r="G8667" s="971" t="s">
        <v>27</v>
      </c>
      <c r="H8667" s="3"/>
    </row>
    <row r="8668" spans="1:8">
      <c r="A8668" s="972">
        <v>45915</v>
      </c>
      <c r="B8668" s="971"/>
      <c r="C8668" s="971" t="s">
        <v>94</v>
      </c>
      <c r="D8668" s="3" t="s">
        <v>15</v>
      </c>
      <c r="E8668" s="1497">
        <v>138491.17000000001</v>
      </c>
      <c r="F8668" s="1497"/>
      <c r="G8668" s="971" t="s">
        <v>27</v>
      </c>
      <c r="H8668" s="3"/>
    </row>
    <row r="8669" spans="1:8">
      <c r="A8669" s="972">
        <v>45915</v>
      </c>
      <c r="B8669" s="971"/>
      <c r="C8669" s="971" t="s">
        <v>86</v>
      </c>
      <c r="D8669" s="3" t="s">
        <v>3440</v>
      </c>
      <c r="E8669" s="1497">
        <v>30000</v>
      </c>
      <c r="F8669" s="1497"/>
      <c r="G8669" s="971" t="s">
        <v>56</v>
      </c>
      <c r="H8669" s="3"/>
    </row>
    <row r="8670" spans="1:8">
      <c r="A8670" s="972">
        <v>45915</v>
      </c>
      <c r="B8670" s="971"/>
      <c r="C8670" s="971" t="s">
        <v>79</v>
      </c>
      <c r="D8670" s="3" t="s">
        <v>79</v>
      </c>
      <c r="E8670" s="1497">
        <v>10000</v>
      </c>
      <c r="F8670" s="1497"/>
      <c r="G8670" s="971" t="s">
        <v>56</v>
      </c>
      <c r="H8670" s="3"/>
    </row>
    <row r="8671" spans="1:8">
      <c r="A8671" s="972">
        <v>45915</v>
      </c>
      <c r="B8671" s="971"/>
      <c r="C8671" s="971" t="s">
        <v>90</v>
      </c>
      <c r="D8671" s="3" t="s">
        <v>4084</v>
      </c>
      <c r="E8671" s="1497">
        <v>120000</v>
      </c>
      <c r="F8671" s="1497"/>
      <c r="G8671" s="971" t="s">
        <v>27</v>
      </c>
      <c r="H8671" s="3"/>
    </row>
    <row r="8672" spans="1:8">
      <c r="A8672" s="972">
        <v>45915</v>
      </c>
      <c r="B8672" s="971"/>
      <c r="C8672" s="971" t="s">
        <v>90</v>
      </c>
      <c r="D8672" s="3" t="s">
        <v>4083</v>
      </c>
      <c r="E8672" s="1497">
        <v>33500</v>
      </c>
      <c r="F8672" s="1497"/>
      <c r="G8672" s="971" t="s">
        <v>27</v>
      </c>
      <c r="H8672" s="3"/>
    </row>
    <row r="8673" spans="1:8">
      <c r="A8673" s="972">
        <v>45915</v>
      </c>
      <c r="B8673" s="971"/>
      <c r="C8673" s="971" t="s">
        <v>77</v>
      </c>
      <c r="D8673" s="3" t="s">
        <v>4085</v>
      </c>
      <c r="E8673" s="1497"/>
      <c r="F8673" s="1497">
        <v>791300</v>
      </c>
      <c r="G8673" s="971" t="s">
        <v>27</v>
      </c>
      <c r="H8673" s="3"/>
    </row>
    <row r="8674" spans="1:8">
      <c r="A8674" s="972">
        <v>45915</v>
      </c>
      <c r="B8674" s="971"/>
      <c r="C8674" s="971" t="s">
        <v>103</v>
      </c>
      <c r="D8674" s="3" t="s">
        <v>22</v>
      </c>
      <c r="E8674" s="1497">
        <v>56232.62</v>
      </c>
      <c r="F8674" s="1497"/>
      <c r="G8674" s="971" t="s">
        <v>27</v>
      </c>
      <c r="H8674" s="3"/>
    </row>
    <row r="8675" spans="1:8">
      <c r="A8675" s="972">
        <v>45916</v>
      </c>
      <c r="B8675" s="971"/>
      <c r="C8675" s="971" t="s">
        <v>156</v>
      </c>
      <c r="D8675" s="3" t="s">
        <v>3907</v>
      </c>
      <c r="E8675" s="1497">
        <v>391793.88</v>
      </c>
      <c r="F8675" s="1497"/>
      <c r="G8675" s="974" t="s">
        <v>27</v>
      </c>
      <c r="H8675" s="3"/>
    </row>
    <row r="8676" spans="1:8">
      <c r="A8676" s="973">
        <v>45916</v>
      </c>
      <c r="B8676" s="971"/>
      <c r="C8676" s="971" t="s">
        <v>156</v>
      </c>
      <c r="D8676" s="3" t="s">
        <v>3907</v>
      </c>
      <c r="E8676" s="1497">
        <v>6278.87</v>
      </c>
      <c r="F8676" s="1497"/>
      <c r="G8676" s="974" t="s">
        <v>27</v>
      </c>
      <c r="H8676" s="3"/>
    </row>
    <row r="8677" spans="1:8">
      <c r="A8677" s="973">
        <v>45916</v>
      </c>
      <c r="B8677" s="971"/>
      <c r="C8677" s="971" t="s">
        <v>65</v>
      </c>
      <c r="D8677" s="3" t="s">
        <v>787</v>
      </c>
      <c r="E8677" s="1497">
        <v>85100</v>
      </c>
      <c r="F8677" s="1497"/>
      <c r="G8677" s="971" t="s">
        <v>27</v>
      </c>
      <c r="H8677" s="3"/>
    </row>
    <row r="8678" spans="1:8">
      <c r="A8678" s="973">
        <v>45916</v>
      </c>
      <c r="B8678" s="971"/>
      <c r="C8678" s="971" t="s">
        <v>730</v>
      </c>
      <c r="D8678" s="3" t="s">
        <v>3888</v>
      </c>
      <c r="E8678" s="1497">
        <v>150000</v>
      </c>
      <c r="F8678" s="1497"/>
      <c r="G8678" s="971" t="s">
        <v>27</v>
      </c>
      <c r="H8678" s="3"/>
    </row>
    <row r="8679" spans="1:8">
      <c r="A8679" s="973">
        <v>45916</v>
      </c>
      <c r="B8679" s="971"/>
      <c r="C8679" s="971" t="s">
        <v>3046</v>
      </c>
      <c r="D8679" s="3" t="s">
        <v>2841</v>
      </c>
      <c r="E8679" s="1497">
        <v>50000</v>
      </c>
      <c r="F8679" s="1497"/>
      <c r="G8679" s="971" t="s">
        <v>27</v>
      </c>
      <c r="H8679" s="3"/>
    </row>
    <row r="8680" spans="1:8">
      <c r="A8680" s="973">
        <v>45916</v>
      </c>
      <c r="B8680" s="971"/>
      <c r="C8680" s="971" t="s">
        <v>90</v>
      </c>
      <c r="D8680" s="3" t="s">
        <v>4086</v>
      </c>
      <c r="E8680" s="1497">
        <v>123972.5</v>
      </c>
      <c r="F8680" s="1497"/>
      <c r="G8680" s="974" t="s">
        <v>27</v>
      </c>
      <c r="H8680" s="3"/>
    </row>
    <row r="8681" spans="1:8">
      <c r="A8681" s="973">
        <v>45916</v>
      </c>
      <c r="B8681" s="971"/>
      <c r="C8681" s="971" t="s">
        <v>205</v>
      </c>
      <c r="D8681" s="3" t="s">
        <v>448</v>
      </c>
      <c r="E8681" s="1497">
        <v>630000</v>
      </c>
      <c r="F8681" s="1497"/>
      <c r="G8681" s="971" t="s">
        <v>27</v>
      </c>
      <c r="H8681" s="3"/>
    </row>
    <row r="8682" spans="1:8">
      <c r="A8682" s="976">
        <v>45917</v>
      </c>
      <c r="B8682" s="975"/>
      <c r="C8682" s="975" t="s">
        <v>86</v>
      </c>
      <c r="D8682" s="3" t="s">
        <v>3749</v>
      </c>
      <c r="E8682" s="1497">
        <v>20000</v>
      </c>
      <c r="F8682" s="1497"/>
      <c r="G8682" s="975" t="s">
        <v>27</v>
      </c>
      <c r="H8682" s="3"/>
    </row>
    <row r="8683" spans="1:8">
      <c r="A8683" s="978">
        <v>45917</v>
      </c>
      <c r="B8683" s="975"/>
      <c r="C8683" s="975" t="s">
        <v>205</v>
      </c>
      <c r="D8683" s="3" t="s">
        <v>448</v>
      </c>
      <c r="E8683" s="1497">
        <v>1300000</v>
      </c>
      <c r="F8683" s="1497"/>
      <c r="G8683" s="975" t="s">
        <v>27</v>
      </c>
      <c r="H8683" s="3"/>
    </row>
    <row r="8684" spans="1:8">
      <c r="A8684" s="978">
        <v>45917</v>
      </c>
      <c r="B8684" s="975"/>
      <c r="C8684" s="977" t="s">
        <v>205</v>
      </c>
      <c r="D8684" s="3" t="s">
        <v>448</v>
      </c>
      <c r="E8684" s="1497">
        <v>2876900</v>
      </c>
      <c r="F8684" s="1497"/>
      <c r="G8684" s="975" t="s">
        <v>287</v>
      </c>
      <c r="H8684" s="45" t="s">
        <v>4087</v>
      </c>
    </row>
    <row r="8685" spans="1:8">
      <c r="A8685" s="978">
        <v>45917</v>
      </c>
      <c r="B8685" s="975"/>
      <c r="C8685" s="977" t="s">
        <v>205</v>
      </c>
      <c r="D8685" s="3" t="s">
        <v>448</v>
      </c>
      <c r="E8685" s="1497">
        <v>1190430.4099999999</v>
      </c>
      <c r="F8685" s="1497"/>
      <c r="G8685" s="977" t="s">
        <v>287</v>
      </c>
      <c r="H8685" s="45" t="s">
        <v>4088</v>
      </c>
    </row>
    <row r="8686" spans="1:8">
      <c r="A8686" s="978">
        <v>45918</v>
      </c>
      <c r="B8686" s="975"/>
      <c r="C8686" s="975" t="s">
        <v>86</v>
      </c>
      <c r="D8686" s="3" t="s">
        <v>107</v>
      </c>
      <c r="E8686" s="1497">
        <v>30000</v>
      </c>
      <c r="F8686" s="1497"/>
      <c r="G8686" s="975" t="s">
        <v>56</v>
      </c>
      <c r="H8686" s="3"/>
    </row>
    <row r="8687" spans="1:8">
      <c r="A8687" s="978">
        <v>45918</v>
      </c>
      <c r="B8687" s="975"/>
      <c r="C8687" s="975" t="s">
        <v>90</v>
      </c>
      <c r="D8687" s="3" t="s">
        <v>1951</v>
      </c>
      <c r="E8687" s="1497">
        <v>15000</v>
      </c>
      <c r="F8687" s="1497"/>
      <c r="G8687" s="977" t="s">
        <v>56</v>
      </c>
      <c r="H8687" s="3"/>
    </row>
    <row r="8688" spans="1:8">
      <c r="A8688" s="978">
        <v>45918</v>
      </c>
      <c r="B8688" s="975"/>
      <c r="C8688" s="975" t="s">
        <v>76</v>
      </c>
      <c r="D8688" s="3" t="s">
        <v>2872</v>
      </c>
      <c r="E8688" s="1497">
        <v>198000</v>
      </c>
      <c r="F8688" s="1497"/>
      <c r="G8688" s="975" t="s">
        <v>72</v>
      </c>
      <c r="H8688" s="3"/>
    </row>
    <row r="8689" spans="1:8">
      <c r="A8689" s="978">
        <v>45918</v>
      </c>
      <c r="B8689" s="975"/>
      <c r="C8689" s="975" t="s">
        <v>76</v>
      </c>
      <c r="D8689" s="3" t="s">
        <v>2872</v>
      </c>
      <c r="E8689" s="1497">
        <v>400000</v>
      </c>
      <c r="F8689" s="1497"/>
      <c r="G8689" s="975" t="s">
        <v>4089</v>
      </c>
      <c r="H8689" s="3"/>
    </row>
    <row r="8690" spans="1:8">
      <c r="A8690" s="978">
        <v>45918</v>
      </c>
      <c r="B8690" s="975"/>
      <c r="C8690" s="975" t="s">
        <v>29</v>
      </c>
      <c r="D8690" s="3" t="s">
        <v>38</v>
      </c>
      <c r="E8690" s="1497">
        <v>9800</v>
      </c>
      <c r="F8690" s="1497"/>
      <c r="G8690" s="975" t="s">
        <v>56</v>
      </c>
      <c r="H8690" s="3"/>
    </row>
    <row r="8691" spans="1:8">
      <c r="A8691" s="978">
        <v>45918</v>
      </c>
      <c r="B8691" s="975"/>
      <c r="C8691" s="975" t="s">
        <v>65</v>
      </c>
      <c r="D8691" s="3" t="s">
        <v>4090</v>
      </c>
      <c r="E8691" s="1497">
        <v>5000</v>
      </c>
      <c r="F8691" s="1497"/>
      <c r="G8691" s="975" t="s">
        <v>56</v>
      </c>
      <c r="H8691" s="3"/>
    </row>
    <row r="8692" spans="1:8">
      <c r="A8692" s="978">
        <v>45918</v>
      </c>
      <c r="B8692" s="975"/>
      <c r="C8692" s="975" t="s">
        <v>537</v>
      </c>
      <c r="D8692" s="3" t="s">
        <v>208</v>
      </c>
      <c r="E8692" s="1497">
        <v>40000</v>
      </c>
      <c r="F8692" s="1497"/>
      <c r="G8692" s="975" t="s">
        <v>56</v>
      </c>
      <c r="H8692" s="3"/>
    </row>
    <row r="8693" spans="1:8">
      <c r="A8693" s="978">
        <v>45918</v>
      </c>
      <c r="B8693" s="977"/>
      <c r="C8693" s="977" t="s">
        <v>77</v>
      </c>
      <c r="D8693" s="3" t="s">
        <v>4011</v>
      </c>
      <c r="E8693" s="1497"/>
      <c r="F8693" s="1497">
        <v>185000</v>
      </c>
      <c r="G8693" s="977" t="s">
        <v>72</v>
      </c>
      <c r="H8693" s="3"/>
    </row>
    <row r="8694" spans="1:8">
      <c r="A8694" s="978">
        <v>45887</v>
      </c>
      <c r="B8694" s="977"/>
      <c r="C8694" s="977" t="s">
        <v>77</v>
      </c>
      <c r="D8694" s="3" t="s">
        <v>4011</v>
      </c>
      <c r="E8694" s="1497"/>
      <c r="F8694" s="1497">
        <v>32600</v>
      </c>
      <c r="G8694" s="977" t="s">
        <v>56</v>
      </c>
      <c r="H8694" s="3"/>
    </row>
    <row r="8695" spans="1:8">
      <c r="A8695" s="979">
        <v>45919</v>
      </c>
      <c r="B8695" s="977"/>
      <c r="C8695" s="977" t="s">
        <v>205</v>
      </c>
      <c r="D8695" s="3" t="s">
        <v>448</v>
      </c>
      <c r="E8695" s="1497">
        <v>83333.33</v>
      </c>
      <c r="F8695" s="1497"/>
      <c r="G8695" s="977" t="s">
        <v>27</v>
      </c>
      <c r="H8695" s="3"/>
    </row>
    <row r="8696" spans="1:8">
      <c r="A8696" s="979">
        <v>45919</v>
      </c>
      <c r="B8696" s="977"/>
      <c r="C8696" s="977" t="s">
        <v>205</v>
      </c>
      <c r="D8696" s="3" t="s">
        <v>49</v>
      </c>
      <c r="E8696" s="1497">
        <v>383000</v>
      </c>
      <c r="F8696" s="1497"/>
      <c r="G8696" s="977" t="s">
        <v>72</v>
      </c>
      <c r="H8696" s="45" t="s">
        <v>4091</v>
      </c>
    </row>
    <row r="8697" spans="1:8">
      <c r="A8697" s="979">
        <v>45919</v>
      </c>
      <c r="B8697" s="977"/>
      <c r="C8697" s="977" t="s">
        <v>205</v>
      </c>
      <c r="D8697" s="3" t="s">
        <v>63</v>
      </c>
      <c r="E8697" s="1497">
        <v>5000</v>
      </c>
      <c r="F8697" s="1497"/>
      <c r="G8697" s="977" t="s">
        <v>56</v>
      </c>
      <c r="H8697" s="3"/>
    </row>
    <row r="8698" spans="1:8">
      <c r="A8698" s="979">
        <v>45919</v>
      </c>
      <c r="B8698" s="980"/>
      <c r="C8698" s="980" t="s">
        <v>537</v>
      </c>
      <c r="D8698" s="3" t="s">
        <v>144</v>
      </c>
      <c r="E8698" s="1497">
        <v>300000</v>
      </c>
      <c r="F8698" s="1497"/>
      <c r="G8698" s="980" t="s">
        <v>27</v>
      </c>
      <c r="H8698" s="3"/>
    </row>
    <row r="8699" spans="1:8">
      <c r="A8699" s="979">
        <v>45919</v>
      </c>
      <c r="B8699" s="980"/>
      <c r="C8699" s="980" t="s">
        <v>537</v>
      </c>
      <c r="D8699" s="3" t="s">
        <v>144</v>
      </c>
      <c r="E8699" s="1497">
        <v>200000</v>
      </c>
      <c r="F8699" s="1497"/>
      <c r="G8699" s="980" t="s">
        <v>56</v>
      </c>
      <c r="H8699" s="3"/>
    </row>
    <row r="8700" spans="1:8">
      <c r="A8700" s="979">
        <v>45919</v>
      </c>
      <c r="B8700" s="980"/>
      <c r="C8700" s="980" t="s">
        <v>537</v>
      </c>
      <c r="D8700" s="15" t="s">
        <v>193</v>
      </c>
      <c r="E8700" s="1497">
        <v>140000</v>
      </c>
      <c r="F8700" s="1497"/>
      <c r="G8700" s="980" t="s">
        <v>56</v>
      </c>
      <c r="H8700" s="3"/>
    </row>
    <row r="8701" spans="1:8">
      <c r="A8701" s="979">
        <v>45919</v>
      </c>
      <c r="B8701" s="980"/>
      <c r="C8701" s="980" t="s">
        <v>537</v>
      </c>
      <c r="D8701" s="15" t="s">
        <v>219</v>
      </c>
      <c r="E8701" s="1497">
        <v>260000</v>
      </c>
      <c r="F8701" s="1497"/>
      <c r="G8701" s="980" t="s">
        <v>56</v>
      </c>
      <c r="H8701" s="3"/>
    </row>
    <row r="8702" spans="1:8">
      <c r="A8702" s="979">
        <v>45919</v>
      </c>
      <c r="B8702" s="980"/>
      <c r="C8702" s="980" t="s">
        <v>537</v>
      </c>
      <c r="D8702" s="15" t="s">
        <v>208</v>
      </c>
      <c r="E8702" s="1497">
        <v>220000</v>
      </c>
      <c r="F8702" s="1497"/>
      <c r="G8702" s="980" t="s">
        <v>56</v>
      </c>
      <c r="H8702" s="3"/>
    </row>
    <row r="8703" spans="1:8" ht="15.75" thickBot="1">
      <c r="A8703" s="1000">
        <v>45919</v>
      </c>
      <c r="B8703" s="1001"/>
      <c r="C8703" s="1001" t="s">
        <v>65</v>
      </c>
      <c r="D8703" s="3" t="s">
        <v>4092</v>
      </c>
      <c r="E8703" s="1497">
        <v>100000</v>
      </c>
      <c r="F8703" s="1497"/>
      <c r="G8703" s="1001" t="s">
        <v>56</v>
      </c>
      <c r="H8703" s="85"/>
    </row>
    <row r="8704" spans="1:8" ht="15.75" thickBot="1">
      <c r="A8704" s="999"/>
      <c r="B8704" s="999"/>
      <c r="C8704" s="999"/>
      <c r="D8704" s="115"/>
      <c r="E8704" s="1492"/>
      <c r="F8704" s="1492"/>
      <c r="G8704" s="999"/>
      <c r="H8704" s="201">
        <v>45919</v>
      </c>
    </row>
    <row r="8705" spans="1:8">
      <c r="A8705" s="999"/>
      <c r="B8705" s="999"/>
      <c r="C8705" s="999"/>
      <c r="D8705" s="115"/>
      <c r="E8705" s="1492"/>
      <c r="F8705" s="1492"/>
      <c r="G8705" s="999"/>
      <c r="H8705" s="803" t="s">
        <v>4078</v>
      </c>
    </row>
    <row r="8706" spans="1:8">
      <c r="A8706" s="999"/>
      <c r="B8706" s="999"/>
      <c r="C8706" s="999"/>
      <c r="D8706" s="115"/>
      <c r="E8706" s="1492"/>
      <c r="F8706" s="1492"/>
      <c r="G8706" s="999"/>
      <c r="H8706" s="199" t="s">
        <v>4077</v>
      </c>
    </row>
    <row r="8707" spans="1:8">
      <c r="A8707" s="999"/>
      <c r="B8707" s="999"/>
      <c r="C8707" s="999"/>
      <c r="D8707" s="115"/>
      <c r="E8707" s="1492"/>
      <c r="F8707" s="1492"/>
      <c r="G8707" s="999"/>
      <c r="H8707" s="137" t="s">
        <v>4094</v>
      </c>
    </row>
    <row r="8708" spans="1:8">
      <c r="A8708" s="999"/>
      <c r="B8708" s="999"/>
      <c r="C8708" s="999"/>
      <c r="D8708" s="115"/>
      <c r="E8708" s="1492"/>
      <c r="F8708" s="1492"/>
      <c r="G8708" s="999"/>
      <c r="H8708" s="138" t="s">
        <v>3850</v>
      </c>
    </row>
    <row r="8709" spans="1:8">
      <c r="H8709" s="138" t="s">
        <v>4093</v>
      </c>
    </row>
    <row r="8710" spans="1:8">
      <c r="H8710" s="138" t="s">
        <v>4082</v>
      </c>
    </row>
    <row r="8711" spans="1:8">
      <c r="H8711" s="138" t="s">
        <v>3760</v>
      </c>
    </row>
    <row r="8712" spans="1:8">
      <c r="H8712" s="138" t="s">
        <v>3933</v>
      </c>
    </row>
    <row r="8713" spans="1:8" ht="15.75" thickBot="1">
      <c r="H8713" s="147" t="s">
        <v>4095</v>
      </c>
    </row>
    <row r="8714" spans="1:8">
      <c r="A8714" s="982">
        <v>45922</v>
      </c>
      <c r="B8714" s="981"/>
      <c r="C8714" s="981" t="s">
        <v>79</v>
      </c>
      <c r="D8714" s="3" t="s">
        <v>166</v>
      </c>
      <c r="E8714" s="1497">
        <v>500200</v>
      </c>
      <c r="F8714" s="1497"/>
      <c r="G8714" s="981" t="s">
        <v>27</v>
      </c>
      <c r="H8714" s="5"/>
    </row>
    <row r="8715" spans="1:8">
      <c r="A8715" s="982">
        <v>45922</v>
      </c>
      <c r="B8715" s="981"/>
      <c r="C8715" s="981"/>
      <c r="D8715" s="3" t="s">
        <v>4096</v>
      </c>
      <c r="E8715" s="1497">
        <v>200000</v>
      </c>
      <c r="F8715" s="1497"/>
      <c r="G8715" s="981" t="s">
        <v>27</v>
      </c>
      <c r="H8715" s="3"/>
    </row>
    <row r="8716" spans="1:8">
      <c r="A8716" s="982">
        <v>45922</v>
      </c>
      <c r="B8716" s="981"/>
      <c r="C8716" s="981" t="s">
        <v>79</v>
      </c>
      <c r="D8716" s="3" t="s">
        <v>2466</v>
      </c>
      <c r="E8716" s="1497">
        <v>32318.5</v>
      </c>
      <c r="F8716" s="1497"/>
      <c r="G8716" s="981" t="s">
        <v>27</v>
      </c>
      <c r="H8716" s="3"/>
    </row>
    <row r="8717" spans="1:8">
      <c r="A8717" s="982">
        <v>45922</v>
      </c>
      <c r="B8717" s="981"/>
      <c r="C8717" s="981" t="s">
        <v>79</v>
      </c>
      <c r="D8717" s="3" t="s">
        <v>2466</v>
      </c>
      <c r="E8717" s="1497">
        <v>24087</v>
      </c>
      <c r="F8717" s="1497"/>
      <c r="G8717" s="981" t="s">
        <v>27</v>
      </c>
      <c r="H8717" s="3"/>
    </row>
    <row r="8718" spans="1:8">
      <c r="A8718" s="982">
        <v>45922</v>
      </c>
      <c r="B8718" s="981"/>
      <c r="C8718" s="981"/>
      <c r="D8718" s="3" t="s">
        <v>4097</v>
      </c>
      <c r="E8718" s="1497">
        <v>3000</v>
      </c>
      <c r="F8718" s="1497"/>
      <c r="G8718" s="981" t="s">
        <v>56</v>
      </c>
      <c r="H8718" s="3"/>
    </row>
    <row r="8719" spans="1:8">
      <c r="A8719" s="982">
        <v>45923</v>
      </c>
      <c r="B8719" s="981"/>
      <c r="C8719" s="981" t="s">
        <v>205</v>
      </c>
      <c r="D8719" s="3" t="s">
        <v>38</v>
      </c>
      <c r="E8719" s="1497">
        <v>2500</v>
      </c>
      <c r="F8719" s="1497"/>
      <c r="G8719" s="981" t="s">
        <v>56</v>
      </c>
      <c r="H8719" s="3"/>
    </row>
    <row r="8720" spans="1:8">
      <c r="A8720" s="982">
        <v>45923</v>
      </c>
      <c r="B8720" s="981"/>
      <c r="C8720" s="981" t="s">
        <v>4100</v>
      </c>
      <c r="D8720" s="3" t="s">
        <v>4098</v>
      </c>
      <c r="E8720" s="1497"/>
      <c r="F8720" s="1497">
        <v>1498392.24</v>
      </c>
      <c r="G8720" s="981" t="s">
        <v>72</v>
      </c>
      <c r="H8720" s="3" t="s">
        <v>4099</v>
      </c>
    </row>
    <row r="8721" spans="1:8">
      <c r="A8721" s="982">
        <v>45923</v>
      </c>
      <c r="B8721" s="981"/>
      <c r="C8721" s="981" t="s">
        <v>87</v>
      </c>
      <c r="D8721" s="3" t="s">
        <v>49</v>
      </c>
      <c r="E8721" s="1497">
        <v>871430</v>
      </c>
      <c r="F8721" s="1497"/>
      <c r="G8721" s="981" t="s">
        <v>72</v>
      </c>
      <c r="H8721" s="3"/>
    </row>
    <row r="8722" spans="1:8">
      <c r="A8722" s="982">
        <v>45923</v>
      </c>
      <c r="B8722" s="981"/>
      <c r="C8722" s="981" t="s">
        <v>87</v>
      </c>
      <c r="D8722" s="3" t="s">
        <v>49</v>
      </c>
      <c r="E8722" s="1497">
        <v>185000</v>
      </c>
      <c r="F8722" s="1497"/>
      <c r="G8722" s="981" t="s">
        <v>72</v>
      </c>
      <c r="H8722" s="3"/>
    </row>
    <row r="8723" spans="1:8">
      <c r="A8723" s="982">
        <v>45923</v>
      </c>
      <c r="B8723" s="981"/>
      <c r="C8723" s="981" t="s">
        <v>205</v>
      </c>
      <c r="D8723" s="3" t="s">
        <v>63</v>
      </c>
      <c r="E8723" s="1497">
        <v>5585.41</v>
      </c>
      <c r="F8723" s="1497"/>
      <c r="G8723" s="981" t="s">
        <v>27</v>
      </c>
      <c r="H8723" s="3"/>
    </row>
    <row r="8724" spans="1:8">
      <c r="A8724" s="982">
        <v>45923</v>
      </c>
      <c r="B8724" s="981"/>
      <c r="C8724" s="981" t="s">
        <v>205</v>
      </c>
      <c r="D8724" s="3" t="s">
        <v>63</v>
      </c>
      <c r="E8724" s="1497">
        <v>290.39999999999998</v>
      </c>
      <c r="F8724" s="1497"/>
      <c r="G8724" s="981" t="s">
        <v>27</v>
      </c>
      <c r="H8724" s="3"/>
    </row>
    <row r="8725" spans="1:8">
      <c r="A8725" s="982">
        <v>45923</v>
      </c>
      <c r="B8725" s="981"/>
      <c r="C8725" s="981" t="s">
        <v>205</v>
      </c>
      <c r="D8725" s="3" t="s">
        <v>3923</v>
      </c>
      <c r="E8725" s="1497">
        <v>15000</v>
      </c>
      <c r="F8725" s="1497"/>
      <c r="G8725" s="981" t="s">
        <v>56</v>
      </c>
      <c r="H8725" s="3" t="s">
        <v>1737</v>
      </c>
    </row>
    <row r="8726" spans="1:8">
      <c r="A8726" s="983">
        <v>45923</v>
      </c>
      <c r="B8726" s="981"/>
      <c r="C8726" s="981" t="s">
        <v>79</v>
      </c>
      <c r="D8726" s="3" t="s">
        <v>79</v>
      </c>
      <c r="E8726" s="1497">
        <v>38800</v>
      </c>
      <c r="F8726" s="1497"/>
      <c r="G8726" s="981" t="s">
        <v>27</v>
      </c>
      <c r="H8726" s="3"/>
    </row>
    <row r="8727" spans="1:8">
      <c r="A8727" s="983">
        <v>45924</v>
      </c>
      <c r="B8727" s="984"/>
      <c r="C8727" s="984" t="s">
        <v>4103</v>
      </c>
      <c r="D8727" s="3" t="s">
        <v>4101</v>
      </c>
      <c r="E8727" s="1497"/>
      <c r="F8727" s="1497">
        <v>2737000</v>
      </c>
      <c r="G8727" s="984" t="s">
        <v>56</v>
      </c>
      <c r="H8727" s="3"/>
    </row>
    <row r="8728" spans="1:8">
      <c r="A8728" s="983">
        <v>45924</v>
      </c>
      <c r="B8728" s="984"/>
      <c r="C8728" s="984" t="s">
        <v>205</v>
      </c>
      <c r="D8728" s="3" t="s">
        <v>4102</v>
      </c>
      <c r="E8728" s="1497">
        <v>187200</v>
      </c>
      <c r="F8728" s="1497"/>
      <c r="G8728" s="984" t="s">
        <v>72</v>
      </c>
      <c r="H8728" s="3"/>
    </row>
    <row r="8729" spans="1:8">
      <c r="A8729" s="983">
        <v>45924</v>
      </c>
      <c r="B8729" s="984"/>
      <c r="C8729" s="984" t="s">
        <v>205</v>
      </c>
      <c r="D8729" s="3" t="s">
        <v>4102</v>
      </c>
      <c r="E8729" s="1497">
        <v>74800</v>
      </c>
      <c r="F8729" s="1497"/>
      <c r="G8729" s="984" t="s">
        <v>56</v>
      </c>
      <c r="H8729" s="3"/>
    </row>
    <row r="8730" spans="1:8">
      <c r="A8730" s="983">
        <v>45924</v>
      </c>
      <c r="B8730" s="984"/>
      <c r="C8730" s="984" t="s">
        <v>327</v>
      </c>
      <c r="D8730" s="3" t="s">
        <v>2014</v>
      </c>
      <c r="E8730" s="1497"/>
      <c r="F8730" s="1497">
        <v>68500</v>
      </c>
      <c r="G8730" s="984" t="s">
        <v>27</v>
      </c>
      <c r="H8730" s="3"/>
    </row>
    <row r="8731" spans="1:8">
      <c r="A8731" s="983">
        <v>45924</v>
      </c>
      <c r="B8731" s="984"/>
      <c r="C8731" s="984" t="s">
        <v>79</v>
      </c>
      <c r="D8731" s="3" t="s">
        <v>2711</v>
      </c>
      <c r="E8731" s="1497">
        <v>220000</v>
      </c>
      <c r="F8731" s="1497"/>
      <c r="G8731" s="984" t="s">
        <v>56</v>
      </c>
      <c r="H8731" s="3"/>
    </row>
    <row r="8732" spans="1:8">
      <c r="A8732" s="983">
        <v>45924</v>
      </c>
      <c r="B8732" s="984"/>
      <c r="C8732" s="984" t="s">
        <v>65</v>
      </c>
      <c r="D8732" s="3" t="s">
        <v>4092</v>
      </c>
      <c r="E8732" s="1497">
        <v>89000</v>
      </c>
      <c r="F8732" s="1497"/>
      <c r="G8732" s="984" t="s">
        <v>56</v>
      </c>
      <c r="H8732" s="3"/>
    </row>
    <row r="8733" spans="1:8">
      <c r="A8733" s="983">
        <v>45924</v>
      </c>
      <c r="B8733" s="984"/>
      <c r="C8733" s="984" t="s">
        <v>86</v>
      </c>
      <c r="D8733" s="3" t="s">
        <v>3440</v>
      </c>
      <c r="E8733" s="1497">
        <v>30000</v>
      </c>
      <c r="F8733" s="1497"/>
      <c r="G8733" s="984" t="s">
        <v>56</v>
      </c>
      <c r="H8733" s="3"/>
    </row>
    <row r="8734" spans="1:8">
      <c r="A8734" s="983">
        <v>45924</v>
      </c>
      <c r="B8734" s="984"/>
      <c r="C8734" s="984" t="s">
        <v>92</v>
      </c>
      <c r="D8734" s="3" t="s">
        <v>4104</v>
      </c>
      <c r="E8734" s="1497"/>
      <c r="F8734" s="1497">
        <v>165030</v>
      </c>
      <c r="G8734" s="984" t="s">
        <v>56</v>
      </c>
      <c r="H8734" s="3"/>
    </row>
    <row r="8735" spans="1:8">
      <c r="A8735" s="983">
        <v>45925</v>
      </c>
      <c r="B8735" s="984"/>
      <c r="C8735" s="984" t="s">
        <v>90</v>
      </c>
      <c r="D8735" s="3" t="s">
        <v>1951</v>
      </c>
      <c r="E8735" s="1497">
        <v>35000</v>
      </c>
      <c r="F8735" s="1497"/>
      <c r="G8735" s="984" t="s">
        <v>56</v>
      </c>
      <c r="H8735" s="3"/>
    </row>
    <row r="8736" spans="1:8">
      <c r="A8736" s="983">
        <v>45925</v>
      </c>
      <c r="B8736" s="984"/>
      <c r="C8736" s="984" t="s">
        <v>537</v>
      </c>
      <c r="D8736" s="3" t="s">
        <v>208</v>
      </c>
      <c r="E8736" s="1497">
        <v>30000</v>
      </c>
      <c r="F8736" s="1497"/>
      <c r="G8736" s="984" t="s">
        <v>56</v>
      </c>
      <c r="H8736" s="3"/>
    </row>
    <row r="8737" spans="1:8">
      <c r="A8737" s="983">
        <v>45925</v>
      </c>
      <c r="B8737" s="984"/>
      <c r="C8737" s="984" t="s">
        <v>92</v>
      </c>
      <c r="D8737" s="3" t="s">
        <v>4105</v>
      </c>
      <c r="E8737" s="1497"/>
      <c r="F8737" s="1497">
        <v>35000</v>
      </c>
      <c r="G8737" s="984" t="s">
        <v>56</v>
      </c>
      <c r="H8737" s="3"/>
    </row>
    <row r="8738" spans="1:8">
      <c r="A8738" s="986">
        <v>45926</v>
      </c>
      <c r="B8738" s="984"/>
      <c r="C8738" s="984" t="s">
        <v>92</v>
      </c>
      <c r="D8738" s="3" t="s">
        <v>1983</v>
      </c>
      <c r="E8738" s="1497"/>
      <c r="F8738" s="1497">
        <v>45420</v>
      </c>
      <c r="G8738" s="984" t="s">
        <v>27</v>
      </c>
      <c r="H8738" s="3"/>
    </row>
    <row r="8739" spans="1:8">
      <c r="A8739" s="986">
        <v>45926</v>
      </c>
      <c r="B8739" s="985"/>
      <c r="C8739" s="985" t="s">
        <v>79</v>
      </c>
      <c r="D8739" s="3" t="s">
        <v>3456</v>
      </c>
      <c r="E8739" s="1497">
        <v>13409.06</v>
      </c>
      <c r="F8739" s="1497"/>
      <c r="G8739" s="985" t="s">
        <v>27</v>
      </c>
      <c r="H8739" s="3"/>
    </row>
    <row r="8740" spans="1:8">
      <c r="A8740" s="986">
        <v>45926</v>
      </c>
      <c r="B8740" s="985"/>
      <c r="C8740" s="985" t="s">
        <v>4106</v>
      </c>
      <c r="D8740" s="3" t="s">
        <v>71</v>
      </c>
      <c r="E8740" s="1497">
        <v>198000</v>
      </c>
      <c r="F8740" s="1497"/>
      <c r="G8740" s="985" t="s">
        <v>72</v>
      </c>
      <c r="H8740" s="3"/>
    </row>
    <row r="8741" spans="1:8">
      <c r="A8741" s="986">
        <v>45926</v>
      </c>
      <c r="B8741" s="985"/>
      <c r="C8741" s="985" t="s">
        <v>76</v>
      </c>
      <c r="D8741" s="3" t="s">
        <v>2872</v>
      </c>
      <c r="E8741" s="1497"/>
      <c r="F8741" s="1497">
        <v>422500</v>
      </c>
      <c r="G8741" s="985" t="s">
        <v>72</v>
      </c>
      <c r="H8741" s="3"/>
    </row>
    <row r="8742" spans="1:8">
      <c r="A8742" s="986">
        <v>45926</v>
      </c>
      <c r="B8742" s="985"/>
      <c r="C8742" s="985" t="s">
        <v>76</v>
      </c>
      <c r="D8742" s="3" t="s">
        <v>2872</v>
      </c>
      <c r="E8742" s="1497"/>
      <c r="F8742" s="1497">
        <v>369500</v>
      </c>
      <c r="G8742" s="985" t="s">
        <v>56</v>
      </c>
      <c r="H8742" s="3"/>
    </row>
    <row r="8743" spans="1:8">
      <c r="A8743" s="986">
        <v>45926</v>
      </c>
      <c r="B8743" s="985"/>
      <c r="C8743" s="985" t="s">
        <v>537</v>
      </c>
      <c r="D8743" s="3" t="s">
        <v>219</v>
      </c>
      <c r="E8743" s="1497">
        <v>260000</v>
      </c>
      <c r="F8743" s="1497"/>
      <c r="G8743" s="985" t="s">
        <v>56</v>
      </c>
      <c r="H8743" s="3"/>
    </row>
    <row r="8744" spans="1:8">
      <c r="A8744" s="986">
        <v>45926</v>
      </c>
      <c r="B8744" s="985"/>
      <c r="C8744" s="985" t="s">
        <v>537</v>
      </c>
      <c r="D8744" s="3" t="s">
        <v>208</v>
      </c>
      <c r="E8744" s="1497">
        <v>230000</v>
      </c>
      <c r="F8744" s="1497"/>
      <c r="G8744" s="985" t="s">
        <v>56</v>
      </c>
      <c r="H8744" s="3"/>
    </row>
    <row r="8745" spans="1:8">
      <c r="A8745" s="986">
        <v>45926</v>
      </c>
      <c r="B8745" s="985"/>
      <c r="C8745" s="985" t="s">
        <v>537</v>
      </c>
      <c r="D8745" s="3" t="s">
        <v>193</v>
      </c>
      <c r="E8745" s="1497">
        <v>140000</v>
      </c>
      <c r="F8745" s="1497"/>
      <c r="G8745" s="985" t="s">
        <v>56</v>
      </c>
      <c r="H8745" s="3"/>
    </row>
    <row r="8746" spans="1:8">
      <c r="A8746" s="986">
        <v>45926</v>
      </c>
      <c r="B8746" s="985"/>
      <c r="C8746" s="985" t="s">
        <v>537</v>
      </c>
      <c r="D8746" s="3" t="s">
        <v>144</v>
      </c>
      <c r="E8746" s="1497">
        <v>500000</v>
      </c>
      <c r="F8746" s="1497"/>
      <c r="G8746" s="985" t="s">
        <v>56</v>
      </c>
      <c r="H8746" s="3"/>
    </row>
    <row r="8747" spans="1:8" ht="15.75" thickBot="1">
      <c r="A8747" s="985" t="s">
        <v>4110</v>
      </c>
      <c r="B8747" s="985"/>
      <c r="C8747" s="985" t="s">
        <v>55</v>
      </c>
      <c r="D8747" s="3" t="s">
        <v>4109</v>
      </c>
      <c r="E8747" s="1497"/>
      <c r="F8747" s="1497"/>
      <c r="G8747" s="985" t="s">
        <v>56</v>
      </c>
      <c r="H8747" s="85"/>
    </row>
    <row r="8748" spans="1:8" ht="15.75" thickBot="1">
      <c r="H8748" s="201">
        <v>45926</v>
      </c>
    </row>
    <row r="8749" spans="1:8">
      <c r="H8749" s="803" t="s">
        <v>4113</v>
      </c>
    </row>
    <row r="8750" spans="1:8">
      <c r="H8750" s="199" t="s">
        <v>4112</v>
      </c>
    </row>
    <row r="8751" spans="1:8">
      <c r="H8751" s="137" t="s">
        <v>4111</v>
      </c>
    </row>
    <row r="8752" spans="1:8">
      <c r="H8752" s="138" t="s">
        <v>3850</v>
      </c>
    </row>
    <row r="8753" spans="1:8">
      <c r="H8753" s="138" t="s">
        <v>4107</v>
      </c>
    </row>
    <row r="8754" spans="1:8">
      <c r="H8754" s="138" t="s">
        <v>4082</v>
      </c>
    </row>
    <row r="8755" spans="1:8">
      <c r="H8755" s="138" t="s">
        <v>3760</v>
      </c>
    </row>
    <row r="8756" spans="1:8">
      <c r="H8756" s="138" t="s">
        <v>4108</v>
      </c>
    </row>
    <row r="8757" spans="1:8" ht="15.75" thickBot="1">
      <c r="H8757" s="147" t="s">
        <v>4114</v>
      </c>
    </row>
    <row r="8758" spans="1:8">
      <c r="A8758" s="987">
        <v>45929</v>
      </c>
      <c r="B8758" s="988"/>
      <c r="C8758" s="988" t="s">
        <v>92</v>
      </c>
      <c r="D8758" s="3" t="s">
        <v>3822</v>
      </c>
      <c r="E8758" s="1497"/>
      <c r="F8758" s="1497">
        <v>85000</v>
      </c>
      <c r="G8758" s="988" t="s">
        <v>27</v>
      </c>
      <c r="H8758" s="183"/>
    </row>
    <row r="8759" spans="1:8">
      <c r="A8759" s="987">
        <v>45929</v>
      </c>
      <c r="B8759" s="988"/>
      <c r="C8759" s="988" t="s">
        <v>55</v>
      </c>
      <c r="D8759" s="3" t="s">
        <v>4115</v>
      </c>
      <c r="E8759" s="1497">
        <v>23000</v>
      </c>
      <c r="F8759" s="1497"/>
      <c r="G8759" s="988" t="s">
        <v>56</v>
      </c>
      <c r="H8759" s="3"/>
    </row>
    <row r="8760" spans="1:8">
      <c r="A8760" s="987">
        <v>45929</v>
      </c>
      <c r="B8760" s="988"/>
      <c r="C8760" s="988" t="s">
        <v>86</v>
      </c>
      <c r="D8760" s="3" t="s">
        <v>104</v>
      </c>
      <c r="E8760" s="1497">
        <v>30000</v>
      </c>
      <c r="F8760" s="1497"/>
      <c r="G8760" s="988" t="s">
        <v>27</v>
      </c>
      <c r="H8760" s="3"/>
    </row>
    <row r="8761" spans="1:8">
      <c r="A8761" s="987">
        <v>45929</v>
      </c>
      <c r="B8761" s="988"/>
      <c r="C8761" s="988" t="s">
        <v>55</v>
      </c>
      <c r="D8761" s="3" t="s">
        <v>2415</v>
      </c>
      <c r="E8761" s="1497">
        <v>69505.94</v>
      </c>
      <c r="F8761" s="1497"/>
      <c r="G8761" s="988" t="s">
        <v>27</v>
      </c>
      <c r="H8761" s="3"/>
    </row>
    <row r="8762" spans="1:8">
      <c r="A8762" s="987">
        <v>45929</v>
      </c>
      <c r="B8762" s="988"/>
      <c r="C8762" s="988" t="s">
        <v>65</v>
      </c>
      <c r="D8762" s="3" t="s">
        <v>4001</v>
      </c>
      <c r="E8762" s="1497">
        <v>76302</v>
      </c>
      <c r="F8762" s="1497"/>
      <c r="G8762" s="988" t="s">
        <v>27</v>
      </c>
      <c r="H8762" s="3"/>
    </row>
    <row r="8763" spans="1:8">
      <c r="A8763" s="987">
        <v>45929</v>
      </c>
      <c r="B8763" s="988"/>
      <c r="C8763" s="988" t="s">
        <v>92</v>
      </c>
      <c r="D8763" s="3" t="s">
        <v>956</v>
      </c>
      <c r="E8763" s="1497"/>
      <c r="F8763" s="1497">
        <v>272500</v>
      </c>
      <c r="G8763" s="988" t="s">
        <v>56</v>
      </c>
      <c r="H8763" s="3"/>
    </row>
    <row r="8764" spans="1:8">
      <c r="A8764" s="987">
        <v>45929</v>
      </c>
      <c r="B8764" s="988"/>
      <c r="C8764" s="988" t="s">
        <v>86</v>
      </c>
      <c r="D8764" s="3" t="s">
        <v>3749</v>
      </c>
      <c r="E8764" s="1497">
        <v>30000</v>
      </c>
      <c r="F8764" s="1497"/>
      <c r="G8764" s="988" t="s">
        <v>27</v>
      </c>
      <c r="H8764" s="3"/>
    </row>
    <row r="8765" spans="1:8">
      <c r="A8765" s="990">
        <v>45930</v>
      </c>
      <c r="B8765" s="988"/>
      <c r="C8765" s="989" t="s">
        <v>55</v>
      </c>
      <c r="D8765" s="3" t="s">
        <v>1023</v>
      </c>
      <c r="E8765" s="1497">
        <v>14000</v>
      </c>
      <c r="F8765" s="1497"/>
      <c r="G8765" s="988" t="s">
        <v>56</v>
      </c>
      <c r="H8765" s="3"/>
    </row>
    <row r="8766" spans="1:8">
      <c r="A8766" s="990">
        <v>45930</v>
      </c>
      <c r="B8766" s="988"/>
      <c r="C8766" s="988" t="s">
        <v>79</v>
      </c>
      <c r="D8766" s="3" t="s">
        <v>79</v>
      </c>
      <c r="E8766" s="1497">
        <v>8000</v>
      </c>
      <c r="F8766" s="1497"/>
      <c r="G8766" s="988" t="s">
        <v>56</v>
      </c>
      <c r="H8766" s="3"/>
    </row>
    <row r="8767" spans="1:8">
      <c r="A8767" s="990">
        <v>45930</v>
      </c>
      <c r="B8767" s="988"/>
      <c r="C8767" s="988" t="s">
        <v>79</v>
      </c>
      <c r="D8767" s="3" t="s">
        <v>2217</v>
      </c>
      <c r="E8767" s="1497">
        <v>209000</v>
      </c>
      <c r="F8767" s="1497"/>
      <c r="G8767" s="988" t="s">
        <v>56</v>
      </c>
      <c r="H8767" s="3"/>
    </row>
    <row r="8768" spans="1:8">
      <c r="A8768" s="990">
        <v>45930</v>
      </c>
      <c r="B8768" s="988"/>
      <c r="C8768" s="988" t="s">
        <v>150</v>
      </c>
      <c r="D8768" s="3" t="s">
        <v>319</v>
      </c>
      <c r="E8768" s="1497">
        <v>290000</v>
      </c>
      <c r="F8768" s="1497"/>
      <c r="G8768" s="989" t="s">
        <v>56</v>
      </c>
      <c r="H8768" s="3"/>
    </row>
    <row r="8769" spans="1:8">
      <c r="A8769" s="990">
        <v>45930</v>
      </c>
      <c r="B8769" s="988"/>
      <c r="C8769" s="989" t="s">
        <v>150</v>
      </c>
      <c r="D8769" s="3" t="s">
        <v>319</v>
      </c>
      <c r="E8769" s="1497">
        <v>154000</v>
      </c>
      <c r="F8769" s="1497"/>
      <c r="G8769" s="989" t="s">
        <v>56</v>
      </c>
      <c r="H8769" s="3"/>
    </row>
    <row r="8770" spans="1:8">
      <c r="A8770" s="990">
        <v>45930</v>
      </c>
      <c r="B8770" s="989"/>
      <c r="C8770" s="989" t="s">
        <v>65</v>
      </c>
      <c r="D8770" s="3" t="s">
        <v>4117</v>
      </c>
      <c r="E8770" s="1497">
        <v>614729.73</v>
      </c>
      <c r="F8770" s="1497"/>
      <c r="G8770" s="989" t="s">
        <v>27</v>
      </c>
      <c r="H8770" s="3"/>
    </row>
    <row r="8771" spans="1:8">
      <c r="A8771" s="990">
        <v>45930</v>
      </c>
      <c r="B8771" s="989"/>
      <c r="C8771" s="989" t="s">
        <v>65</v>
      </c>
      <c r="D8771" s="3" t="s">
        <v>4117</v>
      </c>
      <c r="E8771" s="1497">
        <v>703292.46</v>
      </c>
      <c r="F8771" s="1497"/>
      <c r="G8771" s="989" t="s">
        <v>27</v>
      </c>
      <c r="H8771" s="3"/>
    </row>
    <row r="8772" spans="1:8">
      <c r="A8772" s="990">
        <v>45930</v>
      </c>
      <c r="B8772" s="989"/>
      <c r="C8772" s="989" t="s">
        <v>55</v>
      </c>
      <c r="D8772" s="3" t="s">
        <v>4118</v>
      </c>
      <c r="E8772" s="1497">
        <v>15900</v>
      </c>
      <c r="F8772" s="1497"/>
      <c r="G8772" s="989" t="s">
        <v>56</v>
      </c>
      <c r="H8772" s="3"/>
    </row>
    <row r="8773" spans="1:8">
      <c r="A8773" s="990">
        <v>45930</v>
      </c>
      <c r="B8773" s="989"/>
      <c r="C8773" s="989" t="s">
        <v>55</v>
      </c>
      <c r="D8773" s="15" t="s">
        <v>38</v>
      </c>
      <c r="E8773" s="1497">
        <v>1800</v>
      </c>
      <c r="F8773" s="1497"/>
      <c r="G8773" s="989" t="s">
        <v>56</v>
      </c>
      <c r="H8773" s="3"/>
    </row>
    <row r="8774" spans="1:8" ht="15.75" thickBot="1">
      <c r="A8774" s="991">
        <v>45930</v>
      </c>
      <c r="B8774" s="989"/>
      <c r="C8774" s="989" t="s">
        <v>4120</v>
      </c>
      <c r="D8774" s="3" t="s">
        <v>4119</v>
      </c>
      <c r="E8774" s="1497">
        <v>80000</v>
      </c>
      <c r="F8774" s="1497"/>
      <c r="G8774" s="989" t="s">
        <v>27</v>
      </c>
      <c r="H8774" s="3"/>
    </row>
    <row r="8775" spans="1:8" ht="15.75" thickBot="1">
      <c r="H8775" s="201">
        <v>45929</v>
      </c>
    </row>
    <row r="8776" spans="1:8">
      <c r="H8776" s="803" t="s">
        <v>4113</v>
      </c>
    </row>
    <row r="8777" spans="1:8">
      <c r="H8777" s="199" t="s">
        <v>4112</v>
      </c>
    </row>
    <row r="8778" spans="1:8">
      <c r="H8778" s="137" t="s">
        <v>4111</v>
      </c>
    </row>
    <row r="8779" spans="1:8">
      <c r="H8779" s="138" t="s">
        <v>3850</v>
      </c>
    </row>
    <row r="8780" spans="1:8">
      <c r="H8780" s="138" t="s">
        <v>4107</v>
      </c>
    </row>
    <row r="8781" spans="1:8">
      <c r="H8781" s="138" t="s">
        <v>4082</v>
      </c>
    </row>
    <row r="8782" spans="1:8">
      <c r="H8782" s="138" t="s">
        <v>3760</v>
      </c>
    </row>
    <row r="8783" spans="1:8">
      <c r="H8783" s="138" t="s">
        <v>4108</v>
      </c>
    </row>
    <row r="8784" spans="1:8" ht="15.75" thickBot="1">
      <c r="H8784" s="147" t="s">
        <v>4114</v>
      </c>
    </row>
    <row r="8785" spans="1:8">
      <c r="A8785" s="991">
        <v>45931</v>
      </c>
      <c r="B8785" s="992"/>
      <c r="C8785" s="992" t="s">
        <v>55</v>
      </c>
      <c r="D8785" s="3" t="s">
        <v>63</v>
      </c>
      <c r="E8785" s="1497" t="s">
        <v>4122</v>
      </c>
      <c r="F8785" s="1497"/>
      <c r="G8785" s="992" t="s">
        <v>56</v>
      </c>
      <c r="H8785" s="125" t="s">
        <v>4123</v>
      </c>
    </row>
    <row r="8786" spans="1:8">
      <c r="A8786" s="994">
        <v>45932</v>
      </c>
      <c r="B8786" s="992"/>
      <c r="C8786" s="992" t="s">
        <v>205</v>
      </c>
      <c r="D8786" s="3" t="s">
        <v>71</v>
      </c>
      <c r="E8786" s="1497" t="s">
        <v>4124</v>
      </c>
      <c r="F8786" s="1497"/>
      <c r="G8786" s="992" t="s">
        <v>72</v>
      </c>
      <c r="H8786" s="3"/>
    </row>
    <row r="8787" spans="1:8">
      <c r="A8787" s="994">
        <v>45932</v>
      </c>
      <c r="B8787" s="992"/>
      <c r="C8787" s="992" t="s">
        <v>90</v>
      </c>
      <c r="D8787" s="3" t="s">
        <v>2858</v>
      </c>
      <c r="E8787" s="1497">
        <v>15000</v>
      </c>
      <c r="F8787" s="1497"/>
      <c r="G8787" s="992" t="s">
        <v>56</v>
      </c>
      <c r="H8787" s="3"/>
    </row>
    <row r="8788" spans="1:8">
      <c r="A8788" s="995">
        <v>45932</v>
      </c>
      <c r="B8788" s="992"/>
      <c r="C8788" s="992" t="s">
        <v>79</v>
      </c>
      <c r="D8788" s="3" t="s">
        <v>79</v>
      </c>
      <c r="E8788" s="1497">
        <v>64400</v>
      </c>
      <c r="F8788" s="1497"/>
      <c r="G8788" s="992" t="s">
        <v>27</v>
      </c>
      <c r="H8788" s="3"/>
    </row>
    <row r="8789" spans="1:8">
      <c r="A8789" s="995">
        <v>45933</v>
      </c>
      <c r="B8789" s="992"/>
      <c r="C8789" s="992" t="s">
        <v>86</v>
      </c>
      <c r="D8789" s="3" t="s">
        <v>104</v>
      </c>
      <c r="E8789" s="1497">
        <v>30000</v>
      </c>
      <c r="F8789" s="1497"/>
      <c r="G8789" s="992" t="s">
        <v>56</v>
      </c>
      <c r="H8789" s="3"/>
    </row>
    <row r="8790" spans="1:8">
      <c r="A8790" s="995">
        <v>45933</v>
      </c>
      <c r="B8790" s="993"/>
      <c r="C8790" s="993" t="s">
        <v>205</v>
      </c>
      <c r="D8790" s="3" t="s">
        <v>246</v>
      </c>
      <c r="E8790" s="1497">
        <v>5910.1</v>
      </c>
      <c r="F8790" s="1497"/>
      <c r="G8790" s="993" t="s">
        <v>27</v>
      </c>
      <c r="H8790" s="3"/>
    </row>
    <row r="8791" spans="1:8">
      <c r="A8791" s="995">
        <v>45933</v>
      </c>
      <c r="B8791" s="993"/>
      <c r="C8791" s="993" t="s">
        <v>537</v>
      </c>
      <c r="D8791" s="3" t="s">
        <v>219</v>
      </c>
      <c r="E8791" s="1497">
        <v>220000</v>
      </c>
      <c r="F8791" s="1497"/>
      <c r="G8791" s="993" t="s">
        <v>56</v>
      </c>
      <c r="H8791" s="3"/>
    </row>
    <row r="8792" spans="1:8">
      <c r="A8792" s="995">
        <v>45933</v>
      </c>
      <c r="B8792" s="993"/>
      <c r="C8792" s="996" t="s">
        <v>537</v>
      </c>
      <c r="D8792" s="3" t="s">
        <v>208</v>
      </c>
      <c r="E8792" s="1497">
        <v>220000</v>
      </c>
      <c r="F8792" s="1497"/>
      <c r="G8792" s="996" t="s">
        <v>56</v>
      </c>
      <c r="H8792" s="3"/>
    </row>
    <row r="8793" spans="1:8">
      <c r="A8793" s="995">
        <v>45933</v>
      </c>
      <c r="B8793" s="996"/>
      <c r="C8793" s="996" t="s">
        <v>537</v>
      </c>
      <c r="D8793" s="3" t="s">
        <v>193</v>
      </c>
      <c r="E8793" s="1497">
        <v>150000</v>
      </c>
      <c r="F8793" s="1497"/>
      <c r="G8793" s="996" t="s">
        <v>56</v>
      </c>
      <c r="H8793" s="3"/>
    </row>
    <row r="8794" spans="1:8" ht="15.75" thickBot="1">
      <c r="A8794" s="995">
        <v>45933</v>
      </c>
      <c r="B8794" s="996"/>
      <c r="C8794" s="996" t="s">
        <v>537</v>
      </c>
      <c r="D8794" s="3" t="s">
        <v>144</v>
      </c>
      <c r="E8794" s="1497">
        <v>420000</v>
      </c>
      <c r="F8794" s="1497"/>
      <c r="G8794" s="996" t="s">
        <v>56</v>
      </c>
      <c r="H8794" s="3"/>
    </row>
    <row r="8795" spans="1:8" ht="15.75" thickBot="1">
      <c r="A8795" s="996"/>
      <c r="B8795" s="996"/>
      <c r="C8795" s="996"/>
      <c r="D8795" s="3"/>
      <c r="E8795" s="1497"/>
      <c r="F8795" s="1497"/>
      <c r="G8795" s="996"/>
      <c r="H8795" s="201">
        <v>45933</v>
      </c>
    </row>
    <row r="8796" spans="1:8">
      <c r="H8796" s="803" t="s">
        <v>4113</v>
      </c>
    </row>
    <row r="8797" spans="1:8">
      <c r="H8797" s="199" t="s">
        <v>4112</v>
      </c>
    </row>
    <row r="8798" spans="1:8">
      <c r="H8798" s="137" t="s">
        <v>4126</v>
      </c>
    </row>
    <row r="8799" spans="1:8">
      <c r="H8799" s="138" t="s">
        <v>4128</v>
      </c>
    </row>
    <row r="8800" spans="1:8">
      <c r="H8800" s="138" t="s">
        <v>4127</v>
      </c>
    </row>
    <row r="8801" spans="1:8">
      <c r="H8801" s="138" t="s">
        <v>4082</v>
      </c>
    </row>
    <row r="8802" spans="1:8">
      <c r="H8802" s="138" t="s">
        <v>3760</v>
      </c>
    </row>
    <row r="8803" spans="1:8">
      <c r="H8803" s="138" t="s">
        <v>3933</v>
      </c>
    </row>
    <row r="8804" spans="1:8" ht="15.75" thickBot="1">
      <c r="H8804" s="147" t="s">
        <v>4125</v>
      </c>
    </row>
    <row r="8805" spans="1:8">
      <c r="A8805" s="998">
        <v>45936</v>
      </c>
      <c r="B8805" s="997"/>
      <c r="C8805" s="997" t="s">
        <v>205</v>
      </c>
      <c r="D8805" s="3" t="s">
        <v>3545</v>
      </c>
      <c r="E8805" s="1497">
        <v>43888.43</v>
      </c>
      <c r="F8805" s="1497"/>
      <c r="G8805" s="997" t="s">
        <v>27</v>
      </c>
      <c r="H8805" s="5"/>
    </row>
    <row r="8806" spans="1:8">
      <c r="A8806" s="1000">
        <v>45937</v>
      </c>
      <c r="B8806" s="997"/>
      <c r="C8806" s="997" t="s">
        <v>150</v>
      </c>
      <c r="D8806" s="3" t="s">
        <v>2056</v>
      </c>
      <c r="E8806" s="1497">
        <v>377876.78</v>
      </c>
      <c r="F8806" s="1497"/>
      <c r="G8806" s="997" t="s">
        <v>108</v>
      </c>
      <c r="H8806" s="3"/>
    </row>
    <row r="8807" spans="1:8">
      <c r="A8807" s="1000">
        <v>45937</v>
      </c>
      <c r="B8807" s="997"/>
      <c r="C8807" s="1001" t="s">
        <v>150</v>
      </c>
      <c r="D8807" s="3" t="s">
        <v>155</v>
      </c>
      <c r="E8807" s="1497">
        <v>79886.559999999998</v>
      </c>
      <c r="F8807" s="1497"/>
      <c r="G8807" s="997" t="s">
        <v>108</v>
      </c>
      <c r="H8807" s="3"/>
    </row>
    <row r="8808" spans="1:8">
      <c r="A8808" s="1000">
        <v>45937</v>
      </c>
      <c r="B8808" s="997"/>
      <c r="C8808" s="1001" t="s">
        <v>150</v>
      </c>
      <c r="D8808" s="3" t="s">
        <v>4129</v>
      </c>
      <c r="E8808" s="1497">
        <v>2944.51</v>
      </c>
      <c r="F8808" s="1497"/>
      <c r="G8808" s="997" t="s">
        <v>108</v>
      </c>
      <c r="H8808" s="3"/>
    </row>
    <row r="8809" spans="1:8">
      <c r="A8809" s="1000">
        <v>45937</v>
      </c>
      <c r="B8809" s="997"/>
      <c r="C8809" s="1001" t="s">
        <v>150</v>
      </c>
      <c r="D8809" s="3" t="s">
        <v>2482</v>
      </c>
      <c r="E8809" s="1497">
        <v>2535.44</v>
      </c>
      <c r="F8809" s="1497"/>
      <c r="G8809" s="997" t="s">
        <v>108</v>
      </c>
      <c r="H8809" s="3"/>
    </row>
    <row r="8810" spans="1:8">
      <c r="A8810" s="1000">
        <v>45937</v>
      </c>
      <c r="B8810" s="997"/>
      <c r="C8810" s="997" t="s">
        <v>1597</v>
      </c>
      <c r="D8810" s="3" t="s">
        <v>4130</v>
      </c>
      <c r="E8810" s="1497"/>
      <c r="F8810" s="1497">
        <v>24000</v>
      </c>
      <c r="G8810" s="997" t="s">
        <v>27</v>
      </c>
      <c r="H8810" s="3"/>
    </row>
    <row r="8811" spans="1:8">
      <c r="A8811" s="1000">
        <v>45937</v>
      </c>
      <c r="B8811" s="1001"/>
      <c r="C8811" s="1001" t="s">
        <v>92</v>
      </c>
      <c r="D8811" s="15" t="s">
        <v>4131</v>
      </c>
      <c r="E8811" s="1497"/>
      <c r="F8811" s="1497">
        <v>97550</v>
      </c>
      <c r="G8811" s="1001" t="s">
        <v>56</v>
      </c>
      <c r="H8811" s="3"/>
    </row>
    <row r="8812" spans="1:8">
      <c r="A8812" s="1000">
        <v>45937</v>
      </c>
      <c r="B8812" s="1001"/>
      <c r="C8812" s="1001" t="s">
        <v>76</v>
      </c>
      <c r="D8812" s="15" t="s">
        <v>4132</v>
      </c>
      <c r="E8812" s="1497"/>
      <c r="F8812" s="1497"/>
      <c r="G8812" s="1001" t="s">
        <v>27</v>
      </c>
      <c r="H8812" s="3"/>
    </row>
    <row r="8813" spans="1:8">
      <c r="A8813" s="1000">
        <v>45937</v>
      </c>
      <c r="B8813" s="1001"/>
      <c r="C8813" s="1001" t="s">
        <v>92</v>
      </c>
      <c r="D8813" s="15" t="s">
        <v>4133</v>
      </c>
      <c r="E8813" s="1497"/>
      <c r="F8813" s="1497">
        <v>520600</v>
      </c>
      <c r="G8813" s="1001" t="s">
        <v>27</v>
      </c>
      <c r="H8813" s="3"/>
    </row>
    <row r="8814" spans="1:8">
      <c r="A8814" s="1000">
        <v>45937</v>
      </c>
      <c r="B8814" s="1001"/>
      <c r="C8814" s="1001" t="s">
        <v>77</v>
      </c>
      <c r="D8814" s="3" t="s">
        <v>4134</v>
      </c>
      <c r="E8814" s="1497"/>
      <c r="F8814" s="1497">
        <v>5330000</v>
      </c>
      <c r="G8814" s="1001" t="s">
        <v>56</v>
      </c>
      <c r="H8814" s="45" t="s">
        <v>424</v>
      </c>
    </row>
    <row r="8815" spans="1:8">
      <c r="A8815" s="1000">
        <v>45937</v>
      </c>
      <c r="B8815" s="1001"/>
      <c r="C8815" s="1001" t="s">
        <v>205</v>
      </c>
      <c r="D8815" s="3" t="s">
        <v>71</v>
      </c>
      <c r="E8815" s="1497">
        <v>290000</v>
      </c>
      <c r="F8815" s="1497"/>
      <c r="G8815" s="1001" t="s">
        <v>72</v>
      </c>
      <c r="H8815" s="45" t="s">
        <v>4135</v>
      </c>
    </row>
    <row r="8816" spans="1:8">
      <c r="A8816" s="1003">
        <v>45938</v>
      </c>
      <c r="B8816" s="1001"/>
      <c r="C8816" s="1002" t="s">
        <v>205</v>
      </c>
      <c r="D8816" s="3" t="s">
        <v>432</v>
      </c>
      <c r="E8816" s="1497">
        <v>3564000</v>
      </c>
      <c r="F8816" s="1497"/>
      <c r="G8816" s="1001" t="s">
        <v>56</v>
      </c>
      <c r="H8816" s="45"/>
    </row>
    <row r="8817" spans="1:8">
      <c r="A8817" s="1003">
        <v>45938</v>
      </c>
      <c r="B8817" s="1001"/>
      <c r="C8817" s="1002" t="s">
        <v>205</v>
      </c>
      <c r="D8817" s="3" t="s">
        <v>4136</v>
      </c>
      <c r="E8817" s="1497">
        <v>33500</v>
      </c>
      <c r="F8817" s="1497"/>
      <c r="G8817" s="1001" t="s">
        <v>56</v>
      </c>
      <c r="H8817" s="45" t="s">
        <v>3243</v>
      </c>
    </row>
    <row r="8818" spans="1:8">
      <c r="A8818" s="1003">
        <v>45938</v>
      </c>
      <c r="B8818" s="1001"/>
      <c r="C8818" s="1001" t="s">
        <v>4120</v>
      </c>
      <c r="D8818" s="3" t="s">
        <v>4137</v>
      </c>
      <c r="E8818" s="1497">
        <v>32000</v>
      </c>
      <c r="F8818" s="1497"/>
      <c r="G8818" s="1005" t="s">
        <v>56</v>
      </c>
      <c r="H8818" s="3"/>
    </row>
    <row r="8819" spans="1:8">
      <c r="A8819" s="1003">
        <v>45938</v>
      </c>
      <c r="B8819" s="1001"/>
      <c r="C8819" s="1002" t="s">
        <v>4120</v>
      </c>
      <c r="D8819" s="3" t="s">
        <v>4138</v>
      </c>
      <c r="E8819" s="1497">
        <v>27000</v>
      </c>
      <c r="F8819" s="1497"/>
      <c r="G8819" s="1001" t="s">
        <v>4139</v>
      </c>
      <c r="H8819" s="3"/>
    </row>
    <row r="8820" spans="1:8">
      <c r="A8820" s="1004">
        <v>45939</v>
      </c>
      <c r="B8820" s="1001"/>
      <c r="C8820" s="1001" t="s">
        <v>55</v>
      </c>
      <c r="D8820" s="3" t="s">
        <v>70</v>
      </c>
      <c r="E8820" s="1497">
        <v>20000</v>
      </c>
      <c r="F8820" s="1497"/>
      <c r="G8820" s="1001" t="s">
        <v>4139</v>
      </c>
      <c r="H8820" s="3"/>
    </row>
    <row r="8821" spans="1:8">
      <c r="A8821" s="1004">
        <v>45939</v>
      </c>
      <c r="B8821" s="1005"/>
      <c r="C8821" s="1005" t="s">
        <v>174</v>
      </c>
      <c r="D8821" s="3" t="s">
        <v>2630</v>
      </c>
      <c r="E8821" s="1497">
        <v>33288</v>
      </c>
      <c r="F8821" s="1497"/>
      <c r="G8821" s="1005" t="s">
        <v>27</v>
      </c>
      <c r="H8821" s="3"/>
    </row>
    <row r="8822" spans="1:8">
      <c r="A8822" s="1004">
        <v>45939</v>
      </c>
      <c r="B8822" s="1005"/>
      <c r="C8822" s="1005" t="s">
        <v>68</v>
      </c>
      <c r="D8822" s="3" t="s">
        <v>1951</v>
      </c>
      <c r="E8822" s="1497">
        <v>15000</v>
      </c>
      <c r="F8822" s="1497"/>
      <c r="G8822" s="1005" t="s">
        <v>56</v>
      </c>
      <c r="H8822" s="3"/>
    </row>
    <row r="8823" spans="1:8">
      <c r="A8823" s="1004">
        <v>45939</v>
      </c>
      <c r="B8823" s="1005"/>
      <c r="C8823" s="1005" t="s">
        <v>79</v>
      </c>
      <c r="D8823" s="3" t="s">
        <v>79</v>
      </c>
      <c r="E8823" s="1497">
        <v>80962</v>
      </c>
      <c r="F8823" s="1497"/>
      <c r="G8823" s="1005" t="s">
        <v>27</v>
      </c>
      <c r="H8823" s="3"/>
    </row>
    <row r="8824" spans="1:8">
      <c r="A8824" s="1004">
        <v>45939</v>
      </c>
      <c r="B8824" s="1005"/>
      <c r="C8824" s="1005" t="s">
        <v>205</v>
      </c>
      <c r="D8824" s="3" t="s">
        <v>407</v>
      </c>
      <c r="E8824" s="1497">
        <v>12080</v>
      </c>
      <c r="F8824" s="1497"/>
      <c r="G8824" s="1005" t="s">
        <v>27</v>
      </c>
      <c r="H8824" s="3"/>
    </row>
    <row r="8825" spans="1:8">
      <c r="A8825" s="1004">
        <v>45939</v>
      </c>
      <c r="B8825" s="1005"/>
      <c r="C8825" s="1005" t="s">
        <v>94</v>
      </c>
      <c r="D8825" s="15" t="s">
        <v>17</v>
      </c>
      <c r="E8825" s="1497">
        <v>90881.919999999998</v>
      </c>
      <c r="F8825" s="1497"/>
      <c r="G8825" s="1005" t="s">
        <v>27</v>
      </c>
      <c r="H8825" s="3"/>
    </row>
    <row r="8826" spans="1:8">
      <c r="A8826" s="1004">
        <v>45939</v>
      </c>
      <c r="B8826" s="1005"/>
      <c r="C8826" s="1005" t="s">
        <v>537</v>
      </c>
      <c r="D8826" s="3" t="s">
        <v>219</v>
      </c>
      <c r="E8826" s="1497">
        <v>220000</v>
      </c>
      <c r="F8826" s="1497"/>
      <c r="G8826" s="1005" t="s">
        <v>56</v>
      </c>
      <c r="H8826" s="3"/>
    </row>
    <row r="8827" spans="1:8">
      <c r="A8827" s="1004">
        <v>45939</v>
      </c>
      <c r="B8827" s="1005"/>
      <c r="C8827" s="1005" t="s">
        <v>537</v>
      </c>
      <c r="D8827" s="3" t="s">
        <v>208</v>
      </c>
      <c r="E8827" s="1497">
        <v>220000</v>
      </c>
      <c r="F8827" s="1497"/>
      <c r="G8827" s="1005" t="s">
        <v>56</v>
      </c>
      <c r="H8827" s="3"/>
    </row>
    <row r="8828" spans="1:8">
      <c r="A8828" s="1004">
        <v>45939</v>
      </c>
      <c r="B8828" s="1005"/>
      <c r="C8828" s="1005" t="s">
        <v>537</v>
      </c>
      <c r="D8828" s="3" t="s">
        <v>144</v>
      </c>
      <c r="E8828" s="1497">
        <v>420000</v>
      </c>
      <c r="F8828" s="1497"/>
      <c r="G8828" s="1005" t="s">
        <v>56</v>
      </c>
      <c r="H8828" s="3"/>
    </row>
    <row r="8829" spans="1:8">
      <c r="A8829" s="1004">
        <v>45939</v>
      </c>
      <c r="B8829" s="1005"/>
      <c r="C8829" s="1005" t="s">
        <v>537</v>
      </c>
      <c r="D8829" s="3" t="s">
        <v>575</v>
      </c>
      <c r="E8829" s="1497">
        <v>150000</v>
      </c>
      <c r="F8829" s="1497"/>
      <c r="G8829" s="1005" t="s">
        <v>56</v>
      </c>
      <c r="H8829" s="3"/>
    </row>
    <row r="8830" spans="1:8" ht="15.75" thickBot="1">
      <c r="A8830" s="1004">
        <v>45939</v>
      </c>
      <c r="B8830" s="1005"/>
      <c r="C8830" s="1005" t="s">
        <v>77</v>
      </c>
      <c r="D8830" s="3" t="s">
        <v>4145</v>
      </c>
      <c r="E8830" s="1497"/>
      <c r="F8830" s="1497">
        <v>400000</v>
      </c>
      <c r="G8830" s="1005" t="s">
        <v>4146</v>
      </c>
      <c r="H8830" s="3" t="s">
        <v>3637</v>
      </c>
    </row>
    <row r="8831" spans="1:8" ht="15.75" thickBot="1">
      <c r="H8831" s="201">
        <v>45939</v>
      </c>
    </row>
    <row r="8832" spans="1:8">
      <c r="H8832" s="803" t="s">
        <v>4141</v>
      </c>
    </row>
    <row r="8833" spans="1:8">
      <c r="H8833" s="199" t="s">
        <v>4112</v>
      </c>
    </row>
    <row r="8834" spans="1:8">
      <c r="H8834" s="137" t="s">
        <v>4143</v>
      </c>
    </row>
    <row r="8835" spans="1:8">
      <c r="H8835" s="138" t="s">
        <v>4140</v>
      </c>
    </row>
    <row r="8836" spans="1:8">
      <c r="H8836" s="138" t="s">
        <v>4147</v>
      </c>
    </row>
    <row r="8837" spans="1:8">
      <c r="H8837" s="138" t="s">
        <v>4082</v>
      </c>
    </row>
    <row r="8838" spans="1:8">
      <c r="H8838" s="138" t="s">
        <v>3760</v>
      </c>
    </row>
    <row r="8839" spans="1:8">
      <c r="H8839" s="138" t="s">
        <v>4144</v>
      </c>
    </row>
    <row r="8840" spans="1:8" ht="15.75" thickBot="1">
      <c r="H8840" s="147" t="s">
        <v>4142</v>
      </c>
    </row>
    <row r="8841" spans="1:8">
      <c r="A8841" s="1007">
        <v>45943</v>
      </c>
      <c r="B8841" s="1006"/>
      <c r="C8841" s="1006" t="s">
        <v>205</v>
      </c>
      <c r="D8841" s="3" t="s">
        <v>63</v>
      </c>
      <c r="E8841" s="1497">
        <v>7137.75</v>
      </c>
      <c r="F8841" s="1497"/>
      <c r="G8841" s="1006" t="s">
        <v>56</v>
      </c>
      <c r="H8841" s="5"/>
    </row>
    <row r="8842" spans="1:8">
      <c r="A8842" s="1007">
        <v>45943</v>
      </c>
      <c r="B8842" s="1006"/>
      <c r="C8842" s="1006" t="s">
        <v>205</v>
      </c>
      <c r="D8842" s="3" t="s">
        <v>49</v>
      </c>
      <c r="E8842" s="1497">
        <v>250000</v>
      </c>
      <c r="F8842" s="1497"/>
      <c r="G8842" s="1006" t="s">
        <v>27</v>
      </c>
      <c r="H8842" s="3"/>
    </row>
    <row r="8843" spans="1:8">
      <c r="A8843" s="1007">
        <v>45943</v>
      </c>
      <c r="B8843" s="1006"/>
      <c r="C8843" s="1006" t="s">
        <v>92</v>
      </c>
      <c r="D8843" s="3" t="s">
        <v>828</v>
      </c>
      <c r="E8843" s="1497"/>
      <c r="F8843" s="1497">
        <v>147120</v>
      </c>
      <c r="G8843" s="1006" t="s">
        <v>27</v>
      </c>
      <c r="H8843" s="3"/>
    </row>
    <row r="8844" spans="1:8">
      <c r="A8844" s="1007">
        <v>45943</v>
      </c>
      <c r="B8844" s="1006"/>
      <c r="C8844" s="1006" t="s">
        <v>94</v>
      </c>
      <c r="D8844" s="3" t="s">
        <v>3975</v>
      </c>
      <c r="E8844" s="1497">
        <v>139492.10999999999</v>
      </c>
      <c r="F8844" s="1497"/>
      <c r="G8844" s="1006" t="s">
        <v>27</v>
      </c>
      <c r="H8844" s="3"/>
    </row>
    <row r="8845" spans="1:8">
      <c r="A8845" s="1007">
        <v>45943</v>
      </c>
      <c r="B8845" s="1006"/>
      <c r="C8845" s="1006" t="s">
        <v>205</v>
      </c>
      <c r="D8845" s="3" t="s">
        <v>71</v>
      </c>
      <c r="E8845" s="1497">
        <v>132500</v>
      </c>
      <c r="F8845" s="1497"/>
      <c r="G8845" s="1006"/>
      <c r="H8845" s="3"/>
    </row>
    <row r="8846" spans="1:8">
      <c r="A8846" s="1007">
        <v>45943</v>
      </c>
      <c r="B8846" s="1006"/>
      <c r="C8846" s="1006" t="s">
        <v>205</v>
      </c>
      <c r="D8846" s="3" t="s">
        <v>71</v>
      </c>
      <c r="E8846" s="1497">
        <v>20000</v>
      </c>
      <c r="F8846" s="1497"/>
      <c r="G8846" s="1006" t="s">
        <v>56</v>
      </c>
      <c r="H8846" s="3"/>
    </row>
    <row r="8847" spans="1:8">
      <c r="A8847" s="1007">
        <v>45943</v>
      </c>
      <c r="B8847" s="1006"/>
      <c r="C8847" s="1006" t="s">
        <v>79</v>
      </c>
      <c r="D8847" s="3" t="s">
        <v>1002</v>
      </c>
      <c r="E8847" s="1497">
        <v>2000</v>
      </c>
      <c r="F8847" s="1497"/>
      <c r="G8847" s="1006" t="s">
        <v>2175</v>
      </c>
      <c r="H8847" s="3"/>
    </row>
    <row r="8848" spans="1:8">
      <c r="A8848" s="1007">
        <v>45943</v>
      </c>
      <c r="B8848" s="1006"/>
      <c r="C8848" s="1006" t="s">
        <v>730</v>
      </c>
      <c r="D8848" s="3" t="s">
        <v>4148</v>
      </c>
      <c r="E8848" s="1497">
        <v>150000</v>
      </c>
      <c r="F8848" s="1497"/>
      <c r="G8848" s="1006" t="s">
        <v>27</v>
      </c>
      <c r="H8848" s="3"/>
    </row>
    <row r="8849" spans="1:8">
      <c r="A8849" s="1008">
        <v>45944</v>
      </c>
      <c r="B8849" s="1009"/>
      <c r="C8849" s="1009" t="s">
        <v>29</v>
      </c>
      <c r="D8849" s="3" t="s">
        <v>448</v>
      </c>
      <c r="E8849" s="1497">
        <v>20000</v>
      </c>
      <c r="F8849" s="1497"/>
      <c r="G8849" s="1009" t="s">
        <v>27</v>
      </c>
      <c r="H8849" s="3"/>
    </row>
    <row r="8850" spans="1:8">
      <c r="A8850" s="1008">
        <v>45944</v>
      </c>
      <c r="B8850" s="1009"/>
      <c r="C8850" s="1009" t="s">
        <v>65</v>
      </c>
      <c r="D8850" s="15" t="s">
        <v>4116</v>
      </c>
      <c r="E8850" s="1497">
        <v>20000</v>
      </c>
      <c r="F8850" s="1497"/>
      <c r="G8850" s="1009" t="s">
        <v>27</v>
      </c>
      <c r="H8850" s="3"/>
    </row>
    <row r="8851" spans="1:8" ht="16.5">
      <c r="A8851" s="1008">
        <v>45944</v>
      </c>
      <c r="B8851" s="1009"/>
      <c r="C8851" s="1009" t="s">
        <v>92</v>
      </c>
      <c r="D8851" s="15" t="s">
        <v>2635</v>
      </c>
      <c r="E8851" s="1470"/>
      <c r="F8851" s="1497">
        <v>147400</v>
      </c>
      <c r="G8851" s="1009" t="s">
        <v>27</v>
      </c>
      <c r="H8851" s="3"/>
    </row>
    <row r="8852" spans="1:8">
      <c r="A8852" s="1008">
        <v>45944</v>
      </c>
      <c r="B8852" s="1009"/>
      <c r="C8852" s="1009" t="s">
        <v>92</v>
      </c>
      <c r="D8852" s="15" t="s">
        <v>4151</v>
      </c>
      <c r="E8852" s="1497"/>
      <c r="F8852" s="1497">
        <v>178800</v>
      </c>
      <c r="G8852" s="1009" t="s">
        <v>56</v>
      </c>
      <c r="H8852" s="3"/>
    </row>
    <row r="8853" spans="1:8">
      <c r="A8853" s="1008">
        <v>45944</v>
      </c>
      <c r="B8853" s="1009"/>
      <c r="C8853" s="1009" t="s">
        <v>77</v>
      </c>
      <c r="D8853" s="15" t="s">
        <v>4150</v>
      </c>
      <c r="E8853" s="1497"/>
      <c r="F8853" s="1497">
        <v>144900</v>
      </c>
      <c r="G8853" s="1009" t="s">
        <v>27</v>
      </c>
      <c r="H8853" s="3"/>
    </row>
    <row r="8854" spans="1:8">
      <c r="A8854" s="1008">
        <v>45944</v>
      </c>
      <c r="B8854" s="1009"/>
      <c r="C8854" s="1009" t="s">
        <v>92</v>
      </c>
      <c r="D8854" s="3" t="s">
        <v>422</v>
      </c>
      <c r="E8854" s="1497"/>
      <c r="F8854" s="1497">
        <v>148440</v>
      </c>
      <c r="G8854" s="1009" t="s">
        <v>27</v>
      </c>
      <c r="H8854" s="3"/>
    </row>
    <row r="8855" spans="1:8">
      <c r="A8855" s="1008">
        <v>45944</v>
      </c>
      <c r="B8855" s="1009"/>
      <c r="C8855" s="1009" t="s">
        <v>79</v>
      </c>
      <c r="D8855" s="3" t="s">
        <v>4149</v>
      </c>
      <c r="E8855" s="1497">
        <v>79000</v>
      </c>
      <c r="F8855" s="1497"/>
      <c r="G8855" s="1009" t="s">
        <v>56</v>
      </c>
      <c r="H8855" s="3"/>
    </row>
    <row r="8856" spans="1:8">
      <c r="A8856" s="13">
        <v>45945</v>
      </c>
      <c r="B8856" s="70"/>
      <c r="C8856" s="1010" t="s">
        <v>86</v>
      </c>
      <c r="D8856" s="89" t="s">
        <v>104</v>
      </c>
      <c r="E8856" s="12">
        <v>30631</v>
      </c>
      <c r="F8856" s="12"/>
      <c r="G8856" s="12" t="s">
        <v>56</v>
      </c>
      <c r="H8856" s="113"/>
    </row>
    <row r="8857" spans="1:8">
      <c r="A8857" s="1011">
        <v>45945</v>
      </c>
      <c r="B8857" s="1010"/>
      <c r="C8857" s="1010" t="s">
        <v>205</v>
      </c>
      <c r="D8857" s="15" t="s">
        <v>4152</v>
      </c>
      <c r="E8857" s="1497">
        <v>7451.83</v>
      </c>
      <c r="F8857" s="1497"/>
      <c r="G8857" s="1010" t="s">
        <v>56</v>
      </c>
      <c r="H8857" s="3"/>
    </row>
    <row r="8858" spans="1:8">
      <c r="A8858" s="1012">
        <v>45946</v>
      </c>
      <c r="B8858" s="1010"/>
      <c r="C8858" s="1010" t="s">
        <v>1098</v>
      </c>
      <c r="D8858" s="3" t="s">
        <v>3207</v>
      </c>
      <c r="E8858" s="1497">
        <v>182221.89</v>
      </c>
      <c r="F8858" s="1497"/>
      <c r="G8858" s="1010" t="s">
        <v>27</v>
      </c>
      <c r="H8858" s="3"/>
    </row>
    <row r="8859" spans="1:8">
      <c r="A8859" s="1012">
        <v>45946</v>
      </c>
      <c r="B8859" s="1010"/>
      <c r="C8859" s="1010" t="s">
        <v>156</v>
      </c>
      <c r="D8859" s="3" t="s">
        <v>3907</v>
      </c>
      <c r="E8859" s="1497">
        <v>6171.3</v>
      </c>
      <c r="F8859" s="1497"/>
      <c r="G8859" s="1013" t="s">
        <v>27</v>
      </c>
      <c r="H8859" s="3"/>
    </row>
    <row r="8860" spans="1:8">
      <c r="A8860" s="1012">
        <v>45946</v>
      </c>
      <c r="B8860" s="1010"/>
      <c r="C8860" s="1010" t="s">
        <v>327</v>
      </c>
      <c r="D8860" s="3" t="s">
        <v>3473</v>
      </c>
      <c r="E8860" s="1497"/>
      <c r="F8860" s="1497">
        <v>144500</v>
      </c>
      <c r="G8860" s="1010" t="s">
        <v>56</v>
      </c>
      <c r="H8860" s="3"/>
    </row>
    <row r="8861" spans="1:8">
      <c r="A8861" s="1012">
        <v>45946</v>
      </c>
      <c r="B8861" s="1013"/>
      <c r="C8861" s="1013" t="s">
        <v>2572</v>
      </c>
      <c r="D8861" s="3" t="s">
        <v>4153</v>
      </c>
      <c r="E8861" s="217">
        <v>599990</v>
      </c>
      <c r="F8861" s="1497"/>
      <c r="G8861" s="1013" t="s">
        <v>2037</v>
      </c>
      <c r="H8861" s="3"/>
    </row>
    <row r="8862" spans="1:8">
      <c r="A8862" s="1012">
        <v>45946</v>
      </c>
      <c r="B8862" s="1013"/>
      <c r="C8862" s="1013" t="s">
        <v>2572</v>
      </c>
      <c r="D8862" s="3" t="s">
        <v>4153</v>
      </c>
      <c r="E8862" s="1497"/>
      <c r="F8862" s="217">
        <v>599990</v>
      </c>
      <c r="G8862" s="1013" t="s">
        <v>108</v>
      </c>
      <c r="H8862" s="3"/>
    </row>
    <row r="8863" spans="1:8">
      <c r="A8863" s="1012">
        <v>45946</v>
      </c>
      <c r="B8863" s="1013"/>
      <c r="C8863" s="1013" t="s">
        <v>79</v>
      </c>
      <c r="D8863" s="15" t="s">
        <v>4154</v>
      </c>
      <c r="E8863" s="1497">
        <v>60000</v>
      </c>
      <c r="F8863" s="1497"/>
      <c r="G8863" s="1013" t="s">
        <v>56</v>
      </c>
      <c r="H8863" s="3"/>
    </row>
    <row r="8864" spans="1:8">
      <c r="A8864" s="1012">
        <v>45946</v>
      </c>
      <c r="B8864" s="1013"/>
      <c r="C8864" s="1013" t="s">
        <v>205</v>
      </c>
      <c r="D8864" s="3" t="s">
        <v>63</v>
      </c>
      <c r="E8864" s="1497">
        <v>2675.87</v>
      </c>
      <c r="F8864" s="1497"/>
      <c r="G8864" s="1013" t="s">
        <v>56</v>
      </c>
      <c r="H8864" s="3"/>
    </row>
    <row r="8865" spans="1:8">
      <c r="A8865" s="1012">
        <v>45946</v>
      </c>
      <c r="B8865" s="1013"/>
      <c r="C8865" s="1013" t="s">
        <v>90</v>
      </c>
      <c r="D8865" s="3" t="s">
        <v>1951</v>
      </c>
      <c r="E8865" s="1497">
        <v>18000</v>
      </c>
      <c r="F8865" s="1497"/>
      <c r="G8865" s="1013" t="s">
        <v>56</v>
      </c>
      <c r="H8865" s="3"/>
    </row>
    <row r="8866" spans="1:8">
      <c r="A8866" s="1012">
        <v>45946</v>
      </c>
      <c r="B8866" s="1013"/>
      <c r="C8866" s="1013" t="s">
        <v>205</v>
      </c>
      <c r="D8866" s="3" t="s">
        <v>789</v>
      </c>
      <c r="E8866" s="1497">
        <v>100000</v>
      </c>
      <c r="F8866" s="1497"/>
      <c r="G8866" s="1013" t="s">
        <v>56</v>
      </c>
      <c r="H8866" s="3"/>
    </row>
    <row r="8867" spans="1:8">
      <c r="A8867" s="1015">
        <v>45947</v>
      </c>
      <c r="B8867" s="1013"/>
      <c r="C8867" s="1013" t="s">
        <v>29</v>
      </c>
      <c r="D8867" s="3" t="s">
        <v>38</v>
      </c>
      <c r="E8867" s="1497">
        <v>2000</v>
      </c>
      <c r="F8867" s="1497"/>
      <c r="G8867" s="1013" t="s">
        <v>56</v>
      </c>
      <c r="H8867" s="3"/>
    </row>
    <row r="8868" spans="1:8">
      <c r="A8868" s="1018">
        <v>45947</v>
      </c>
      <c r="B8868" s="1019"/>
      <c r="C8868" s="1019"/>
      <c r="D8868" s="1020" t="s">
        <v>4156</v>
      </c>
      <c r="E8868" s="1019">
        <v>23000</v>
      </c>
      <c r="F8868" s="1019"/>
      <c r="G8868" s="1019" t="s">
        <v>56</v>
      </c>
      <c r="H8868" s="1020"/>
    </row>
    <row r="8869" spans="1:8">
      <c r="A8869" s="1015">
        <v>45947</v>
      </c>
      <c r="B8869" s="1013"/>
      <c r="C8869" s="1013" t="s">
        <v>77</v>
      </c>
      <c r="D8869" s="3" t="s">
        <v>4157</v>
      </c>
      <c r="E8869" s="1497"/>
      <c r="F8869" s="1497">
        <v>1200</v>
      </c>
      <c r="G8869" s="1013" t="s">
        <v>781</v>
      </c>
      <c r="H8869" s="3" t="s">
        <v>4159</v>
      </c>
    </row>
    <row r="8870" spans="1:8">
      <c r="A8870" s="1015">
        <v>45947</v>
      </c>
      <c r="B8870" s="1014"/>
      <c r="C8870" s="1014" t="s">
        <v>79</v>
      </c>
      <c r="D8870" s="3" t="s">
        <v>79</v>
      </c>
      <c r="E8870" s="1497">
        <v>300000</v>
      </c>
      <c r="F8870" s="1497"/>
      <c r="G8870" s="1014" t="s">
        <v>56</v>
      </c>
      <c r="H8870" s="3"/>
    </row>
    <row r="8871" spans="1:8">
      <c r="A8871" s="1015">
        <v>45947</v>
      </c>
      <c r="B8871" s="1014"/>
      <c r="C8871" s="1014" t="s">
        <v>537</v>
      </c>
      <c r="D8871" s="3" t="s">
        <v>219</v>
      </c>
      <c r="E8871" s="1497">
        <v>220000</v>
      </c>
      <c r="F8871" s="1497"/>
      <c r="G8871" s="1014" t="s">
        <v>56</v>
      </c>
      <c r="H8871" s="3"/>
    </row>
    <row r="8872" spans="1:8">
      <c r="A8872" s="1016">
        <v>45947</v>
      </c>
      <c r="B8872" s="1017"/>
      <c r="C8872" s="1017" t="s">
        <v>537</v>
      </c>
      <c r="D8872" s="3" t="s">
        <v>208</v>
      </c>
      <c r="E8872" s="1497">
        <v>220000</v>
      </c>
      <c r="F8872" s="1497"/>
      <c r="G8872" s="1017" t="s">
        <v>56</v>
      </c>
      <c r="H8872" s="3"/>
    </row>
    <row r="8873" spans="1:8">
      <c r="A8873" s="1016">
        <v>45947</v>
      </c>
      <c r="B8873" s="1017"/>
      <c r="C8873" s="1017" t="s">
        <v>537</v>
      </c>
      <c r="D8873" s="15" t="s">
        <v>144</v>
      </c>
      <c r="E8873" s="1497">
        <v>420000</v>
      </c>
      <c r="F8873" s="1497"/>
      <c r="G8873" s="1017" t="s">
        <v>56</v>
      </c>
      <c r="H8873" s="3"/>
    </row>
    <row r="8874" spans="1:8">
      <c r="A8874" s="1016">
        <v>45947</v>
      </c>
      <c r="B8874" s="1017"/>
      <c r="C8874" s="1017" t="s">
        <v>79</v>
      </c>
      <c r="D8874" s="15" t="s">
        <v>193</v>
      </c>
      <c r="E8874" s="1497">
        <v>150000</v>
      </c>
      <c r="F8874" s="1497"/>
      <c r="G8874" s="1017" t="s">
        <v>56</v>
      </c>
      <c r="H8874" s="3"/>
    </row>
    <row r="8875" spans="1:8">
      <c r="A8875" s="1016">
        <v>45947</v>
      </c>
      <c r="B8875" s="1017"/>
      <c r="C8875" s="1017" t="s">
        <v>79</v>
      </c>
      <c r="D8875" s="15" t="s">
        <v>79</v>
      </c>
      <c r="E8875" s="1497">
        <v>150000</v>
      </c>
      <c r="F8875" s="1497"/>
      <c r="G8875" s="1017" t="s">
        <v>56</v>
      </c>
      <c r="H8875" s="3"/>
    </row>
    <row r="8876" spans="1:8" ht="15.75" thickBot="1">
      <c r="H8876" s="209">
        <v>45947</v>
      </c>
    </row>
    <row r="8877" spans="1:8">
      <c r="H8877" s="803" t="s">
        <v>4160</v>
      </c>
    </row>
    <row r="8878" spans="1:8">
      <c r="H8878" s="199" t="s">
        <v>4162</v>
      </c>
    </row>
    <row r="8879" spans="1:8">
      <c r="H8879" s="137" t="s">
        <v>4161</v>
      </c>
    </row>
    <row r="8880" spans="1:8">
      <c r="H8880" s="138" t="s">
        <v>808</v>
      </c>
    </row>
    <row r="8881" spans="1:8">
      <c r="H8881" s="138" t="s">
        <v>4163</v>
      </c>
    </row>
    <row r="8882" spans="1:8">
      <c r="H8882" s="138" t="s">
        <v>4158</v>
      </c>
    </row>
    <row r="8883" spans="1:8">
      <c r="H8883" s="138" t="s">
        <v>3760</v>
      </c>
    </row>
    <row r="8884" spans="1:8">
      <c r="H8884" s="138" t="s">
        <v>3933</v>
      </c>
    </row>
    <row r="8885" spans="1:8" ht="15.75" thickBot="1">
      <c r="H8885" s="147" t="s">
        <v>4164</v>
      </c>
    </row>
    <row r="8886" spans="1:8">
      <c r="A8886" s="1016">
        <v>45950</v>
      </c>
      <c r="B8886" s="1017"/>
      <c r="C8886" s="1017" t="s">
        <v>86</v>
      </c>
      <c r="D8886" s="3" t="s">
        <v>4165</v>
      </c>
      <c r="E8886" s="1497">
        <v>31000</v>
      </c>
      <c r="F8886" s="1497"/>
      <c r="G8886" s="1017" t="s">
        <v>56</v>
      </c>
      <c r="H8886" s="5"/>
    </row>
    <row r="8887" spans="1:8">
      <c r="A8887" s="1022">
        <v>45950</v>
      </c>
      <c r="B8887" s="1017"/>
      <c r="C8887" s="1021" t="s">
        <v>86</v>
      </c>
      <c r="D8887" s="3" t="s">
        <v>3749</v>
      </c>
      <c r="E8887" s="1497">
        <v>31000</v>
      </c>
      <c r="F8887" s="1497"/>
      <c r="G8887" s="1017" t="s">
        <v>56</v>
      </c>
      <c r="H8887" s="3"/>
    </row>
    <row r="8888" spans="1:8">
      <c r="A8888" s="1023">
        <v>45950</v>
      </c>
      <c r="B8888" s="1017"/>
      <c r="C8888" s="1017" t="s">
        <v>730</v>
      </c>
      <c r="D8888" s="3" t="s">
        <v>4166</v>
      </c>
      <c r="E8888" s="1497">
        <v>125000</v>
      </c>
      <c r="F8888" s="1497"/>
      <c r="G8888" s="1017" t="s">
        <v>27</v>
      </c>
      <c r="H8888" s="3"/>
    </row>
    <row r="8889" spans="1:8">
      <c r="A8889" s="1023">
        <v>45950</v>
      </c>
      <c r="B8889" s="1017"/>
      <c r="C8889" s="1017" t="s">
        <v>29</v>
      </c>
      <c r="D8889" s="3" t="s">
        <v>859</v>
      </c>
      <c r="E8889" s="1027">
        <v>83333.33</v>
      </c>
      <c r="F8889" s="1497"/>
      <c r="G8889" s="1017" t="s">
        <v>27</v>
      </c>
      <c r="H8889" s="3"/>
    </row>
    <row r="8890" spans="1:8">
      <c r="A8890" s="1023">
        <v>45950</v>
      </c>
      <c r="B8890" s="1017"/>
      <c r="C8890" s="1017" t="s">
        <v>79</v>
      </c>
      <c r="D8890" s="3" t="s">
        <v>4167</v>
      </c>
      <c r="E8890" s="1027">
        <v>33074.81</v>
      </c>
      <c r="F8890" s="1497"/>
      <c r="G8890" s="1017" t="s">
        <v>27</v>
      </c>
      <c r="H8890" s="3"/>
    </row>
    <row r="8891" spans="1:8">
      <c r="A8891" s="1023">
        <v>45950</v>
      </c>
      <c r="B8891" s="1017"/>
      <c r="C8891" s="1017" t="s">
        <v>55</v>
      </c>
      <c r="D8891" s="3" t="s">
        <v>562</v>
      </c>
      <c r="E8891" s="1497">
        <v>2600</v>
      </c>
      <c r="F8891" s="1497"/>
      <c r="G8891" s="1017" t="s">
        <v>56</v>
      </c>
      <c r="H8891" s="3"/>
    </row>
    <row r="8892" spans="1:8">
      <c r="A8892" s="1023">
        <v>45951</v>
      </c>
      <c r="B8892" s="1024"/>
      <c r="C8892" s="1024" t="s">
        <v>77</v>
      </c>
      <c r="D8892" s="3" t="s">
        <v>3847</v>
      </c>
      <c r="E8892" s="1497"/>
      <c r="F8892" s="1497">
        <v>367000</v>
      </c>
      <c r="G8892" s="1024" t="s">
        <v>27</v>
      </c>
      <c r="H8892" s="3"/>
    </row>
    <row r="8893" spans="1:8">
      <c r="A8893" s="1023">
        <v>45951</v>
      </c>
      <c r="B8893" s="1024"/>
      <c r="C8893" s="1024" t="s">
        <v>77</v>
      </c>
      <c r="D8893" s="3" t="s">
        <v>3847</v>
      </c>
      <c r="E8893" s="1497">
        <v>5225.79</v>
      </c>
      <c r="F8893" s="1497"/>
      <c r="G8893" s="1024" t="s">
        <v>27</v>
      </c>
      <c r="H8893" s="3"/>
    </row>
    <row r="8894" spans="1:8">
      <c r="A8894" s="1026">
        <v>45952</v>
      </c>
      <c r="B8894" s="1025"/>
      <c r="C8894" s="1025" t="s">
        <v>65</v>
      </c>
      <c r="D8894" s="3" t="s">
        <v>4170</v>
      </c>
      <c r="E8894" s="1497">
        <v>76302</v>
      </c>
      <c r="F8894" s="1497"/>
      <c r="G8894" s="1025" t="s">
        <v>27</v>
      </c>
      <c r="H8894" s="3"/>
    </row>
    <row r="8895" spans="1:8">
      <c r="A8895" s="1026">
        <v>45952</v>
      </c>
      <c r="B8895" s="1025"/>
      <c r="C8895" s="1025" t="s">
        <v>92</v>
      </c>
      <c r="D8895" s="15" t="s">
        <v>4171</v>
      </c>
      <c r="E8895" s="1497"/>
      <c r="F8895" s="1497">
        <v>89800</v>
      </c>
      <c r="G8895" s="1025" t="s">
        <v>27</v>
      </c>
      <c r="H8895" s="3"/>
    </row>
    <row r="8896" spans="1:8">
      <c r="A8896" s="1026">
        <v>45952</v>
      </c>
      <c r="B8896" s="1025"/>
      <c r="C8896" s="1025" t="s">
        <v>92</v>
      </c>
      <c r="D8896" s="15" t="s">
        <v>22</v>
      </c>
      <c r="E8896" s="1497">
        <v>49896.52</v>
      </c>
      <c r="F8896" s="1497"/>
      <c r="G8896" s="1025" t="s">
        <v>27</v>
      </c>
      <c r="H8896" s="3"/>
    </row>
    <row r="8897" spans="1:8">
      <c r="A8897" s="1026">
        <v>45952</v>
      </c>
      <c r="B8897" s="1025"/>
      <c r="C8897" s="1025" t="s">
        <v>92</v>
      </c>
      <c r="D8897" s="15" t="s">
        <v>4168</v>
      </c>
      <c r="E8897" s="1497"/>
      <c r="F8897" s="1497">
        <v>200000</v>
      </c>
      <c r="G8897" s="1025" t="s">
        <v>56</v>
      </c>
      <c r="H8897" s="3"/>
    </row>
    <row r="8898" spans="1:8">
      <c r="A8898" s="1026">
        <v>45952</v>
      </c>
      <c r="B8898" s="1025"/>
      <c r="C8898" s="1025" t="s">
        <v>537</v>
      </c>
      <c r="D8898" s="3" t="s">
        <v>208</v>
      </c>
      <c r="E8898" s="1497">
        <v>220000</v>
      </c>
      <c r="F8898" s="1497"/>
      <c r="G8898" s="1025" t="s">
        <v>56</v>
      </c>
      <c r="H8898" s="3"/>
    </row>
    <row r="8899" spans="1:8">
      <c r="A8899" s="1026">
        <v>45952</v>
      </c>
      <c r="B8899" s="1025"/>
      <c r="C8899" s="1025" t="s">
        <v>537</v>
      </c>
      <c r="D8899" s="3" t="s">
        <v>219</v>
      </c>
      <c r="E8899" s="1497">
        <v>220000</v>
      </c>
      <c r="F8899" s="1497"/>
      <c r="G8899" s="1025" t="s">
        <v>56</v>
      </c>
      <c r="H8899" s="3"/>
    </row>
    <row r="8900" spans="1:8">
      <c r="A8900" s="1026">
        <v>45952</v>
      </c>
      <c r="B8900" s="1025"/>
      <c r="C8900" s="1025" t="s">
        <v>55</v>
      </c>
      <c r="D8900" s="3" t="s">
        <v>562</v>
      </c>
      <c r="E8900" s="1497">
        <v>19704</v>
      </c>
      <c r="F8900" s="1497"/>
      <c r="G8900" s="1025" t="s">
        <v>56</v>
      </c>
      <c r="H8900" s="3"/>
    </row>
    <row r="8901" spans="1:8">
      <c r="A8901" s="1028">
        <v>45953</v>
      </c>
      <c r="B8901" s="1025"/>
      <c r="C8901" s="1025" t="s">
        <v>79</v>
      </c>
      <c r="D8901" s="3" t="s">
        <v>3451</v>
      </c>
      <c r="E8901" s="1497">
        <v>500200</v>
      </c>
      <c r="F8901" s="1497"/>
      <c r="G8901" s="1025" t="s">
        <v>56</v>
      </c>
      <c r="H8901" s="3"/>
    </row>
    <row r="8902" spans="1:8">
      <c r="A8902" s="1028">
        <v>45953</v>
      </c>
      <c r="B8902" s="1025"/>
      <c r="C8902" s="1025" t="s">
        <v>90</v>
      </c>
      <c r="D8902" s="3" t="s">
        <v>1951</v>
      </c>
      <c r="E8902" s="1497">
        <v>15000</v>
      </c>
      <c r="F8902" s="1497"/>
      <c r="G8902" s="1025" t="s">
        <v>56</v>
      </c>
      <c r="H8902" s="3"/>
    </row>
    <row r="8903" spans="1:8">
      <c r="A8903" s="1036">
        <v>45953</v>
      </c>
      <c r="B8903" s="1035"/>
      <c r="C8903" s="1035" t="s">
        <v>77</v>
      </c>
      <c r="D8903" s="3" t="s">
        <v>4173</v>
      </c>
      <c r="E8903" s="1497"/>
      <c r="F8903" s="1497">
        <v>380600</v>
      </c>
      <c r="G8903" s="1035" t="s">
        <v>56</v>
      </c>
      <c r="H8903" s="3"/>
    </row>
    <row r="8904" spans="1:8">
      <c r="A8904" s="1036">
        <v>45953</v>
      </c>
      <c r="B8904" s="1035"/>
      <c r="C8904" s="1035" t="s">
        <v>77</v>
      </c>
      <c r="D8904" s="3" t="s">
        <v>4173</v>
      </c>
      <c r="E8904" s="1497">
        <v>3774.55</v>
      </c>
      <c r="F8904" s="1497"/>
      <c r="G8904" s="1035" t="s">
        <v>56</v>
      </c>
      <c r="H8904" s="3"/>
    </row>
    <row r="8905" spans="1:8">
      <c r="A8905" s="1036">
        <v>45953</v>
      </c>
      <c r="B8905" s="1035"/>
      <c r="C8905" s="1035" t="s">
        <v>176</v>
      </c>
      <c r="D8905" s="15" t="s">
        <v>4174</v>
      </c>
      <c r="E8905" s="1497">
        <v>1000</v>
      </c>
      <c r="F8905" s="1497"/>
      <c r="G8905" s="1035" t="s">
        <v>781</v>
      </c>
      <c r="H8905" s="3"/>
    </row>
    <row r="8906" spans="1:8">
      <c r="A8906" s="112">
        <v>45953</v>
      </c>
      <c r="B8906" s="70"/>
      <c r="C8906" s="70"/>
      <c r="D8906" s="113" t="s">
        <v>4175</v>
      </c>
      <c r="E8906" s="70">
        <v>500</v>
      </c>
      <c r="F8906" s="70"/>
      <c r="G8906" s="70" t="s">
        <v>781</v>
      </c>
      <c r="H8906" s="113"/>
    </row>
    <row r="8907" spans="1:8">
      <c r="A8907" s="1036">
        <v>45953</v>
      </c>
      <c r="B8907" s="1035"/>
      <c r="C8907" s="1035" t="s">
        <v>1261</v>
      </c>
      <c r="D8907" s="3" t="s">
        <v>4176</v>
      </c>
      <c r="E8907" s="1497"/>
      <c r="F8907" s="1497">
        <v>595000</v>
      </c>
      <c r="G8907" s="1035" t="s">
        <v>56</v>
      </c>
      <c r="H8907" s="3"/>
    </row>
    <row r="8908" spans="1:8">
      <c r="A8908" s="1038">
        <v>45954</v>
      </c>
      <c r="B8908" s="1039"/>
      <c r="C8908" s="1039" t="s">
        <v>205</v>
      </c>
      <c r="D8908" s="3" t="s">
        <v>63</v>
      </c>
      <c r="E8908" s="1497">
        <v>11270.45</v>
      </c>
      <c r="F8908" s="1497"/>
      <c r="G8908" s="1039" t="s">
        <v>27</v>
      </c>
      <c r="H8908" s="3"/>
    </row>
    <row r="8909" spans="1:8">
      <c r="A8909" s="1038">
        <v>45954</v>
      </c>
      <c r="B8909" s="1039"/>
      <c r="C8909" s="1039" t="s">
        <v>92</v>
      </c>
      <c r="D8909" s="15" t="s">
        <v>4179</v>
      </c>
      <c r="E8909" s="1497"/>
      <c r="F8909" s="1497">
        <v>314550</v>
      </c>
      <c r="G8909" s="1039" t="s">
        <v>27</v>
      </c>
      <c r="H8909" s="3"/>
    </row>
    <row r="8910" spans="1:8">
      <c r="A8910" s="1038">
        <v>45954</v>
      </c>
      <c r="B8910" s="1039"/>
      <c r="C8910" s="1039" t="s">
        <v>94</v>
      </c>
      <c r="D8910" s="15" t="s">
        <v>395</v>
      </c>
      <c r="E8910" s="1497">
        <v>194829.78</v>
      </c>
      <c r="F8910" s="1497"/>
      <c r="G8910" s="1039" t="s">
        <v>27</v>
      </c>
      <c r="H8910" s="3"/>
    </row>
    <row r="8911" spans="1:8">
      <c r="A8911" s="1038">
        <v>45954</v>
      </c>
      <c r="B8911" s="1039"/>
      <c r="C8911" s="1039" t="s">
        <v>86</v>
      </c>
      <c r="D8911" s="15" t="s">
        <v>107</v>
      </c>
      <c r="E8911" s="1497">
        <v>20421.3</v>
      </c>
      <c r="F8911" s="1497"/>
      <c r="G8911" s="1039" t="s">
        <v>56</v>
      </c>
      <c r="H8911" s="3"/>
    </row>
    <row r="8912" spans="1:8">
      <c r="A8912" s="1038">
        <v>45954</v>
      </c>
      <c r="B8912" s="1039"/>
      <c r="C8912" s="1039" t="s">
        <v>205</v>
      </c>
      <c r="D8912" s="15" t="s">
        <v>789</v>
      </c>
      <c r="E8912" s="1497">
        <v>66705</v>
      </c>
      <c r="F8912" s="1497"/>
      <c r="G8912" s="1039" t="s">
        <v>27</v>
      </c>
      <c r="H8912" s="3"/>
    </row>
    <row r="8913" spans="1:8">
      <c r="A8913" s="1038">
        <v>45954</v>
      </c>
      <c r="B8913" s="1039"/>
      <c r="C8913" s="1039" t="s">
        <v>537</v>
      </c>
      <c r="D8913" s="15" t="s">
        <v>193</v>
      </c>
      <c r="E8913" s="1497">
        <v>150000</v>
      </c>
      <c r="F8913" s="1497"/>
      <c r="G8913" s="1039" t="s">
        <v>56</v>
      </c>
      <c r="H8913" s="3"/>
    </row>
    <row r="8914" spans="1:8">
      <c r="A8914" s="1038">
        <v>45954</v>
      </c>
      <c r="B8914" s="1039"/>
      <c r="C8914" s="1039" t="s">
        <v>55</v>
      </c>
      <c r="D8914" s="15" t="s">
        <v>4180</v>
      </c>
      <c r="E8914" s="1497">
        <v>20000</v>
      </c>
      <c r="F8914" s="1497"/>
      <c r="G8914" s="1039" t="s">
        <v>56</v>
      </c>
      <c r="H8914" s="3"/>
    </row>
    <row r="8915" spans="1:8">
      <c r="A8915" s="1038">
        <v>45954</v>
      </c>
      <c r="B8915" s="1039"/>
      <c r="C8915" s="1039" t="s">
        <v>92</v>
      </c>
      <c r="D8915" s="15" t="s">
        <v>675</v>
      </c>
      <c r="E8915" s="1497"/>
      <c r="F8915" s="1497">
        <v>966140.55</v>
      </c>
      <c r="G8915" s="1039" t="s">
        <v>27</v>
      </c>
      <c r="H8915" s="3"/>
    </row>
    <row r="8916" spans="1:8">
      <c r="A8916" s="1038">
        <v>45957</v>
      </c>
      <c r="B8916" s="1039"/>
      <c r="C8916" s="1039" t="s">
        <v>92</v>
      </c>
      <c r="D8916" s="15" t="s">
        <v>2597</v>
      </c>
      <c r="E8916" s="1497"/>
      <c r="F8916" s="1497">
        <v>49500</v>
      </c>
      <c r="G8916" s="1039" t="s">
        <v>27</v>
      </c>
      <c r="H8916" s="3"/>
    </row>
    <row r="8917" spans="1:8">
      <c r="A8917" s="1038">
        <v>45957</v>
      </c>
      <c r="B8917" s="1039"/>
      <c r="C8917" s="1039" t="s">
        <v>79</v>
      </c>
      <c r="D8917" s="15" t="s">
        <v>2355</v>
      </c>
      <c r="E8917" s="1497">
        <v>47000</v>
      </c>
      <c r="F8917" s="1497"/>
      <c r="G8917" s="1039" t="s">
        <v>56</v>
      </c>
      <c r="H8917" s="3"/>
    </row>
    <row r="8918" spans="1:8">
      <c r="A8918" s="1038">
        <v>45958</v>
      </c>
      <c r="B8918" s="1039"/>
      <c r="C8918" s="1039" t="s">
        <v>92</v>
      </c>
      <c r="D8918" s="15" t="s">
        <v>4181</v>
      </c>
      <c r="E8918" s="1497"/>
      <c r="F8918" s="1497">
        <v>370180</v>
      </c>
      <c r="G8918" s="1039" t="s">
        <v>27</v>
      </c>
      <c r="H8918" s="3"/>
    </row>
    <row r="8919" spans="1:8">
      <c r="A8919" s="1038">
        <v>45958</v>
      </c>
      <c r="B8919" s="1039"/>
      <c r="C8919" s="1039" t="s">
        <v>205</v>
      </c>
      <c r="D8919" s="15" t="s">
        <v>4182</v>
      </c>
      <c r="E8919" s="1497">
        <v>19360</v>
      </c>
      <c r="F8919" s="1497"/>
      <c r="G8919" s="1039" t="s">
        <v>27</v>
      </c>
      <c r="H8919" s="3"/>
    </row>
    <row r="8920" spans="1:8">
      <c r="A8920" s="1038">
        <v>45958</v>
      </c>
      <c r="B8920" s="1039"/>
      <c r="C8920" s="1039" t="s">
        <v>86</v>
      </c>
      <c r="D8920" s="15" t="s">
        <v>104</v>
      </c>
      <c r="E8920" s="1497">
        <v>30632.01</v>
      </c>
      <c r="F8920" s="1497"/>
      <c r="G8920" s="1039" t="s">
        <v>56</v>
      </c>
      <c r="H8920" s="3"/>
    </row>
    <row r="8921" spans="1:8">
      <c r="A8921" s="1038">
        <v>45958</v>
      </c>
      <c r="B8921" s="1039"/>
      <c r="C8921" s="1039" t="s">
        <v>174</v>
      </c>
      <c r="D8921" s="15" t="s">
        <v>4183</v>
      </c>
      <c r="E8921" s="1497">
        <v>29000</v>
      </c>
      <c r="F8921" s="1497"/>
      <c r="G8921" s="1039" t="s">
        <v>56</v>
      </c>
      <c r="H8921" s="3"/>
    </row>
    <row r="8922" spans="1:8">
      <c r="A8922" s="1038">
        <v>45959</v>
      </c>
      <c r="B8922" s="1039"/>
      <c r="C8922" s="1039"/>
      <c r="D8922" s="15" t="s">
        <v>4184</v>
      </c>
      <c r="E8922" s="1497"/>
      <c r="F8922" s="1497">
        <v>459179.25</v>
      </c>
      <c r="G8922" s="1039" t="s">
        <v>27</v>
      </c>
      <c r="H8922" s="3"/>
    </row>
    <row r="8923" spans="1:8">
      <c r="A8923" s="1038">
        <v>45959</v>
      </c>
      <c r="B8923" s="1039"/>
      <c r="C8923" s="1039" t="s">
        <v>92</v>
      </c>
      <c r="D8923" s="15" t="s">
        <v>1445</v>
      </c>
      <c r="E8923" s="1497"/>
      <c r="F8923" s="1497">
        <v>956100</v>
      </c>
      <c r="G8923" s="1039" t="s">
        <v>72</v>
      </c>
      <c r="H8923" s="3"/>
    </row>
    <row r="8924" spans="1:8">
      <c r="A8924" s="1038">
        <v>45959</v>
      </c>
      <c r="B8924" s="1039"/>
      <c r="C8924" s="1039" t="s">
        <v>77</v>
      </c>
      <c r="D8924" s="15" t="s">
        <v>4192</v>
      </c>
      <c r="E8924" s="1497"/>
      <c r="F8924" s="1497">
        <v>450000</v>
      </c>
      <c r="G8924" s="1039" t="s">
        <v>72</v>
      </c>
      <c r="H8924" s="3"/>
    </row>
    <row r="8925" spans="1:8">
      <c r="A8925" s="1038">
        <v>45960</v>
      </c>
      <c r="B8925" s="1039"/>
      <c r="C8925" s="1039" t="s">
        <v>77</v>
      </c>
      <c r="D8925" s="15" t="s">
        <v>4192</v>
      </c>
      <c r="E8925" s="1497"/>
      <c r="F8925" s="1497">
        <v>878000</v>
      </c>
      <c r="G8925" s="1039" t="s">
        <v>72</v>
      </c>
      <c r="H8925" s="3"/>
    </row>
    <row r="8926" spans="1:8">
      <c r="A8926" s="1038">
        <v>45960</v>
      </c>
      <c r="B8926" s="1039"/>
      <c r="C8926" s="1039" t="s">
        <v>90</v>
      </c>
      <c r="D8926" s="15" t="s">
        <v>1951</v>
      </c>
      <c r="E8926" s="1497">
        <v>13000</v>
      </c>
      <c r="F8926" s="1497"/>
      <c r="G8926" s="1039" t="s">
        <v>56</v>
      </c>
      <c r="H8926" s="3"/>
    </row>
    <row r="8927" spans="1:8">
      <c r="A8927" s="1038">
        <v>45960</v>
      </c>
      <c r="B8927" s="1039"/>
      <c r="C8927" s="1039" t="s">
        <v>55</v>
      </c>
      <c r="D8927" s="15" t="s">
        <v>70</v>
      </c>
      <c r="E8927" s="1497">
        <v>9100</v>
      </c>
      <c r="F8927" s="1497"/>
      <c r="G8927" s="1039" t="s">
        <v>56</v>
      </c>
      <c r="H8927" s="3"/>
    </row>
    <row r="8928" spans="1:8">
      <c r="A8928" s="1038">
        <v>45960</v>
      </c>
      <c r="B8928" s="1039"/>
      <c r="C8928" s="1039" t="s">
        <v>150</v>
      </c>
      <c r="D8928" s="3" t="s">
        <v>4185</v>
      </c>
      <c r="E8928" s="1497"/>
      <c r="F8928" s="1497">
        <v>1600000</v>
      </c>
      <c r="G8928" s="1039" t="s">
        <v>56</v>
      </c>
      <c r="H8928" s="3"/>
    </row>
    <row r="8929" spans="1:8">
      <c r="A8929" s="1038">
        <v>45960</v>
      </c>
      <c r="B8929" s="1039"/>
      <c r="C8929" s="1039" t="s">
        <v>90</v>
      </c>
      <c r="D8929" s="3" t="s">
        <v>144</v>
      </c>
      <c r="E8929" s="1497">
        <v>420000</v>
      </c>
      <c r="F8929" s="1497"/>
      <c r="G8929" s="1039" t="s">
        <v>27</v>
      </c>
      <c r="H8929" s="3"/>
    </row>
    <row r="8930" spans="1:8">
      <c r="A8930" s="1038">
        <v>45960</v>
      </c>
      <c r="B8930" s="1039"/>
      <c r="C8930" s="1039" t="s">
        <v>79</v>
      </c>
      <c r="D8930" s="3" t="s">
        <v>640</v>
      </c>
      <c r="E8930" s="1497">
        <v>778000</v>
      </c>
      <c r="F8930" s="1497"/>
      <c r="G8930" s="1039" t="s">
        <v>27</v>
      </c>
      <c r="H8930" s="3"/>
    </row>
    <row r="8931" spans="1:8">
      <c r="A8931" s="1038">
        <v>45960</v>
      </c>
      <c r="B8931" s="1039"/>
      <c r="C8931" s="1039" t="s">
        <v>79</v>
      </c>
      <c r="D8931" s="3" t="s">
        <v>4186</v>
      </c>
      <c r="E8931" s="1497">
        <v>568000</v>
      </c>
      <c r="F8931" s="1497"/>
      <c r="G8931" s="1039" t="s">
        <v>27</v>
      </c>
      <c r="H8931" s="3"/>
    </row>
    <row r="8932" spans="1:8">
      <c r="A8932" s="1038">
        <v>45961</v>
      </c>
      <c r="B8932" s="1039"/>
      <c r="C8932" s="1039" t="s">
        <v>537</v>
      </c>
      <c r="D8932" s="3" t="s">
        <v>208</v>
      </c>
      <c r="E8932" s="1497">
        <v>220000</v>
      </c>
      <c r="F8932" s="1497"/>
      <c r="G8932" s="1039" t="s">
        <v>56</v>
      </c>
      <c r="H8932" s="3"/>
    </row>
    <row r="8933" spans="1:8" ht="15.75" thickBot="1">
      <c r="A8933" s="119">
        <v>45961</v>
      </c>
      <c r="B8933" s="57"/>
      <c r="C8933" s="57" t="s">
        <v>537</v>
      </c>
      <c r="D8933" s="85" t="s">
        <v>219</v>
      </c>
      <c r="E8933" s="57">
        <v>220000</v>
      </c>
      <c r="F8933" s="57"/>
      <c r="G8933" s="57" t="s">
        <v>56</v>
      </c>
      <c r="H8933" s="85"/>
    </row>
    <row r="8934" spans="1:8" ht="15.75" thickBot="1">
      <c r="A8934" s="1535"/>
      <c r="B8934" s="1536"/>
      <c r="C8934" s="1536"/>
      <c r="D8934" s="1536"/>
      <c r="E8934" s="1536"/>
      <c r="F8934" s="1536"/>
      <c r="G8934" s="1536"/>
      <c r="H8934" s="1537"/>
    </row>
    <row r="8935" spans="1:8">
      <c r="A8935" s="77">
        <v>45962</v>
      </c>
      <c r="B8935" s="62"/>
      <c r="C8935" s="62" t="s">
        <v>55</v>
      </c>
      <c r="D8935" s="5" t="s">
        <v>562</v>
      </c>
      <c r="E8935" s="62">
        <v>16200</v>
      </c>
      <c r="F8935" s="62"/>
      <c r="G8935" s="62" t="s">
        <v>56</v>
      </c>
      <c r="H8935" s="5"/>
    </row>
    <row r="8936" spans="1:8">
      <c r="A8936" s="77">
        <v>45962</v>
      </c>
      <c r="B8936" s="62"/>
      <c r="C8936" s="62" t="s">
        <v>79</v>
      </c>
      <c r="D8936" s="5" t="s">
        <v>4187</v>
      </c>
      <c r="E8936" s="62">
        <v>25000</v>
      </c>
      <c r="F8936" s="62"/>
      <c r="G8936" s="62" t="s">
        <v>56</v>
      </c>
      <c r="H8936" s="5"/>
    </row>
    <row r="8937" spans="1:8">
      <c r="A8937" s="77">
        <v>45962</v>
      </c>
      <c r="B8937" s="62"/>
      <c r="C8937" s="62" t="s">
        <v>79</v>
      </c>
      <c r="D8937" s="5" t="s">
        <v>79</v>
      </c>
      <c r="E8937" s="62">
        <v>8800</v>
      </c>
      <c r="F8937" s="62"/>
      <c r="G8937" s="62" t="s">
        <v>56</v>
      </c>
      <c r="H8937" s="5"/>
    </row>
    <row r="8938" spans="1:8">
      <c r="A8938" s="77">
        <v>45962</v>
      </c>
      <c r="B8938" s="62"/>
      <c r="C8938" s="62" t="s">
        <v>86</v>
      </c>
      <c r="D8938" s="5" t="s">
        <v>104</v>
      </c>
      <c r="E8938" s="62">
        <v>30000</v>
      </c>
      <c r="F8938" s="62"/>
      <c r="G8938" s="62" t="s">
        <v>56</v>
      </c>
      <c r="H8938" s="5"/>
    </row>
    <row r="8939" spans="1:8">
      <c r="A8939" s="77">
        <v>45962</v>
      </c>
      <c r="B8939" s="62"/>
      <c r="C8939" s="62" t="s">
        <v>205</v>
      </c>
      <c r="D8939" s="5" t="s">
        <v>38</v>
      </c>
      <c r="E8939" s="62">
        <v>9800</v>
      </c>
      <c r="F8939" s="62"/>
      <c r="G8939" s="62" t="s">
        <v>56</v>
      </c>
      <c r="H8939" s="5"/>
    </row>
    <row r="8940" spans="1:8">
      <c r="A8940" s="77">
        <v>45962</v>
      </c>
      <c r="B8940" s="62"/>
      <c r="C8940" s="62"/>
      <c r="D8940" s="5" t="s">
        <v>1971</v>
      </c>
      <c r="E8940" s="62">
        <v>5000</v>
      </c>
      <c r="F8940" s="62"/>
      <c r="G8940" s="62" t="s">
        <v>56</v>
      </c>
      <c r="H8940" s="5"/>
    </row>
    <row r="8941" spans="1:8">
      <c r="A8941" s="77">
        <v>45965</v>
      </c>
      <c r="B8941" s="62"/>
      <c r="C8941" s="62" t="s">
        <v>86</v>
      </c>
      <c r="D8941" s="5" t="s">
        <v>104</v>
      </c>
      <c r="E8941" s="62">
        <v>60000</v>
      </c>
      <c r="F8941" s="62"/>
      <c r="G8941" s="62" t="s">
        <v>56</v>
      </c>
      <c r="H8941" s="5" t="s">
        <v>2198</v>
      </c>
    </row>
    <row r="8942" spans="1:8">
      <c r="A8942" s="77">
        <v>45965</v>
      </c>
      <c r="B8942" s="1039"/>
      <c r="C8942" s="1039" t="s">
        <v>831</v>
      </c>
      <c r="D8942" s="3" t="s">
        <v>3602</v>
      </c>
      <c r="E8942" s="1497">
        <v>35000</v>
      </c>
      <c r="F8942" s="1497"/>
      <c r="G8942" s="1039" t="s">
        <v>56</v>
      </c>
      <c r="H8942" s="3" t="s">
        <v>2198</v>
      </c>
    </row>
    <row r="8943" spans="1:8">
      <c r="A8943" s="77">
        <v>45966</v>
      </c>
      <c r="B8943" s="1039"/>
      <c r="C8943" s="1039" t="s">
        <v>205</v>
      </c>
      <c r="D8943" s="3" t="s">
        <v>48</v>
      </c>
      <c r="E8943" s="1497">
        <v>92273</v>
      </c>
      <c r="F8943" s="1497"/>
      <c r="G8943" s="1039" t="s">
        <v>27</v>
      </c>
      <c r="H8943" s="3"/>
    </row>
    <row r="8944" spans="1:8">
      <c r="A8944" s="77">
        <v>45966</v>
      </c>
      <c r="B8944" s="1039"/>
      <c r="C8944" s="1039" t="s">
        <v>205</v>
      </c>
      <c r="D8944" s="3" t="s">
        <v>4188</v>
      </c>
      <c r="E8944" s="1497">
        <v>10000</v>
      </c>
      <c r="F8944" s="1497"/>
      <c r="G8944" s="1039" t="s">
        <v>56</v>
      </c>
      <c r="H8944" s="3"/>
    </row>
    <row r="8945" spans="1:8">
      <c r="A8945" s="1038">
        <v>45966</v>
      </c>
      <c r="B8945" s="1039"/>
      <c r="C8945" s="1039" t="s">
        <v>205</v>
      </c>
      <c r="D8945" s="3" t="s">
        <v>63</v>
      </c>
      <c r="E8945" s="1497">
        <v>5000</v>
      </c>
      <c r="F8945" s="1497"/>
      <c r="G8945" s="1039" t="s">
        <v>56</v>
      </c>
      <c r="H8945" s="3"/>
    </row>
    <row r="8946" spans="1:8">
      <c r="A8946" s="1038">
        <v>45967</v>
      </c>
      <c r="B8946" s="1039"/>
      <c r="C8946" s="1039" t="s">
        <v>92</v>
      </c>
      <c r="D8946" s="3" t="s">
        <v>1255</v>
      </c>
      <c r="E8946" s="1497"/>
      <c r="F8946" s="1497">
        <v>58000</v>
      </c>
      <c r="G8946" s="1039" t="s">
        <v>56</v>
      </c>
      <c r="H8946" s="3"/>
    </row>
    <row r="8947" spans="1:8">
      <c r="A8947" s="1038">
        <v>45967</v>
      </c>
      <c r="B8947" s="1039"/>
      <c r="C8947" s="1039" t="s">
        <v>92</v>
      </c>
      <c r="D8947" s="3" t="s">
        <v>1074</v>
      </c>
      <c r="E8947" s="1497"/>
      <c r="F8947" s="1497">
        <v>186340</v>
      </c>
      <c r="G8947" s="1039" t="s">
        <v>72</v>
      </c>
      <c r="H8947" s="3"/>
    </row>
    <row r="8948" spans="1:8">
      <c r="A8948" s="1038">
        <v>45968</v>
      </c>
      <c r="B8948" s="1039"/>
      <c r="C8948" s="1039" t="s">
        <v>86</v>
      </c>
      <c r="D8948" s="3" t="s">
        <v>3749</v>
      </c>
      <c r="E8948" s="1497">
        <v>30630</v>
      </c>
      <c r="F8948" s="1497"/>
      <c r="G8948" s="1039" t="s">
        <v>56</v>
      </c>
      <c r="H8948" s="3"/>
    </row>
    <row r="8949" spans="1:8">
      <c r="A8949" s="1038">
        <v>45968</v>
      </c>
      <c r="B8949" s="1039"/>
      <c r="C8949" s="1039" t="s">
        <v>537</v>
      </c>
      <c r="D8949" s="3" t="s">
        <v>219</v>
      </c>
      <c r="E8949" s="1497">
        <v>275000</v>
      </c>
      <c r="F8949" s="1497"/>
      <c r="G8949" s="1039" t="s">
        <v>56</v>
      </c>
      <c r="H8949" s="3"/>
    </row>
    <row r="8950" spans="1:8">
      <c r="A8950" s="1038">
        <v>45968</v>
      </c>
      <c r="B8950" s="1039"/>
      <c r="C8950" s="1039" t="s">
        <v>537</v>
      </c>
      <c r="D8950" s="3" t="s">
        <v>208</v>
      </c>
      <c r="E8950" s="1497">
        <v>275000</v>
      </c>
      <c r="F8950" s="1497"/>
      <c r="G8950" s="1039" t="s">
        <v>56</v>
      </c>
      <c r="H8950" s="3"/>
    </row>
    <row r="8951" spans="1:8">
      <c r="A8951" s="1038">
        <v>45968</v>
      </c>
      <c r="B8951" s="1039"/>
      <c r="C8951" s="1039" t="s">
        <v>537</v>
      </c>
      <c r="D8951" s="3" t="s">
        <v>193</v>
      </c>
      <c r="E8951" s="1497">
        <v>150000</v>
      </c>
      <c r="F8951" s="1497"/>
      <c r="G8951" s="1039" t="s">
        <v>56</v>
      </c>
      <c r="H8951" s="3"/>
    </row>
    <row r="8952" spans="1:8">
      <c r="A8952" s="1038">
        <v>45968</v>
      </c>
      <c r="B8952" s="1039"/>
      <c r="C8952" s="1039" t="s">
        <v>92</v>
      </c>
      <c r="D8952" s="3" t="s">
        <v>422</v>
      </c>
      <c r="E8952" s="1497"/>
      <c r="F8952" s="1497">
        <v>70785</v>
      </c>
      <c r="G8952" s="1039" t="s">
        <v>27</v>
      </c>
      <c r="H8952" s="3"/>
    </row>
    <row r="8953" spans="1:8">
      <c r="A8953" s="1038">
        <v>45968</v>
      </c>
      <c r="B8953" s="1039"/>
      <c r="C8953" s="1039" t="s">
        <v>92</v>
      </c>
      <c r="D8953" s="3" t="s">
        <v>4189</v>
      </c>
      <c r="E8953" s="1497"/>
      <c r="F8953" s="1497">
        <v>545000</v>
      </c>
      <c r="G8953" s="1039" t="s">
        <v>287</v>
      </c>
      <c r="H8953" s="3"/>
    </row>
    <row r="8954" spans="1:8">
      <c r="A8954" s="1038">
        <v>45968</v>
      </c>
      <c r="B8954" s="1039"/>
      <c r="C8954" s="1039" t="s">
        <v>92</v>
      </c>
      <c r="D8954" s="3" t="s">
        <v>1722</v>
      </c>
      <c r="E8954" s="1497"/>
      <c r="F8954" s="1497">
        <v>165200</v>
      </c>
      <c r="G8954" s="1039" t="s">
        <v>287</v>
      </c>
      <c r="H8954" s="3"/>
    </row>
    <row r="8955" spans="1:8">
      <c r="A8955" s="1038">
        <v>45968</v>
      </c>
      <c r="B8955" s="1039"/>
      <c r="C8955" s="1039" t="s">
        <v>205</v>
      </c>
      <c r="D8955" s="3" t="s">
        <v>246</v>
      </c>
      <c r="E8955" s="1497">
        <v>6300</v>
      </c>
      <c r="F8955" s="1497"/>
      <c r="G8955" s="1039" t="s">
        <v>27</v>
      </c>
      <c r="H8955" s="3"/>
    </row>
    <row r="8956" spans="1:8">
      <c r="A8956" s="1038">
        <v>45968</v>
      </c>
      <c r="B8956" s="1039"/>
      <c r="C8956" s="1039" t="s">
        <v>79</v>
      </c>
      <c r="D8956" s="3" t="s">
        <v>4190</v>
      </c>
      <c r="E8956" s="1497"/>
      <c r="F8956" s="1497">
        <v>250000</v>
      </c>
      <c r="G8956" s="1039" t="s">
        <v>27</v>
      </c>
      <c r="H8956" s="3"/>
    </row>
    <row r="8957" spans="1:8">
      <c r="A8957" s="1038">
        <v>45971</v>
      </c>
      <c r="B8957" s="1039"/>
      <c r="C8957" s="1039" t="s">
        <v>79</v>
      </c>
      <c r="D8957" s="3" t="s">
        <v>195</v>
      </c>
      <c r="E8957" s="1497">
        <v>31000</v>
      </c>
      <c r="F8957" s="1497"/>
      <c r="G8957" s="1039" t="s">
        <v>56</v>
      </c>
      <c r="H8957" s="3"/>
    </row>
    <row r="8958" spans="1:8">
      <c r="A8958" s="1038">
        <v>45971</v>
      </c>
      <c r="B8958" s="1039"/>
      <c r="C8958" s="1039" t="s">
        <v>79</v>
      </c>
      <c r="D8958" s="3" t="s">
        <v>79</v>
      </c>
      <c r="E8958" s="1497">
        <v>30000</v>
      </c>
      <c r="F8958" s="1497"/>
      <c r="G8958" s="1039" t="s">
        <v>56</v>
      </c>
      <c r="H8958" s="3"/>
    </row>
    <row r="8959" spans="1:8">
      <c r="A8959" s="1038">
        <v>45971</v>
      </c>
      <c r="B8959" s="1039"/>
      <c r="C8959" s="1039" t="s">
        <v>55</v>
      </c>
      <c r="D8959" s="3" t="s">
        <v>4191</v>
      </c>
      <c r="E8959" s="1497">
        <v>78000</v>
      </c>
      <c r="F8959" s="1497"/>
      <c r="G8959" s="1039" t="s">
        <v>56</v>
      </c>
      <c r="H8959" s="3"/>
    </row>
    <row r="8960" spans="1:8">
      <c r="A8960" s="1038">
        <v>45971</v>
      </c>
      <c r="B8960" s="1039"/>
      <c r="C8960" s="1039" t="s">
        <v>79</v>
      </c>
      <c r="D8960" s="3" t="s">
        <v>640</v>
      </c>
      <c r="E8960" s="1497">
        <v>100000</v>
      </c>
      <c r="F8960" s="1497"/>
      <c r="G8960" s="1039" t="s">
        <v>56</v>
      </c>
      <c r="H8960" s="3"/>
    </row>
    <row r="8961" spans="1:8">
      <c r="A8961" s="1038">
        <v>45972</v>
      </c>
      <c r="B8961" s="1039"/>
      <c r="C8961" s="1039" t="s">
        <v>92</v>
      </c>
      <c r="D8961" s="3" t="s">
        <v>4177</v>
      </c>
      <c r="E8961" s="1497"/>
      <c r="F8961" s="1497">
        <v>614877.61</v>
      </c>
      <c r="G8961" s="1039" t="s">
        <v>72</v>
      </c>
      <c r="H8961" s="3"/>
    </row>
    <row r="8962" spans="1:8">
      <c r="A8962" s="1038">
        <v>45972</v>
      </c>
      <c r="B8962" s="1039"/>
      <c r="C8962" s="1039" t="s">
        <v>55</v>
      </c>
      <c r="D8962" s="3" t="s">
        <v>562</v>
      </c>
      <c r="E8962" s="1497">
        <v>10500</v>
      </c>
      <c r="F8962" s="1497"/>
      <c r="G8962" s="1039" t="s">
        <v>56</v>
      </c>
      <c r="H8962" s="3"/>
    </row>
    <row r="8963" spans="1:8">
      <c r="A8963" s="1038">
        <v>45973</v>
      </c>
      <c r="B8963" s="1039"/>
      <c r="C8963" s="1039" t="s">
        <v>55</v>
      </c>
      <c r="D8963" s="3" t="s">
        <v>2659</v>
      </c>
      <c r="E8963" s="1497">
        <v>3000</v>
      </c>
      <c r="F8963" s="1497"/>
      <c r="G8963" s="1039" t="s">
        <v>56</v>
      </c>
      <c r="H8963" s="3"/>
    </row>
    <row r="8964" spans="1:8">
      <c r="A8964" s="1038">
        <v>45973</v>
      </c>
      <c r="B8964" s="1039"/>
      <c r="C8964" s="1039" t="s">
        <v>205</v>
      </c>
      <c r="D8964" s="3" t="s">
        <v>38</v>
      </c>
      <c r="E8964" s="1497">
        <v>17000</v>
      </c>
      <c r="F8964" s="1497"/>
      <c r="G8964" s="1039" t="s">
        <v>56</v>
      </c>
      <c r="H8964" s="3"/>
    </row>
    <row r="8965" spans="1:8">
      <c r="A8965" s="1038">
        <v>45973</v>
      </c>
      <c r="B8965" s="1039"/>
      <c r="C8965" s="1039" t="s">
        <v>77</v>
      </c>
      <c r="D8965" s="3" t="s">
        <v>4193</v>
      </c>
      <c r="E8965" s="1497"/>
      <c r="F8965" s="1497">
        <v>26787450</v>
      </c>
      <c r="G8965" s="1039" t="s">
        <v>27</v>
      </c>
      <c r="H8965" s="3"/>
    </row>
    <row r="8966" spans="1:8">
      <c r="A8966" s="1038">
        <v>45973</v>
      </c>
      <c r="B8966" s="1039"/>
      <c r="C8966" s="1039" t="s">
        <v>79</v>
      </c>
      <c r="D8966" s="3" t="s">
        <v>3976</v>
      </c>
      <c r="E8966" s="1497">
        <v>90000</v>
      </c>
      <c r="F8966" s="1497"/>
      <c r="G8966" s="1039" t="s">
        <v>27</v>
      </c>
      <c r="H8966" s="3"/>
    </row>
    <row r="8967" spans="1:8">
      <c r="A8967" s="1038">
        <v>45973</v>
      </c>
      <c r="B8967" s="1039"/>
      <c r="C8967" s="1039" t="s">
        <v>79</v>
      </c>
      <c r="D8967" s="3" t="s">
        <v>344</v>
      </c>
      <c r="E8967" s="1497">
        <v>70000</v>
      </c>
      <c r="F8967" s="1497"/>
      <c r="G8967" s="1039" t="s">
        <v>27</v>
      </c>
      <c r="H8967" s="3"/>
    </row>
    <row r="8968" spans="1:8">
      <c r="A8968" s="1038">
        <v>45973</v>
      </c>
      <c r="B8968" s="1039"/>
      <c r="C8968" s="1039" t="s">
        <v>205</v>
      </c>
      <c r="D8968" s="3" t="s">
        <v>970</v>
      </c>
      <c r="E8968" s="1497">
        <v>204000</v>
      </c>
      <c r="F8968" s="1497"/>
      <c r="G8968" s="1039" t="s">
        <v>27</v>
      </c>
      <c r="H8968" s="3"/>
    </row>
    <row r="8969" spans="1:8">
      <c r="A8969" s="1038">
        <v>45974</v>
      </c>
      <c r="B8969" s="1039"/>
      <c r="C8969" s="1039" t="s">
        <v>90</v>
      </c>
      <c r="D8969" s="3" t="s">
        <v>1951</v>
      </c>
      <c r="E8969" s="1497">
        <v>13000</v>
      </c>
      <c r="F8969" s="1497"/>
      <c r="G8969" s="1039" t="s">
        <v>56</v>
      </c>
      <c r="H8969" s="3"/>
    </row>
    <row r="8970" spans="1:8">
      <c r="A8970" s="1038">
        <v>45974</v>
      </c>
      <c r="B8970" s="1039"/>
      <c r="C8970" s="1039" t="s">
        <v>77</v>
      </c>
      <c r="D8970" s="3" t="s">
        <v>4194</v>
      </c>
      <c r="E8970" s="1497"/>
      <c r="F8970" s="1497">
        <v>82600</v>
      </c>
      <c r="G8970" s="1039" t="s">
        <v>27</v>
      </c>
      <c r="H8970" s="3"/>
    </row>
    <row r="8971" spans="1:8">
      <c r="A8971" s="1042">
        <v>45974</v>
      </c>
      <c r="B8971" s="1039"/>
      <c r="C8971" s="1039" t="s">
        <v>77</v>
      </c>
      <c r="D8971" s="3" t="s">
        <v>4195</v>
      </c>
      <c r="E8971" s="1497"/>
      <c r="F8971" s="1497">
        <v>139849.73000000001</v>
      </c>
      <c r="G8971" s="1039" t="s">
        <v>27</v>
      </c>
      <c r="H8971" s="3"/>
    </row>
    <row r="8972" spans="1:8">
      <c r="A8972" s="1042">
        <v>45974</v>
      </c>
      <c r="B8972" s="1039"/>
      <c r="C8972" s="1039" t="s">
        <v>730</v>
      </c>
      <c r="D8972" s="3" t="s">
        <v>4196</v>
      </c>
      <c r="E8972" s="1497">
        <v>125000</v>
      </c>
      <c r="F8972" s="1497"/>
      <c r="G8972" s="1039" t="s">
        <v>27</v>
      </c>
      <c r="H8972" s="3"/>
    </row>
    <row r="8973" spans="1:8">
      <c r="A8973" s="1042">
        <v>45974</v>
      </c>
      <c r="B8973" s="1039"/>
      <c r="C8973" s="1039" t="s">
        <v>205</v>
      </c>
      <c r="D8973" s="3" t="s">
        <v>45</v>
      </c>
      <c r="E8973" s="1497">
        <v>215120</v>
      </c>
      <c r="F8973" s="1497"/>
      <c r="G8973" s="1039" t="s">
        <v>996</v>
      </c>
      <c r="H8973" s="3"/>
    </row>
    <row r="8974" spans="1:8">
      <c r="A8974" s="1042">
        <v>45974</v>
      </c>
      <c r="B8974" s="1041"/>
      <c r="C8974" s="1041" t="s">
        <v>92</v>
      </c>
      <c r="D8974" s="3" t="s">
        <v>317</v>
      </c>
      <c r="E8974" s="1497"/>
      <c r="F8974" s="1497">
        <v>43300</v>
      </c>
      <c r="G8974" s="1041" t="s">
        <v>56</v>
      </c>
      <c r="H8974" s="3"/>
    </row>
    <row r="8975" spans="1:8">
      <c r="A8975" s="1042">
        <v>45974</v>
      </c>
      <c r="B8975" s="1041"/>
      <c r="C8975" s="1041" t="s">
        <v>77</v>
      </c>
      <c r="D8975" s="3" t="s">
        <v>4197</v>
      </c>
      <c r="E8975" s="1497"/>
      <c r="F8975" s="1497">
        <v>212000</v>
      </c>
      <c r="G8975" s="1041" t="s">
        <v>56</v>
      </c>
      <c r="H8975" s="3"/>
    </row>
    <row r="8976" spans="1:8">
      <c r="A8976" s="1042">
        <v>45974</v>
      </c>
      <c r="B8976" s="1039"/>
      <c r="C8976" s="1039" t="s">
        <v>92</v>
      </c>
      <c r="D8976" s="3" t="s">
        <v>1445</v>
      </c>
      <c r="E8976" s="1497"/>
      <c r="F8976" s="1497">
        <v>11288360</v>
      </c>
      <c r="G8976" s="1039" t="s">
        <v>996</v>
      </c>
      <c r="H8976" s="3"/>
    </row>
    <row r="8977" spans="1:8">
      <c r="A8977" s="1042">
        <v>45975</v>
      </c>
      <c r="B8977" s="1041"/>
      <c r="C8977" s="1041" t="s">
        <v>77</v>
      </c>
      <c r="D8977" s="3" t="s">
        <v>4198</v>
      </c>
      <c r="E8977" s="1497"/>
      <c r="F8977" s="1497">
        <v>2516326.2799999998</v>
      </c>
      <c r="G8977" s="1041" t="s">
        <v>27</v>
      </c>
      <c r="H8977" s="3"/>
    </row>
    <row r="8978" spans="1:8">
      <c r="A8978" s="1042">
        <v>45975</v>
      </c>
      <c r="B8978" s="1041"/>
      <c r="C8978" s="1041" t="s">
        <v>77</v>
      </c>
      <c r="D8978" s="3" t="s">
        <v>4198</v>
      </c>
      <c r="E8978" s="1497"/>
      <c r="F8978" s="1497">
        <v>67000</v>
      </c>
      <c r="G8978" s="1041" t="s">
        <v>27</v>
      </c>
      <c r="H8978" s="3"/>
    </row>
    <row r="8979" spans="1:8">
      <c r="A8979" s="1042">
        <v>45975</v>
      </c>
      <c r="B8979" s="1041"/>
      <c r="C8979" s="1041" t="s">
        <v>55</v>
      </c>
      <c r="D8979" s="3" t="s">
        <v>1926</v>
      </c>
      <c r="E8979" s="1497">
        <v>8000</v>
      </c>
      <c r="F8979" s="1497"/>
      <c r="G8979" s="1041" t="s">
        <v>56</v>
      </c>
      <c r="H8979" s="3"/>
    </row>
    <row r="8980" spans="1:8">
      <c r="A8980" s="1042">
        <v>45975</v>
      </c>
      <c r="B8980" s="1041"/>
      <c r="C8980" s="1041" t="s">
        <v>90</v>
      </c>
      <c r="D8980" s="3" t="s">
        <v>750</v>
      </c>
      <c r="E8980" s="1497">
        <v>275000</v>
      </c>
      <c r="F8980" s="1497"/>
      <c r="G8980" s="1041" t="s">
        <v>56</v>
      </c>
      <c r="H8980" s="3"/>
    </row>
    <row r="8981" spans="1:8">
      <c r="A8981" s="1042">
        <v>45975</v>
      </c>
      <c r="B8981" s="1041"/>
      <c r="C8981" s="1041" t="s">
        <v>90</v>
      </c>
      <c r="D8981" s="3" t="s">
        <v>220</v>
      </c>
      <c r="E8981" s="1497">
        <v>275000</v>
      </c>
      <c r="F8981" s="1497"/>
      <c r="G8981" s="1041" t="s">
        <v>56</v>
      </c>
      <c r="H8981" s="3"/>
    </row>
    <row r="8982" spans="1:8">
      <c r="A8982" s="1042">
        <v>45975</v>
      </c>
      <c r="B8982" s="1041"/>
      <c r="C8982" s="1041" t="s">
        <v>90</v>
      </c>
      <c r="D8982" s="3" t="s">
        <v>193</v>
      </c>
      <c r="E8982" s="1497">
        <v>150000</v>
      </c>
      <c r="F8982" s="1497"/>
      <c r="G8982" s="1041" t="s">
        <v>56</v>
      </c>
      <c r="H8982" s="3"/>
    </row>
    <row r="8983" spans="1:8">
      <c r="A8983" s="1042">
        <v>45975</v>
      </c>
      <c r="B8983" s="1041"/>
      <c r="C8983" s="1041" t="s">
        <v>94</v>
      </c>
      <c r="D8983" s="3" t="s">
        <v>395</v>
      </c>
      <c r="E8983" s="1497">
        <v>134165</v>
      </c>
      <c r="F8983" s="1497"/>
      <c r="G8983" s="1041" t="s">
        <v>27</v>
      </c>
      <c r="H8983" s="3"/>
    </row>
    <row r="8984" spans="1:8">
      <c r="A8984" s="1042">
        <v>45975</v>
      </c>
      <c r="B8984" s="1041"/>
      <c r="C8984" s="1041" t="s">
        <v>79</v>
      </c>
      <c r="D8984" s="3" t="s">
        <v>395</v>
      </c>
      <c r="E8984" s="1497">
        <v>64300</v>
      </c>
      <c r="F8984" s="1497"/>
      <c r="G8984" s="1041" t="s">
        <v>27</v>
      </c>
      <c r="H8984" s="3"/>
    </row>
    <row r="8985" spans="1:8">
      <c r="A8985" s="1042">
        <v>45978</v>
      </c>
      <c r="B8985" s="1041"/>
      <c r="C8985" s="1041" t="s">
        <v>94</v>
      </c>
      <c r="D8985" s="3" t="s">
        <v>245</v>
      </c>
      <c r="E8985" s="1497">
        <v>153141.73000000001</v>
      </c>
      <c r="F8985" s="1497"/>
      <c r="G8985" s="1041" t="s">
        <v>27</v>
      </c>
      <c r="H8985" s="3"/>
    </row>
    <row r="8986" spans="1:8">
      <c r="A8986" s="1042">
        <v>45978</v>
      </c>
      <c r="B8986" s="1041"/>
      <c r="C8986" s="1041" t="s">
        <v>77</v>
      </c>
      <c r="D8986" s="3" t="s">
        <v>3662</v>
      </c>
      <c r="E8986" s="1497"/>
      <c r="F8986" s="1497">
        <v>2830000</v>
      </c>
      <c r="G8986" s="1041" t="s">
        <v>996</v>
      </c>
      <c r="H8986" s="3"/>
    </row>
    <row r="8987" spans="1:8">
      <c r="A8987" s="1042">
        <v>45978</v>
      </c>
      <c r="B8987" s="1041"/>
      <c r="C8987" s="1041" t="s">
        <v>205</v>
      </c>
      <c r="D8987" s="3" t="s">
        <v>2764</v>
      </c>
      <c r="E8987" s="1497">
        <v>5000</v>
      </c>
      <c r="F8987" s="1497"/>
      <c r="G8987" s="1041" t="s">
        <v>56</v>
      </c>
      <c r="H8987" s="3"/>
    </row>
    <row r="8988" spans="1:8">
      <c r="A8988" s="1042">
        <v>45978</v>
      </c>
      <c r="B8988" s="1041"/>
      <c r="C8988" s="1041" t="s">
        <v>205</v>
      </c>
      <c r="D8988" s="3" t="s">
        <v>48</v>
      </c>
      <c r="E8988" s="1497">
        <v>1000000</v>
      </c>
      <c r="F8988" s="1497"/>
      <c r="G8988" s="1041" t="s">
        <v>27</v>
      </c>
      <c r="H8988" s="3"/>
    </row>
    <row r="8989" spans="1:8">
      <c r="A8989" s="1042">
        <v>45978</v>
      </c>
      <c r="B8989" s="1041"/>
      <c r="C8989" s="1041" t="s">
        <v>205</v>
      </c>
      <c r="D8989" s="3" t="s">
        <v>48</v>
      </c>
      <c r="E8989" s="1497">
        <v>1673360</v>
      </c>
      <c r="F8989" s="1497"/>
      <c r="G8989" s="1041" t="s">
        <v>996</v>
      </c>
      <c r="H8989" s="3" t="s">
        <v>1445</v>
      </c>
    </row>
    <row r="8990" spans="1:8">
      <c r="A8990" s="1042">
        <v>45979</v>
      </c>
      <c r="B8990" s="1041"/>
      <c r="C8990" s="1041" t="s">
        <v>92</v>
      </c>
      <c r="D8990" s="3" t="s">
        <v>82</v>
      </c>
      <c r="E8990" s="1497"/>
      <c r="F8990" s="1497">
        <v>62000</v>
      </c>
      <c r="G8990" s="1041" t="s">
        <v>56</v>
      </c>
      <c r="H8990" s="3"/>
    </row>
    <row r="8991" spans="1:8">
      <c r="A8991" s="1042">
        <v>45979</v>
      </c>
      <c r="B8991" s="1041"/>
      <c r="C8991" s="1041" t="s">
        <v>205</v>
      </c>
      <c r="D8991" s="3" t="s">
        <v>71</v>
      </c>
      <c r="E8991" s="1497">
        <v>614877.61</v>
      </c>
      <c r="F8991" s="1497"/>
      <c r="G8991" s="1041" t="s">
        <v>996</v>
      </c>
      <c r="H8991" s="3"/>
    </row>
    <row r="8992" spans="1:8">
      <c r="A8992" s="1042">
        <v>45979</v>
      </c>
      <c r="B8992" s="1041"/>
      <c r="C8992" s="1041" t="s">
        <v>77</v>
      </c>
      <c r="D8992" s="3" t="s">
        <v>4199</v>
      </c>
      <c r="E8992" s="1497"/>
      <c r="F8992" s="1497">
        <v>115000</v>
      </c>
      <c r="G8992" s="1041" t="s">
        <v>56</v>
      </c>
      <c r="H8992" s="3"/>
    </row>
    <row r="8993" spans="1:8">
      <c r="A8993" s="1042">
        <v>45980</v>
      </c>
      <c r="B8993" s="1041"/>
      <c r="C8993" s="1041" t="s">
        <v>205</v>
      </c>
      <c r="D8993" s="3" t="s">
        <v>190</v>
      </c>
      <c r="E8993" s="1497">
        <v>965100</v>
      </c>
      <c r="F8993" s="1497"/>
      <c r="G8993" s="1041" t="s">
        <v>996</v>
      </c>
      <c r="H8993" s="3" t="s">
        <v>1445</v>
      </c>
    </row>
    <row r="8994" spans="1:8">
      <c r="A8994" s="1042">
        <v>45980</v>
      </c>
      <c r="B8994" s="1041"/>
      <c r="C8994" s="1041" t="s">
        <v>55</v>
      </c>
      <c r="D8994" s="3" t="s">
        <v>562</v>
      </c>
      <c r="E8994" s="1497">
        <v>6000</v>
      </c>
      <c r="F8994" s="1497"/>
      <c r="G8994" s="1041" t="s">
        <v>56</v>
      </c>
      <c r="H8994" s="3"/>
    </row>
    <row r="8995" spans="1:8">
      <c r="A8995" s="1038">
        <v>45981</v>
      </c>
      <c r="B8995" s="1039"/>
      <c r="C8995" s="1039" t="s">
        <v>68</v>
      </c>
      <c r="D8995" s="3" t="s">
        <v>1951</v>
      </c>
      <c r="E8995" s="1497">
        <v>12000</v>
      </c>
      <c r="F8995" s="1497"/>
      <c r="G8995" s="1039" t="s">
        <v>56</v>
      </c>
      <c r="H8995" s="3"/>
    </row>
    <row r="8996" spans="1:8">
      <c r="A8996" s="1038">
        <v>45981</v>
      </c>
      <c r="B8996" s="1039"/>
      <c r="C8996" s="1039" t="s">
        <v>77</v>
      </c>
      <c r="D8996" s="3" t="s">
        <v>4178</v>
      </c>
      <c r="E8996" s="1497"/>
      <c r="F8996" s="1497">
        <v>4300</v>
      </c>
      <c r="G8996" s="1039" t="s">
        <v>781</v>
      </c>
      <c r="H8996" s="100">
        <v>6192000</v>
      </c>
    </row>
    <row r="8997" spans="1:8">
      <c r="A8997" s="1038">
        <v>45981</v>
      </c>
      <c r="B8997" s="1039"/>
      <c r="C8997" s="1039" t="s">
        <v>79</v>
      </c>
      <c r="D8997" s="3" t="s">
        <v>17</v>
      </c>
      <c r="E8997" s="1497">
        <v>96057.72</v>
      </c>
      <c r="F8997" s="1497"/>
      <c r="G8997" s="1039" t="s">
        <v>27</v>
      </c>
      <c r="H8997" s="3"/>
    </row>
    <row r="8998" spans="1:8">
      <c r="A8998" s="1038">
        <v>45981</v>
      </c>
      <c r="B8998" s="1039"/>
      <c r="C8998" s="1039" t="s">
        <v>79</v>
      </c>
      <c r="D8998" s="15" t="s">
        <v>1852</v>
      </c>
      <c r="E8998" s="1497">
        <v>86400</v>
      </c>
      <c r="F8998" s="1497"/>
      <c r="G8998" s="1039" t="s">
        <v>56</v>
      </c>
      <c r="H8998" s="3"/>
    </row>
    <row r="8999" spans="1:8">
      <c r="A8999" s="1038">
        <v>45981</v>
      </c>
      <c r="B8999" s="1039"/>
      <c r="C8999" s="1039" t="s">
        <v>537</v>
      </c>
      <c r="D8999" s="15" t="s">
        <v>208</v>
      </c>
      <c r="E8999" s="1497">
        <v>275000</v>
      </c>
      <c r="F8999" s="1497"/>
      <c r="G8999" s="1039" t="s">
        <v>56</v>
      </c>
      <c r="H8999" s="3"/>
    </row>
    <row r="9000" spans="1:8">
      <c r="A9000" s="1038">
        <v>45981</v>
      </c>
      <c r="B9000" s="1039"/>
      <c r="C9000" s="1039" t="s">
        <v>537</v>
      </c>
      <c r="D9000" s="15" t="s">
        <v>219</v>
      </c>
      <c r="E9000" s="1497">
        <v>275000</v>
      </c>
      <c r="F9000" s="1497"/>
      <c r="G9000" s="1039" t="s">
        <v>56</v>
      </c>
      <c r="H9000" s="3"/>
    </row>
    <row r="9001" spans="1:8">
      <c r="A9001" s="1038">
        <v>45981</v>
      </c>
      <c r="B9001" s="1039"/>
      <c r="C9001" s="1039" t="s">
        <v>537</v>
      </c>
      <c r="D9001" s="15" t="s">
        <v>144</v>
      </c>
      <c r="E9001" s="1497">
        <v>520000</v>
      </c>
      <c r="F9001" s="1497"/>
      <c r="G9001" s="1039" t="s">
        <v>56</v>
      </c>
      <c r="H9001" s="3"/>
    </row>
    <row r="9002" spans="1:8">
      <c r="A9002" s="1038">
        <v>45981</v>
      </c>
      <c r="B9002" s="1039"/>
      <c r="C9002" s="1039" t="s">
        <v>537</v>
      </c>
      <c r="D9002" s="3" t="s">
        <v>193</v>
      </c>
      <c r="E9002" s="1497">
        <v>150000</v>
      </c>
      <c r="F9002" s="1497"/>
      <c r="G9002" s="1039" t="s">
        <v>56</v>
      </c>
      <c r="H9002" s="3"/>
    </row>
    <row r="9003" spans="1:8">
      <c r="A9003" s="1042">
        <v>45981</v>
      </c>
      <c r="B9003" s="1041"/>
      <c r="C9003" s="1041" t="s">
        <v>77</v>
      </c>
      <c r="D9003" s="3" t="s">
        <v>4206</v>
      </c>
      <c r="E9003" s="1497"/>
      <c r="F9003" s="1497">
        <v>1127900</v>
      </c>
      <c r="G9003" s="1041" t="s">
        <v>27</v>
      </c>
      <c r="H9003" s="3"/>
    </row>
    <row r="9004" spans="1:8" ht="15.75" thickBot="1">
      <c r="A9004" s="1042">
        <v>45981</v>
      </c>
      <c r="B9004" s="1041"/>
      <c r="C9004" s="1041" t="s">
        <v>77</v>
      </c>
      <c r="D9004" s="3" t="s">
        <v>4206</v>
      </c>
      <c r="E9004" s="1497"/>
      <c r="F9004" s="1497">
        <v>6608632.4000000004</v>
      </c>
      <c r="G9004" s="1041" t="s">
        <v>996</v>
      </c>
      <c r="H9004" s="85"/>
    </row>
    <row r="9005" spans="1:8" ht="15.75" thickBot="1">
      <c r="A9005" s="1040"/>
      <c r="B9005" s="1040"/>
      <c r="C9005" s="1040"/>
      <c r="D9005" s="115"/>
      <c r="E9005" s="1492"/>
      <c r="F9005" s="1492"/>
      <c r="G9005" s="1040"/>
      <c r="H9005" s="201">
        <v>45981</v>
      </c>
    </row>
    <row r="9006" spans="1:8">
      <c r="A9006" s="1040"/>
      <c r="B9006" s="1040"/>
      <c r="C9006" s="1040"/>
      <c r="D9006" s="115"/>
      <c r="E9006" s="1492"/>
      <c r="F9006" s="1492"/>
      <c r="G9006" s="1040"/>
      <c r="H9006" s="803" t="s">
        <v>4205</v>
      </c>
    </row>
    <row r="9007" spans="1:8">
      <c r="A9007" s="1040"/>
      <c r="B9007" s="1040"/>
      <c r="C9007" s="1040"/>
      <c r="D9007" s="115"/>
      <c r="E9007" s="1492"/>
      <c r="F9007" s="1492"/>
      <c r="G9007" s="1040"/>
      <c r="H9007" s="199" t="s">
        <v>4207</v>
      </c>
    </row>
    <row r="9008" spans="1:8">
      <c r="H9008" s="137" t="s">
        <v>4200</v>
      </c>
    </row>
    <row r="9009" spans="1:8">
      <c r="H9009" s="138" t="s">
        <v>808</v>
      </c>
    </row>
    <row r="9010" spans="1:8">
      <c r="H9010" s="138" t="s">
        <v>4201</v>
      </c>
    </row>
    <row r="9011" spans="1:8">
      <c r="H9011" s="138" t="s">
        <v>4202</v>
      </c>
    </row>
    <row r="9012" spans="1:8">
      <c r="H9012" s="138" t="s">
        <v>4203</v>
      </c>
    </row>
    <row r="9013" spans="1:8">
      <c r="H9013" s="138" t="s">
        <v>3933</v>
      </c>
    </row>
    <row r="9014" spans="1:8" ht="15.75" thickBot="1">
      <c r="H9014" s="147" t="s">
        <v>4204</v>
      </c>
    </row>
    <row r="9015" spans="1:8">
      <c r="A9015" s="1042">
        <v>45982</v>
      </c>
      <c r="B9015" s="1041"/>
      <c r="C9015" s="1041" t="s">
        <v>205</v>
      </c>
      <c r="D9015" s="3" t="s">
        <v>4208</v>
      </c>
      <c r="E9015" s="1497">
        <v>11000</v>
      </c>
      <c r="F9015" s="1497"/>
      <c r="G9015" s="1041" t="s">
        <v>27</v>
      </c>
      <c r="H9015" s="5"/>
    </row>
    <row r="9016" spans="1:8">
      <c r="A9016" s="119">
        <v>45982</v>
      </c>
      <c r="B9016" s="57"/>
      <c r="C9016" s="57" t="s">
        <v>77</v>
      </c>
      <c r="D9016" s="85" t="s">
        <v>4210</v>
      </c>
      <c r="E9016" s="57"/>
      <c r="F9016" s="57">
        <v>7115567.5999999996</v>
      </c>
      <c r="G9016" s="57" t="s">
        <v>72</v>
      </c>
      <c r="H9016" s="85"/>
    </row>
    <row r="9017" spans="1:8">
      <c r="A9017" s="119">
        <v>45982</v>
      </c>
      <c r="B9017" s="57"/>
      <c r="C9017" s="57" t="s">
        <v>79</v>
      </c>
      <c r="D9017" s="85" t="s">
        <v>3451</v>
      </c>
      <c r="E9017" s="57">
        <v>520000</v>
      </c>
      <c r="F9017" s="57"/>
      <c r="G9017" s="57" t="s">
        <v>27</v>
      </c>
      <c r="H9017" s="85"/>
    </row>
    <row r="9018" spans="1:8">
      <c r="A9018" s="1046">
        <v>45982</v>
      </c>
      <c r="B9018" s="1044"/>
      <c r="C9018" s="57" t="s">
        <v>79</v>
      </c>
      <c r="D9018" s="3" t="s">
        <v>79</v>
      </c>
      <c r="E9018" s="1497">
        <v>38400</v>
      </c>
      <c r="F9018" s="1497"/>
      <c r="G9018" s="57" t="s">
        <v>27</v>
      </c>
      <c r="H9018" s="3"/>
    </row>
    <row r="9019" spans="1:8">
      <c r="A9019" s="1046">
        <v>45982</v>
      </c>
      <c r="B9019" s="1044"/>
      <c r="C9019" s="57" t="s">
        <v>79</v>
      </c>
      <c r="D9019" s="3" t="s">
        <v>79</v>
      </c>
      <c r="E9019" s="1497">
        <v>58450</v>
      </c>
      <c r="F9019" s="1497"/>
      <c r="G9019" s="57" t="s">
        <v>27</v>
      </c>
      <c r="H9019" s="3"/>
    </row>
    <row r="9020" spans="1:8">
      <c r="A9020" s="119">
        <v>45982</v>
      </c>
      <c r="B9020" s="1044"/>
      <c r="C9020" s="1044" t="s">
        <v>86</v>
      </c>
      <c r="D9020" s="15" t="s">
        <v>3749</v>
      </c>
      <c r="E9020" s="1497">
        <v>30630.98</v>
      </c>
      <c r="F9020" s="1497"/>
      <c r="G9020" s="1044" t="s">
        <v>27</v>
      </c>
      <c r="H9020" s="3"/>
    </row>
    <row r="9021" spans="1:8">
      <c r="A9021" s="119">
        <v>45982</v>
      </c>
      <c r="B9021" s="1044"/>
      <c r="C9021" s="1044" t="s">
        <v>65</v>
      </c>
      <c r="D9021" s="15" t="s">
        <v>3929</v>
      </c>
      <c r="E9021" s="1497">
        <v>89421.83</v>
      </c>
      <c r="F9021" s="1497"/>
      <c r="G9021" s="1044" t="s">
        <v>27</v>
      </c>
      <c r="H9021" s="3"/>
    </row>
    <row r="9022" spans="1:8">
      <c r="A9022" s="1046">
        <v>45982</v>
      </c>
      <c r="B9022" s="1044"/>
      <c r="C9022" s="1044" t="s">
        <v>79</v>
      </c>
      <c r="D9022" s="3" t="s">
        <v>79</v>
      </c>
      <c r="E9022" s="1497">
        <v>33875.5</v>
      </c>
      <c r="F9022" s="1497"/>
      <c r="G9022" s="1044" t="s">
        <v>27</v>
      </c>
      <c r="H9022" s="3"/>
    </row>
    <row r="9023" spans="1:8">
      <c r="A9023" s="1046">
        <v>45982</v>
      </c>
      <c r="B9023" s="1044"/>
      <c r="C9023" s="1044" t="s">
        <v>79</v>
      </c>
      <c r="D9023" s="3" t="s">
        <v>79</v>
      </c>
      <c r="E9023" s="1497">
        <v>25130.41</v>
      </c>
      <c r="F9023" s="1497"/>
      <c r="G9023" s="1044" t="s">
        <v>27</v>
      </c>
      <c r="H9023" s="3"/>
    </row>
    <row r="9024" spans="1:8">
      <c r="A9024" s="1046">
        <v>45986</v>
      </c>
      <c r="B9024" s="1044"/>
      <c r="C9024" s="1044" t="s">
        <v>55</v>
      </c>
      <c r="D9024" s="15" t="s">
        <v>1591</v>
      </c>
      <c r="E9024" s="1497">
        <v>5000</v>
      </c>
      <c r="F9024" s="1497"/>
      <c r="G9024" s="1044" t="s">
        <v>56</v>
      </c>
      <c r="H9024" s="3"/>
    </row>
    <row r="9025" spans="1:8">
      <c r="A9025" s="1046">
        <v>45986</v>
      </c>
      <c r="B9025" s="1044"/>
      <c r="C9025" s="1044" t="s">
        <v>86</v>
      </c>
      <c r="D9025" s="3" t="s">
        <v>104</v>
      </c>
      <c r="E9025" s="1497">
        <v>30600</v>
      </c>
      <c r="F9025" s="1497"/>
      <c r="G9025" s="1044" t="s">
        <v>56</v>
      </c>
      <c r="H9025" s="3"/>
    </row>
    <row r="9026" spans="1:8">
      <c r="A9026" s="1046">
        <v>45986</v>
      </c>
      <c r="B9026" s="1044"/>
      <c r="C9026" s="1044" t="s">
        <v>205</v>
      </c>
      <c r="D9026" s="3" t="s">
        <v>71</v>
      </c>
      <c r="E9026" s="1497">
        <v>698492.72</v>
      </c>
      <c r="F9026" s="1497"/>
      <c r="G9026" s="1044" t="s">
        <v>996</v>
      </c>
      <c r="H9026" s="45" t="s">
        <v>4209</v>
      </c>
    </row>
    <row r="9027" spans="1:8">
      <c r="A9027" s="1043">
        <v>45986</v>
      </c>
      <c r="B9027" s="1044"/>
      <c r="C9027" s="1044" t="s">
        <v>77</v>
      </c>
      <c r="D9027" s="3" t="s">
        <v>4193</v>
      </c>
      <c r="E9027" s="1497"/>
      <c r="F9027" s="1497">
        <v>5360000</v>
      </c>
      <c r="G9027" s="1044" t="s">
        <v>996</v>
      </c>
      <c r="H9027" s="3"/>
    </row>
    <row r="9028" spans="1:8">
      <c r="A9028" s="1043">
        <v>45986</v>
      </c>
      <c r="B9028" s="1044"/>
      <c r="C9028" s="1044" t="s">
        <v>55</v>
      </c>
      <c r="D9028" s="3" t="s">
        <v>3371</v>
      </c>
      <c r="E9028" s="1497">
        <v>21900</v>
      </c>
      <c r="F9028" s="1497"/>
      <c r="G9028" s="1044" t="s">
        <v>56</v>
      </c>
      <c r="H9028" s="45" t="s">
        <v>4005</v>
      </c>
    </row>
    <row r="9029" spans="1:8">
      <c r="A9029" s="1046">
        <v>45987</v>
      </c>
      <c r="B9029" s="1045"/>
      <c r="C9029" s="1045" t="s">
        <v>205</v>
      </c>
      <c r="D9029" s="3" t="s">
        <v>41</v>
      </c>
      <c r="E9029" s="1497">
        <v>184597.6</v>
      </c>
      <c r="F9029" s="1497"/>
      <c r="G9029" s="1045" t="s">
        <v>72</v>
      </c>
      <c r="H9029" s="45" t="s">
        <v>4212</v>
      </c>
    </row>
    <row r="9030" spans="1:8">
      <c r="A9030" s="1046">
        <v>45987</v>
      </c>
      <c r="B9030" s="1045"/>
      <c r="C9030" s="1045" t="s">
        <v>205</v>
      </c>
      <c r="D9030" s="3" t="s">
        <v>41</v>
      </c>
      <c r="E9030" s="1497">
        <v>6000</v>
      </c>
      <c r="F9030" s="1497"/>
      <c r="G9030" s="1045" t="s">
        <v>4211</v>
      </c>
      <c r="H9030" s="3"/>
    </row>
    <row r="9031" spans="1:8">
      <c r="A9031" s="1046">
        <v>45987</v>
      </c>
      <c r="B9031" s="1045"/>
      <c r="C9031" s="1045" t="s">
        <v>205</v>
      </c>
      <c r="D9031" s="3" t="s">
        <v>1063</v>
      </c>
      <c r="E9031" s="1497">
        <v>43383.46</v>
      </c>
      <c r="F9031" s="1497"/>
      <c r="G9031" s="1045" t="s">
        <v>27</v>
      </c>
      <c r="H9031" s="3"/>
    </row>
    <row r="9032" spans="1:8">
      <c r="A9032" s="1046">
        <v>45987</v>
      </c>
      <c r="B9032" s="1045"/>
      <c r="C9032" s="1045" t="s">
        <v>86</v>
      </c>
      <c r="D9032" s="3" t="s">
        <v>3749</v>
      </c>
      <c r="E9032" s="1497">
        <v>30630.38</v>
      </c>
      <c r="F9032" s="1497"/>
      <c r="G9032" s="1045" t="s">
        <v>27</v>
      </c>
      <c r="H9032" s="3"/>
    </row>
    <row r="9033" spans="1:8">
      <c r="A9033" s="1047">
        <v>45988</v>
      </c>
      <c r="B9033" s="1045"/>
      <c r="C9033" s="1045" t="s">
        <v>92</v>
      </c>
      <c r="D9033" s="3" t="s">
        <v>2185</v>
      </c>
      <c r="E9033" s="1497"/>
      <c r="F9033" s="1497">
        <v>123900</v>
      </c>
      <c r="G9033" s="1045" t="s">
        <v>56</v>
      </c>
      <c r="H9033" s="3"/>
    </row>
    <row r="9034" spans="1:8">
      <c r="A9034" s="1047">
        <v>45988</v>
      </c>
      <c r="B9034" s="1045"/>
      <c r="C9034" s="1045" t="s">
        <v>68</v>
      </c>
      <c r="D9034" s="3" t="s">
        <v>1951</v>
      </c>
      <c r="E9034" s="1497">
        <v>15000</v>
      </c>
      <c r="F9034" s="1497"/>
      <c r="G9034" s="1048" t="s">
        <v>56</v>
      </c>
      <c r="H9034" s="3"/>
    </row>
    <row r="9035" spans="1:8">
      <c r="A9035" s="1047">
        <v>45988</v>
      </c>
      <c r="B9035" s="1045"/>
      <c r="C9035" s="1045" t="s">
        <v>55</v>
      </c>
      <c r="D9035" s="3" t="s">
        <v>562</v>
      </c>
      <c r="E9035" s="1497">
        <v>9000</v>
      </c>
      <c r="F9035" s="1497"/>
      <c r="G9035" s="1048" t="s">
        <v>56</v>
      </c>
      <c r="H9035" s="3"/>
    </row>
    <row r="9036" spans="1:8">
      <c r="A9036" s="1047">
        <v>45988</v>
      </c>
      <c r="B9036" s="1048"/>
      <c r="C9036" s="1048" t="s">
        <v>77</v>
      </c>
      <c r="D9036" s="3" t="s">
        <v>3498</v>
      </c>
      <c r="E9036" s="1497"/>
      <c r="F9036" s="1497">
        <v>3960000</v>
      </c>
      <c r="G9036" s="1048" t="s">
        <v>56</v>
      </c>
      <c r="H9036" s="3"/>
    </row>
    <row r="9037" spans="1:8">
      <c r="A9037" s="1050">
        <v>45988</v>
      </c>
      <c r="B9037" s="1048"/>
      <c r="C9037" s="1048" t="s">
        <v>79</v>
      </c>
      <c r="D9037" s="3" t="s">
        <v>2711</v>
      </c>
      <c r="E9037" s="8">
        <v>109380</v>
      </c>
      <c r="F9037" s="1497"/>
      <c r="G9037" s="1048" t="s">
        <v>27</v>
      </c>
      <c r="H9037" s="3"/>
    </row>
    <row r="9038" spans="1:8">
      <c r="A9038" s="1050">
        <v>45988</v>
      </c>
      <c r="B9038" s="1048"/>
      <c r="C9038" s="1048" t="s">
        <v>90</v>
      </c>
      <c r="D9038" s="3" t="s">
        <v>4016</v>
      </c>
      <c r="E9038" s="8">
        <v>221507</v>
      </c>
      <c r="F9038" s="1497"/>
      <c r="G9038" s="1048" t="s">
        <v>27</v>
      </c>
      <c r="H9038" s="3"/>
    </row>
    <row r="9039" spans="1:8">
      <c r="A9039" s="1050">
        <v>45988</v>
      </c>
      <c r="B9039" s="1048"/>
      <c r="C9039" s="1048" t="s">
        <v>79</v>
      </c>
      <c r="D9039" s="3" t="s">
        <v>4213</v>
      </c>
      <c r="E9039" s="8">
        <v>567838.36</v>
      </c>
      <c r="F9039" s="1497"/>
      <c r="G9039" s="1048" t="s">
        <v>27</v>
      </c>
      <c r="H9039" s="3"/>
    </row>
    <row r="9040" spans="1:8">
      <c r="A9040" s="1050">
        <v>45988</v>
      </c>
      <c r="B9040" s="1049"/>
      <c r="C9040" s="1049" t="s">
        <v>77</v>
      </c>
      <c r="D9040" s="3" t="s">
        <v>4214</v>
      </c>
      <c r="E9040" s="8"/>
      <c r="F9040" s="1497"/>
      <c r="G9040" s="1049" t="s">
        <v>27</v>
      </c>
      <c r="H9040" s="3"/>
    </row>
    <row r="9041" spans="1:8">
      <c r="A9041" s="1050">
        <v>45988</v>
      </c>
      <c r="B9041" s="1049"/>
      <c r="C9041" s="1049" t="s">
        <v>77</v>
      </c>
      <c r="D9041" s="3" t="s">
        <v>4214</v>
      </c>
      <c r="E9041" s="8"/>
      <c r="F9041" s="1497"/>
      <c r="G9041" s="1049" t="s">
        <v>27</v>
      </c>
      <c r="H9041" s="3"/>
    </row>
    <row r="9042" spans="1:8">
      <c r="A9042" s="1050">
        <v>45988</v>
      </c>
      <c r="B9042" s="1049"/>
      <c r="C9042" s="1049" t="s">
        <v>205</v>
      </c>
      <c r="D9042" s="3" t="s">
        <v>71</v>
      </c>
      <c r="E9042" s="1497">
        <v>2604500</v>
      </c>
      <c r="F9042" s="1497"/>
      <c r="G9042" s="1049" t="s">
        <v>27</v>
      </c>
      <c r="H9042" s="3"/>
    </row>
    <row r="9043" spans="1:8">
      <c r="A9043" s="1050">
        <v>45988</v>
      </c>
      <c r="B9043" s="1049"/>
      <c r="C9043" s="1049" t="s">
        <v>205</v>
      </c>
      <c r="D9043" s="3" t="s">
        <v>48</v>
      </c>
      <c r="E9043" s="1497">
        <v>7373750</v>
      </c>
      <c r="F9043" s="1497"/>
      <c r="G9043" s="1049" t="s">
        <v>996</v>
      </c>
      <c r="H9043" s="3"/>
    </row>
    <row r="9044" spans="1:8">
      <c r="A9044" s="1050">
        <v>45988</v>
      </c>
      <c r="B9044" s="1049"/>
      <c r="C9044" s="1049" t="s">
        <v>205</v>
      </c>
      <c r="D9044" s="3" t="s">
        <v>3296</v>
      </c>
      <c r="E9044" s="1497">
        <v>2000000</v>
      </c>
      <c r="F9044" s="1497"/>
      <c r="G9044" s="1049" t="s">
        <v>996</v>
      </c>
      <c r="H9044" s="3"/>
    </row>
    <row r="9045" spans="1:8">
      <c r="A9045" s="1050">
        <v>45988</v>
      </c>
      <c r="B9045" s="1049"/>
      <c r="C9045" s="1049" t="s">
        <v>537</v>
      </c>
      <c r="D9045" s="3" t="s">
        <v>144</v>
      </c>
      <c r="E9045" s="1497">
        <v>1050000</v>
      </c>
      <c r="F9045" s="1497"/>
      <c r="G9045" s="1049" t="s">
        <v>27</v>
      </c>
      <c r="H9045" s="3"/>
    </row>
    <row r="9046" spans="1:8">
      <c r="A9046" s="1051">
        <v>45989</v>
      </c>
      <c r="B9046" s="1052"/>
      <c r="C9046" s="1052" t="s">
        <v>77</v>
      </c>
      <c r="D9046" s="3" t="s">
        <v>4216</v>
      </c>
      <c r="E9046" s="1497"/>
      <c r="F9046" s="1497">
        <v>270000</v>
      </c>
      <c r="G9046" s="1052" t="s">
        <v>56</v>
      </c>
      <c r="H9046" s="3"/>
    </row>
    <row r="9047" spans="1:8">
      <c r="A9047" s="1051">
        <v>45989</v>
      </c>
      <c r="B9047" s="1052"/>
      <c r="C9047" s="1052" t="s">
        <v>55</v>
      </c>
      <c r="D9047" s="3" t="s">
        <v>4215</v>
      </c>
      <c r="E9047" s="1497">
        <v>40000</v>
      </c>
      <c r="F9047" s="1497"/>
      <c r="G9047" s="1052" t="s">
        <v>56</v>
      </c>
      <c r="H9047" s="3"/>
    </row>
    <row r="9048" spans="1:8">
      <c r="A9048" s="1051">
        <v>45989</v>
      </c>
      <c r="B9048" s="1052"/>
      <c r="C9048" s="1052" t="s">
        <v>4218</v>
      </c>
      <c r="D9048" s="3" t="s">
        <v>4217</v>
      </c>
      <c r="E9048" s="1497"/>
      <c r="F9048" s="1497">
        <v>2494000</v>
      </c>
      <c r="G9048" s="1052" t="s">
        <v>996</v>
      </c>
      <c r="H9048" s="3"/>
    </row>
    <row r="9049" spans="1:8">
      <c r="A9049" s="1051">
        <v>45989</v>
      </c>
      <c r="B9049" s="1052"/>
      <c r="C9049" s="1052" t="s">
        <v>537</v>
      </c>
      <c r="D9049" s="3" t="s">
        <v>208</v>
      </c>
      <c r="E9049" s="1497">
        <v>275000</v>
      </c>
      <c r="F9049" s="1497"/>
      <c r="G9049" s="1052" t="s">
        <v>56</v>
      </c>
      <c r="H9049" s="3"/>
    </row>
    <row r="9050" spans="1:8">
      <c r="A9050" s="1051">
        <v>45989</v>
      </c>
      <c r="B9050" s="1052"/>
      <c r="C9050" s="1052" t="s">
        <v>537</v>
      </c>
      <c r="D9050" s="15" t="s">
        <v>219</v>
      </c>
      <c r="E9050" s="1497">
        <v>275000</v>
      </c>
      <c r="F9050" s="1497"/>
      <c r="G9050" s="1052" t="s">
        <v>56</v>
      </c>
      <c r="H9050" s="3"/>
    </row>
    <row r="9051" spans="1:8">
      <c r="A9051" s="1051">
        <v>45989</v>
      </c>
      <c r="B9051" s="1052"/>
      <c r="C9051" s="1052" t="s">
        <v>537</v>
      </c>
      <c r="D9051" s="15" t="s">
        <v>144</v>
      </c>
      <c r="E9051" s="1497">
        <v>525000</v>
      </c>
      <c r="F9051" s="1497"/>
      <c r="G9051" s="1052" t="s">
        <v>56</v>
      </c>
      <c r="H9051" s="3"/>
    </row>
    <row r="9052" spans="1:8">
      <c r="A9052" s="1051">
        <v>45989</v>
      </c>
      <c r="B9052" s="1052"/>
      <c r="C9052" s="1052" t="s">
        <v>537</v>
      </c>
      <c r="D9052" s="15" t="s">
        <v>193</v>
      </c>
      <c r="E9052" s="1497">
        <v>150000</v>
      </c>
      <c r="F9052" s="1497"/>
      <c r="G9052" s="1052" t="s">
        <v>56</v>
      </c>
      <c r="H9052" s="3"/>
    </row>
    <row r="9053" spans="1:8">
      <c r="A9053" s="1051">
        <v>45989</v>
      </c>
      <c r="B9053" s="1052"/>
      <c r="C9053" s="1052" t="s">
        <v>1261</v>
      </c>
      <c r="D9053" s="3" t="s">
        <v>4219</v>
      </c>
      <c r="E9053" s="1497"/>
      <c r="F9053" s="1497">
        <v>25000</v>
      </c>
      <c r="G9053" s="1052" t="s">
        <v>56</v>
      </c>
      <c r="H9053" s="3"/>
    </row>
    <row r="9054" spans="1:8">
      <c r="A9054" s="1051">
        <v>45989</v>
      </c>
      <c r="B9054" s="1052"/>
      <c r="C9054" s="1052" t="s">
        <v>205</v>
      </c>
      <c r="D9054" s="15" t="s">
        <v>63</v>
      </c>
      <c r="E9054" s="1497">
        <v>12014.86</v>
      </c>
      <c r="F9054" s="1497"/>
      <c r="G9054" s="1052" t="s">
        <v>56</v>
      </c>
      <c r="H9054" s="3"/>
    </row>
    <row r="9055" spans="1:8" ht="15.75" thickBot="1">
      <c r="A9055" s="1051">
        <v>45989</v>
      </c>
      <c r="B9055" s="1052"/>
      <c r="C9055" s="1052" t="s">
        <v>205</v>
      </c>
      <c r="D9055" s="3" t="s">
        <v>4220</v>
      </c>
      <c r="E9055" s="1497">
        <v>8042.2</v>
      </c>
      <c r="F9055" s="1497"/>
      <c r="G9055" s="1052" t="s">
        <v>56</v>
      </c>
      <c r="H9055" s="3"/>
    </row>
    <row r="9056" spans="1:8" ht="15.75" thickBot="1">
      <c r="A9056" s="1052"/>
      <c r="B9056" s="1052"/>
      <c r="C9056" s="1052"/>
      <c r="D9056" s="3"/>
      <c r="E9056" s="1497"/>
      <c r="F9056" s="1497"/>
      <c r="G9056" s="1052"/>
      <c r="H9056" s="201">
        <v>45989</v>
      </c>
    </row>
    <row r="9057" spans="1:8">
      <c r="H9057" s="803" t="s">
        <v>4205</v>
      </c>
    </row>
    <row r="9058" spans="1:8">
      <c r="H9058" s="199" t="s">
        <v>4223</v>
      </c>
    </row>
    <row r="9059" spans="1:8">
      <c r="H9059" s="137" t="s">
        <v>905</v>
      </c>
    </row>
    <row r="9060" spans="1:8">
      <c r="H9060" s="138" t="s">
        <v>4221</v>
      </c>
    </row>
    <row r="9061" spans="1:8">
      <c r="H9061" s="138" t="s">
        <v>4222</v>
      </c>
    </row>
    <row r="9062" spans="1:8">
      <c r="H9062" s="138" t="s">
        <v>4202</v>
      </c>
    </row>
    <row r="9063" spans="1:8">
      <c r="H9063" s="138" t="s">
        <v>4225</v>
      </c>
    </row>
    <row r="9064" spans="1:8">
      <c r="H9064" s="138" t="s">
        <v>4224</v>
      </c>
    </row>
    <row r="9065" spans="1:8" ht="15.75" thickBot="1">
      <c r="H9065" s="147" t="s">
        <v>4204</v>
      </c>
    </row>
    <row r="9066" spans="1:8">
      <c r="A9066" s="1054">
        <v>45992</v>
      </c>
      <c r="B9066" s="1053"/>
      <c r="C9066" s="1053" t="s">
        <v>79</v>
      </c>
      <c r="D9066" s="3" t="s">
        <v>79</v>
      </c>
      <c r="E9066" s="1497">
        <v>51900</v>
      </c>
      <c r="F9066" s="1497"/>
      <c r="G9066" s="1053" t="s">
        <v>27</v>
      </c>
      <c r="H9066" s="183"/>
    </row>
    <row r="9067" spans="1:8">
      <c r="A9067" s="1054">
        <v>45992</v>
      </c>
      <c r="B9067" s="1053"/>
      <c r="C9067" s="1053" t="s">
        <v>174</v>
      </c>
      <c r="D9067" s="3" t="s">
        <v>19</v>
      </c>
      <c r="E9067" s="1497">
        <v>46560.61</v>
      </c>
      <c r="F9067" s="1497"/>
      <c r="G9067" s="1053" t="s">
        <v>27</v>
      </c>
      <c r="H9067" s="3"/>
    </row>
    <row r="9068" spans="1:8">
      <c r="A9068" s="1054">
        <v>45992</v>
      </c>
      <c r="B9068" s="1053"/>
      <c r="C9068" s="1053" t="s">
        <v>174</v>
      </c>
      <c r="D9068" s="3" t="s">
        <v>19</v>
      </c>
      <c r="E9068" s="1497">
        <v>17545.66</v>
      </c>
      <c r="F9068" s="1497"/>
      <c r="G9068" s="1053" t="s">
        <v>27</v>
      </c>
      <c r="H9068" s="3"/>
    </row>
    <row r="9069" spans="1:8">
      <c r="A9069" s="1054">
        <v>45992</v>
      </c>
      <c r="B9069" s="1053"/>
      <c r="C9069" s="1053" t="s">
        <v>174</v>
      </c>
      <c r="D9069" s="3" t="s">
        <v>19</v>
      </c>
      <c r="E9069" s="1497">
        <v>17545.66</v>
      </c>
      <c r="F9069" s="1497"/>
      <c r="G9069" s="1053" t="s">
        <v>27</v>
      </c>
      <c r="H9069" s="3"/>
    </row>
    <row r="9070" spans="1:8">
      <c r="A9070" s="1054">
        <v>45992</v>
      </c>
      <c r="B9070" s="1053"/>
      <c r="C9070" s="1053" t="s">
        <v>55</v>
      </c>
      <c r="D9070" s="3" t="s">
        <v>1546</v>
      </c>
      <c r="E9070" s="1497">
        <v>50000</v>
      </c>
      <c r="F9070" s="1497"/>
      <c r="G9070" s="1053" t="s">
        <v>27</v>
      </c>
      <c r="H9070" s="3"/>
    </row>
    <row r="9071" spans="1:8">
      <c r="A9071" s="1054">
        <v>45992</v>
      </c>
      <c r="B9071" s="1053"/>
      <c r="C9071" s="1053" t="s">
        <v>86</v>
      </c>
      <c r="D9071" s="15" t="s">
        <v>104</v>
      </c>
      <c r="E9071" s="1497">
        <v>31000</v>
      </c>
      <c r="F9071" s="1497"/>
      <c r="G9071" s="1053" t="s">
        <v>56</v>
      </c>
      <c r="H9071" s="3"/>
    </row>
    <row r="9072" spans="1:8">
      <c r="A9072" s="1054">
        <v>45992</v>
      </c>
      <c r="B9072" s="1053"/>
      <c r="C9072" s="1053" t="s">
        <v>730</v>
      </c>
      <c r="D9072" s="3" t="s">
        <v>3246</v>
      </c>
      <c r="E9072" s="1497">
        <v>186340</v>
      </c>
      <c r="F9072" s="1497"/>
      <c r="G9072" s="1053" t="s">
        <v>72</v>
      </c>
      <c r="H9072" s="45" t="s">
        <v>1074</v>
      </c>
    </row>
    <row r="9073" spans="1:8">
      <c r="A9073" s="1054">
        <v>45992</v>
      </c>
      <c r="B9073" s="1053"/>
      <c r="C9073" s="1053" t="s">
        <v>730</v>
      </c>
      <c r="D9073" s="3" t="s">
        <v>3246</v>
      </c>
      <c r="E9073" s="1497">
        <v>22200</v>
      </c>
      <c r="F9073" s="1497"/>
      <c r="G9073" s="1053" t="s">
        <v>56</v>
      </c>
      <c r="H9073" s="3"/>
    </row>
    <row r="9074" spans="1:8">
      <c r="A9074" s="1055">
        <v>45992</v>
      </c>
      <c r="B9074" s="1056"/>
      <c r="C9074" s="1056" t="s">
        <v>77</v>
      </c>
      <c r="D9074" s="3" t="s">
        <v>4226</v>
      </c>
      <c r="E9074" s="1497"/>
      <c r="F9074" s="1497">
        <v>18000</v>
      </c>
      <c r="G9074" s="1056" t="s">
        <v>27</v>
      </c>
      <c r="H9074" s="3"/>
    </row>
    <row r="9075" spans="1:8">
      <c r="A9075" s="1055">
        <v>45993</v>
      </c>
      <c r="B9075" s="1056"/>
      <c r="C9075" s="1056" t="s">
        <v>92</v>
      </c>
      <c r="D9075" s="15" t="s">
        <v>2077</v>
      </c>
      <c r="E9075" s="1497"/>
      <c r="F9075" s="1497">
        <v>58000</v>
      </c>
      <c r="G9075" s="1056" t="s">
        <v>27</v>
      </c>
      <c r="H9075" s="3"/>
    </row>
    <row r="9076" spans="1:8">
      <c r="A9076" s="1055">
        <v>45993</v>
      </c>
      <c r="B9076" s="1056"/>
      <c r="C9076" s="1056" t="s">
        <v>205</v>
      </c>
      <c r="D9076" s="3" t="s">
        <v>113</v>
      </c>
      <c r="E9076" s="1497">
        <v>110225</v>
      </c>
      <c r="F9076" s="1497"/>
      <c r="G9076" s="1056" t="s">
        <v>27</v>
      </c>
      <c r="H9076" s="3"/>
    </row>
    <row r="9077" spans="1:8">
      <c r="A9077" s="1055">
        <v>45993</v>
      </c>
      <c r="B9077" s="1056"/>
      <c r="C9077" s="1056" t="s">
        <v>65</v>
      </c>
      <c r="D9077" s="3" t="s">
        <v>4227</v>
      </c>
      <c r="E9077" s="1497">
        <v>715397.47</v>
      </c>
      <c r="F9077" s="1497"/>
      <c r="G9077" s="1056" t="s">
        <v>27</v>
      </c>
      <c r="H9077" s="3"/>
    </row>
    <row r="9078" spans="1:8">
      <c r="A9078" s="1055">
        <v>45993</v>
      </c>
      <c r="B9078" s="1056"/>
      <c r="C9078" s="1056" t="s">
        <v>1385</v>
      </c>
      <c r="D9078" s="15" t="s">
        <v>4228</v>
      </c>
      <c r="E9078" s="1497"/>
      <c r="F9078" s="1497">
        <v>2520000</v>
      </c>
      <c r="G9078" s="1056" t="s">
        <v>781</v>
      </c>
      <c r="H9078" s="3"/>
    </row>
    <row r="9079" spans="1:8">
      <c r="A9079" s="1055">
        <v>45993</v>
      </c>
      <c r="B9079" s="1056"/>
      <c r="C9079" s="1056" t="s">
        <v>65</v>
      </c>
      <c r="D9079" s="3" t="s">
        <v>4227</v>
      </c>
      <c r="E9079" s="1497">
        <v>625310.38</v>
      </c>
      <c r="F9079" s="1497"/>
      <c r="G9079" s="1056" t="s">
        <v>27</v>
      </c>
      <c r="H9079" s="3"/>
    </row>
    <row r="9080" spans="1:8">
      <c r="A9080" s="1055">
        <v>45993</v>
      </c>
      <c r="B9080" s="1056"/>
      <c r="C9080" s="1056" t="s">
        <v>86</v>
      </c>
      <c r="D9080" s="3" t="s">
        <v>104</v>
      </c>
      <c r="E9080" s="1497">
        <v>30630.93</v>
      </c>
      <c r="F9080" s="1497"/>
      <c r="G9080" s="1056" t="s">
        <v>27</v>
      </c>
      <c r="H9080" s="3"/>
    </row>
    <row r="9081" spans="1:8">
      <c r="A9081" s="1055">
        <v>45993</v>
      </c>
      <c r="B9081" s="1056"/>
      <c r="C9081" s="1056" t="s">
        <v>205</v>
      </c>
      <c r="D9081" s="3" t="s">
        <v>11</v>
      </c>
      <c r="E9081" s="1497">
        <v>3736090</v>
      </c>
      <c r="F9081" s="1497"/>
      <c r="G9081" s="1056" t="s">
        <v>27</v>
      </c>
      <c r="H9081" s="3"/>
    </row>
    <row r="9082" spans="1:8">
      <c r="A9082" s="1055">
        <v>45993</v>
      </c>
      <c r="B9082" s="1056"/>
      <c r="C9082" s="1056" t="s">
        <v>205</v>
      </c>
      <c r="D9082" s="3" t="s">
        <v>71</v>
      </c>
      <c r="E9082" s="1497">
        <v>1960900</v>
      </c>
      <c r="F9082" s="1497"/>
      <c r="G9082" s="1056" t="s">
        <v>996</v>
      </c>
      <c r="H9082" s="3"/>
    </row>
    <row r="9083" spans="1:8">
      <c r="A9083" s="1055">
        <v>45993</v>
      </c>
      <c r="B9083" s="1056"/>
      <c r="C9083" s="1056" t="s">
        <v>205</v>
      </c>
      <c r="D9083" s="3" t="s">
        <v>11</v>
      </c>
      <c r="E9083" s="1497">
        <v>3736090</v>
      </c>
      <c r="F9083" s="1497"/>
      <c r="G9083" s="1057" t="s">
        <v>996</v>
      </c>
      <c r="H9083" s="3"/>
    </row>
    <row r="9084" spans="1:8">
      <c r="A9084" s="1058">
        <v>45993</v>
      </c>
      <c r="B9084" s="1057"/>
      <c r="C9084" s="1057" t="s">
        <v>55</v>
      </c>
      <c r="D9084" s="15" t="s">
        <v>4229</v>
      </c>
      <c r="E9084" s="1497">
        <v>360000</v>
      </c>
      <c r="F9084" s="1497"/>
      <c r="G9084" s="1057" t="s">
        <v>56</v>
      </c>
      <c r="H9084" s="3"/>
    </row>
    <row r="9085" spans="1:8">
      <c r="A9085" s="1058">
        <v>45993</v>
      </c>
      <c r="B9085" s="1057"/>
      <c r="C9085" s="1057" t="s">
        <v>90</v>
      </c>
      <c r="D9085" s="3" t="s">
        <v>4230</v>
      </c>
      <c r="E9085" s="1497">
        <v>464097.16</v>
      </c>
      <c r="F9085" s="1497"/>
      <c r="G9085" s="1057" t="s">
        <v>27</v>
      </c>
      <c r="H9085" s="3"/>
    </row>
    <row r="9086" spans="1:8">
      <c r="A9086" s="1058">
        <v>45993</v>
      </c>
      <c r="B9086" s="1057"/>
      <c r="C9086" s="1057" t="s">
        <v>90</v>
      </c>
      <c r="D9086" s="3" t="s">
        <v>4231</v>
      </c>
      <c r="E9086" s="1497">
        <v>424097.72</v>
      </c>
      <c r="F9086" s="1497"/>
      <c r="G9086" s="1057" t="s">
        <v>27</v>
      </c>
      <c r="H9086" s="3"/>
    </row>
    <row r="9087" spans="1:8">
      <c r="A9087" s="1058">
        <v>45994</v>
      </c>
      <c r="B9087" s="1057"/>
      <c r="C9087" s="1057" t="s">
        <v>205</v>
      </c>
      <c r="D9087" s="3" t="s">
        <v>4232</v>
      </c>
      <c r="E9087" s="1497">
        <v>42000</v>
      </c>
      <c r="F9087" s="1497"/>
      <c r="G9087" s="1057" t="s">
        <v>56</v>
      </c>
      <c r="H9087" s="3"/>
    </row>
    <row r="9088" spans="1:8">
      <c r="A9088" s="1058">
        <v>45994</v>
      </c>
      <c r="B9088" s="1057"/>
      <c r="C9088" s="1057" t="s">
        <v>205</v>
      </c>
      <c r="D9088" s="3" t="s">
        <v>38</v>
      </c>
      <c r="E9088" s="1497">
        <v>12000</v>
      </c>
      <c r="F9088" s="1497"/>
      <c r="G9088" s="1057" t="s">
        <v>56</v>
      </c>
      <c r="H9088" s="3"/>
    </row>
    <row r="9089" spans="1:8">
      <c r="A9089" s="1060">
        <v>45994</v>
      </c>
      <c r="B9089" s="1057"/>
      <c r="C9089" s="1057" t="s">
        <v>79</v>
      </c>
      <c r="D9089" s="3" t="s">
        <v>79</v>
      </c>
      <c r="E9089" s="1497">
        <v>64494.48</v>
      </c>
      <c r="F9089" s="1497"/>
      <c r="G9089" s="1057" t="s">
        <v>27</v>
      </c>
      <c r="H9089" s="3"/>
    </row>
    <row r="9090" spans="1:8">
      <c r="A9090" s="1060">
        <v>45994</v>
      </c>
      <c r="B9090" s="1057"/>
      <c r="C9090" s="1057" t="s">
        <v>2913</v>
      </c>
      <c r="D9090" s="3" t="s">
        <v>3545</v>
      </c>
      <c r="E9090" s="1497">
        <v>44909.09</v>
      </c>
      <c r="F9090" s="1497"/>
      <c r="G9090" s="1057" t="s">
        <v>27</v>
      </c>
      <c r="H9090" s="3"/>
    </row>
    <row r="9091" spans="1:8">
      <c r="A9091" s="1060">
        <v>45994</v>
      </c>
      <c r="B9091" s="1057"/>
      <c r="C9091" s="1057" t="s">
        <v>94</v>
      </c>
      <c r="D9091" s="3" t="s">
        <v>4233</v>
      </c>
      <c r="E9091" s="1497">
        <v>145666.48000000001</v>
      </c>
      <c r="F9091" s="1497"/>
      <c r="G9091" s="1057" t="s">
        <v>27</v>
      </c>
      <c r="H9091" s="3"/>
    </row>
    <row r="9092" spans="1:8">
      <c r="A9092" s="1060">
        <v>45994</v>
      </c>
      <c r="B9092" s="1061"/>
      <c r="C9092" s="1061"/>
      <c r="D9092" s="3" t="s">
        <v>3673</v>
      </c>
      <c r="E9092" s="1497"/>
      <c r="F9092" s="1497"/>
      <c r="G9092" s="1061"/>
      <c r="H9092" s="3"/>
    </row>
    <row r="9093" spans="1:8">
      <c r="A9093" s="1060">
        <v>45995</v>
      </c>
      <c r="B9093" s="1057"/>
      <c r="C9093" s="1061" t="s">
        <v>55</v>
      </c>
      <c r="D9093" s="3" t="s">
        <v>4234</v>
      </c>
      <c r="E9093" s="1497">
        <v>9000</v>
      </c>
      <c r="F9093" s="1497"/>
      <c r="G9093" s="1057" t="s">
        <v>56</v>
      </c>
      <c r="H9093" s="3"/>
    </row>
    <row r="9094" spans="1:8">
      <c r="A9094" s="1060">
        <v>45995</v>
      </c>
      <c r="B9094" s="1061"/>
      <c r="C9094" s="1061" t="s">
        <v>77</v>
      </c>
      <c r="D9094" s="3" t="s">
        <v>4235</v>
      </c>
      <c r="E9094" s="1497"/>
      <c r="F9094" s="1497">
        <v>2230000</v>
      </c>
      <c r="G9094" s="1061" t="s">
        <v>781</v>
      </c>
      <c r="H9094" s="45" t="s">
        <v>4238</v>
      </c>
    </row>
    <row r="9095" spans="1:8">
      <c r="A9095" s="1060">
        <v>45995</v>
      </c>
      <c r="B9095" s="1061"/>
      <c r="C9095" s="1061" t="s">
        <v>92</v>
      </c>
      <c r="D9095" s="3" t="s">
        <v>3412</v>
      </c>
      <c r="E9095" s="1497"/>
      <c r="F9095" s="1497">
        <v>124400</v>
      </c>
      <c r="G9095" s="1061" t="s">
        <v>27</v>
      </c>
      <c r="H9095" s="3"/>
    </row>
    <row r="9096" spans="1:8">
      <c r="A9096" s="1060">
        <v>45995</v>
      </c>
      <c r="B9096" s="1061"/>
      <c r="C9096" s="1061" t="s">
        <v>1385</v>
      </c>
      <c r="D9096" s="3" t="s">
        <v>4237</v>
      </c>
      <c r="E9096" s="1497">
        <v>700</v>
      </c>
      <c r="F9096" s="1497"/>
      <c r="G9096" s="1061" t="s">
        <v>781</v>
      </c>
      <c r="H9096" s="3"/>
    </row>
    <row r="9097" spans="1:8">
      <c r="A9097" s="1060">
        <v>45995</v>
      </c>
      <c r="B9097" s="1061"/>
      <c r="C9097" s="1061" t="s">
        <v>1385</v>
      </c>
      <c r="D9097" s="15" t="s">
        <v>4236</v>
      </c>
      <c r="E9097" s="1497"/>
      <c r="F9097" s="1497">
        <v>618100</v>
      </c>
      <c r="G9097" s="1061" t="s">
        <v>27</v>
      </c>
      <c r="H9097" s="3"/>
    </row>
    <row r="9098" spans="1:8">
      <c r="A9098" s="1060">
        <v>45995</v>
      </c>
      <c r="B9098" s="1061"/>
      <c r="C9098" s="1061" t="s">
        <v>1385</v>
      </c>
      <c r="D9098" s="15" t="s">
        <v>4236</v>
      </c>
      <c r="E9098" s="1497"/>
      <c r="F9098" s="1497">
        <v>400000</v>
      </c>
      <c r="G9098" s="1061" t="s">
        <v>56</v>
      </c>
      <c r="H9098" s="3"/>
    </row>
    <row r="9099" spans="1:8">
      <c r="A9099" s="1060">
        <v>45995</v>
      </c>
      <c r="B9099" s="1061"/>
      <c r="C9099" s="1061" t="s">
        <v>90</v>
      </c>
      <c r="D9099" s="3" t="s">
        <v>1951</v>
      </c>
      <c r="E9099" s="1497">
        <v>15000</v>
      </c>
      <c r="F9099" s="1497"/>
      <c r="G9099" s="1061" t="s">
        <v>56</v>
      </c>
      <c r="H9099" s="3"/>
    </row>
    <row r="9100" spans="1:8">
      <c r="A9100" s="1060">
        <v>45995</v>
      </c>
      <c r="B9100" s="1061"/>
      <c r="C9100" s="1061" t="s">
        <v>79</v>
      </c>
      <c r="D9100" s="3" t="s">
        <v>78</v>
      </c>
      <c r="E9100" s="1497">
        <v>20000</v>
      </c>
      <c r="F9100" s="1497"/>
      <c r="G9100" s="1061" t="s">
        <v>56</v>
      </c>
      <c r="H9100" s="3"/>
    </row>
    <row r="9101" spans="1:8">
      <c r="A9101" s="1063">
        <v>45996</v>
      </c>
      <c r="B9101" s="1061"/>
      <c r="C9101" s="1061" t="s">
        <v>86</v>
      </c>
      <c r="D9101" s="3" t="s">
        <v>3440</v>
      </c>
      <c r="E9101" s="1497">
        <v>31000</v>
      </c>
      <c r="F9101" s="1497"/>
      <c r="G9101" s="1061" t="s">
        <v>56</v>
      </c>
      <c r="H9101" s="3"/>
    </row>
    <row r="9102" spans="1:8">
      <c r="A9102" s="1063">
        <v>45996</v>
      </c>
      <c r="B9102" s="1062"/>
      <c r="C9102" s="1062" t="s">
        <v>205</v>
      </c>
      <c r="D9102" s="3" t="s">
        <v>472</v>
      </c>
      <c r="E9102" s="1497">
        <v>17172.2</v>
      </c>
      <c r="F9102" s="1497"/>
      <c r="G9102" s="1062" t="s">
        <v>56</v>
      </c>
      <c r="H9102" s="3"/>
    </row>
    <row r="9103" spans="1:8">
      <c r="A9103" s="1063">
        <v>45996</v>
      </c>
      <c r="B9103" s="1062"/>
      <c r="C9103" s="1062" t="s">
        <v>537</v>
      </c>
      <c r="D9103" s="3" t="s">
        <v>208</v>
      </c>
      <c r="E9103" s="1497">
        <v>290000</v>
      </c>
      <c r="F9103" s="1497"/>
      <c r="G9103" s="1062" t="s">
        <v>56</v>
      </c>
      <c r="H9103" s="3"/>
    </row>
    <row r="9104" spans="1:8">
      <c r="A9104" s="1063">
        <v>45996</v>
      </c>
      <c r="B9104" s="1062"/>
      <c r="C9104" s="1062" t="s">
        <v>537</v>
      </c>
      <c r="D9104" s="15" t="s">
        <v>219</v>
      </c>
      <c r="E9104" s="1497">
        <v>290000</v>
      </c>
      <c r="F9104" s="1497"/>
      <c r="G9104" s="1062" t="s">
        <v>56</v>
      </c>
      <c r="H9104" s="3"/>
    </row>
    <row r="9105" spans="1:8">
      <c r="A9105" s="1063">
        <v>45996</v>
      </c>
      <c r="B9105" s="1062"/>
      <c r="C9105" s="1062" t="s">
        <v>537</v>
      </c>
      <c r="D9105" s="15" t="s">
        <v>193</v>
      </c>
      <c r="E9105" s="1497">
        <v>160000</v>
      </c>
      <c r="F9105" s="1497"/>
      <c r="G9105" s="1062" t="s">
        <v>56</v>
      </c>
      <c r="H9105" s="3"/>
    </row>
    <row r="9106" spans="1:8" ht="15.75" thickBot="1">
      <c r="A9106" s="1063">
        <v>45996</v>
      </c>
      <c r="B9106" s="1062"/>
      <c r="C9106" s="1062" t="s">
        <v>537</v>
      </c>
      <c r="D9106" s="15" t="s">
        <v>144</v>
      </c>
      <c r="E9106" s="1497">
        <v>550000</v>
      </c>
      <c r="F9106" s="1497"/>
      <c r="G9106" s="1062" t="s">
        <v>56</v>
      </c>
      <c r="H9106" s="3"/>
    </row>
    <row r="9107" spans="1:8" ht="15.75" thickBot="1">
      <c r="H9107" s="201">
        <v>45996</v>
      </c>
    </row>
    <row r="9108" spans="1:8">
      <c r="H9108" s="803" t="s">
        <v>4243</v>
      </c>
    </row>
    <row r="9109" spans="1:8">
      <c r="H9109" s="199" t="s">
        <v>4207</v>
      </c>
    </row>
    <row r="9110" spans="1:8">
      <c r="H9110" s="137" t="s">
        <v>4244</v>
      </c>
    </row>
    <row r="9111" spans="1:8">
      <c r="H9111" s="138" t="s">
        <v>2704</v>
      </c>
    </row>
    <row r="9112" spans="1:8">
      <c r="H9112" s="138" t="s">
        <v>4241</v>
      </c>
    </row>
    <row r="9113" spans="1:8">
      <c r="H9113" s="138" t="s">
        <v>4240</v>
      </c>
    </row>
    <row r="9114" spans="1:8">
      <c r="H9114" s="138" t="s">
        <v>4245</v>
      </c>
    </row>
    <row r="9115" spans="1:8">
      <c r="H9115" s="138" t="s">
        <v>4242</v>
      </c>
    </row>
    <row r="9116" spans="1:8" ht="15.75" thickBot="1">
      <c r="H9116" s="147" t="s">
        <v>4204</v>
      </c>
    </row>
    <row r="9117" spans="1:8">
      <c r="A9117" s="1071">
        <v>46000</v>
      </c>
      <c r="B9117" s="1072"/>
      <c r="C9117" s="1072" t="s">
        <v>79</v>
      </c>
      <c r="D9117" s="3" t="s">
        <v>4246</v>
      </c>
      <c r="E9117" s="1497">
        <v>41000</v>
      </c>
      <c r="F9117" s="1497"/>
      <c r="G9117" s="1072" t="s">
        <v>27</v>
      </c>
      <c r="H9117" s="5"/>
    </row>
    <row r="9118" spans="1:8">
      <c r="A9118" s="1071">
        <v>46000</v>
      </c>
      <c r="B9118" s="1072"/>
      <c r="C9118" s="1072" t="s">
        <v>92</v>
      </c>
      <c r="D9118" s="3" t="s">
        <v>675</v>
      </c>
      <c r="E9118" s="1497"/>
      <c r="F9118" s="1497">
        <v>150800</v>
      </c>
      <c r="G9118" s="1072" t="s">
        <v>27</v>
      </c>
      <c r="H9118" s="3"/>
    </row>
    <row r="9119" spans="1:8">
      <c r="A9119" s="1074">
        <v>46000</v>
      </c>
      <c r="B9119" s="1073"/>
      <c r="C9119" s="1073" t="s">
        <v>103</v>
      </c>
      <c r="D9119" s="3" t="s">
        <v>675</v>
      </c>
      <c r="E9119" s="1497">
        <v>80321.179999999993</v>
      </c>
      <c r="F9119" s="1497"/>
      <c r="G9119" s="1073" t="s">
        <v>27</v>
      </c>
      <c r="H9119" s="3"/>
    </row>
    <row r="9120" spans="1:8">
      <c r="A9120" s="1071">
        <v>46000</v>
      </c>
      <c r="B9120" s="1072"/>
      <c r="C9120" s="1072" t="s">
        <v>79</v>
      </c>
      <c r="D9120" s="3" t="s">
        <v>4246</v>
      </c>
      <c r="E9120" s="1497">
        <v>43300</v>
      </c>
      <c r="F9120" s="1497"/>
      <c r="G9120" s="1072" t="s">
        <v>27</v>
      </c>
      <c r="H9120" s="3"/>
    </row>
    <row r="9121" spans="1:8">
      <c r="A9121" s="1071">
        <v>46000</v>
      </c>
      <c r="B9121" s="1072"/>
      <c r="C9121" s="1072" t="s">
        <v>79</v>
      </c>
      <c r="D9121" s="3" t="s">
        <v>195</v>
      </c>
      <c r="E9121" s="1497">
        <v>30000</v>
      </c>
      <c r="F9121" s="1497"/>
      <c r="G9121" s="1072" t="s">
        <v>27</v>
      </c>
      <c r="H9121" s="3"/>
    </row>
    <row r="9122" spans="1:8">
      <c r="A9122" s="1071">
        <v>46000</v>
      </c>
      <c r="B9122" s="1072"/>
      <c r="C9122" s="1072" t="s">
        <v>150</v>
      </c>
      <c r="D9122" s="3" t="s">
        <v>176</v>
      </c>
      <c r="E9122" s="1497">
        <v>2892.56</v>
      </c>
      <c r="F9122" s="1497"/>
      <c r="G9122" s="1072" t="s">
        <v>4089</v>
      </c>
      <c r="H9122" s="3"/>
    </row>
    <row r="9123" spans="1:8">
      <c r="A9123" s="1071">
        <v>46000</v>
      </c>
      <c r="B9123" s="1072"/>
      <c r="C9123" s="1072" t="s">
        <v>77</v>
      </c>
      <c r="D9123" s="3" t="s">
        <v>4247</v>
      </c>
      <c r="E9123" s="1497"/>
      <c r="F9123" s="1497">
        <v>1600000</v>
      </c>
      <c r="G9123" s="1072" t="s">
        <v>56</v>
      </c>
      <c r="H9123" s="3"/>
    </row>
    <row r="9124" spans="1:8">
      <c r="A9124" s="1071">
        <v>46000</v>
      </c>
      <c r="B9124" s="1072"/>
      <c r="C9124" s="1072" t="s">
        <v>77</v>
      </c>
      <c r="D9124" s="3" t="s">
        <v>4248</v>
      </c>
      <c r="E9124" s="1497"/>
      <c r="F9124" s="1497">
        <v>1439000</v>
      </c>
      <c r="G9124" s="1072" t="s">
        <v>56</v>
      </c>
      <c r="H9124" s="3"/>
    </row>
    <row r="9125" spans="1:8">
      <c r="A9125" s="1074">
        <v>46001</v>
      </c>
      <c r="B9125" s="1072"/>
      <c r="C9125" s="1072" t="s">
        <v>55</v>
      </c>
      <c r="D9125" s="3" t="s">
        <v>3492</v>
      </c>
      <c r="E9125" s="1497">
        <v>15000</v>
      </c>
      <c r="F9125" s="1497"/>
      <c r="G9125" s="1072" t="s">
        <v>27</v>
      </c>
      <c r="H9125" s="3"/>
    </row>
    <row r="9126" spans="1:8">
      <c r="A9126" s="1074">
        <v>46001</v>
      </c>
      <c r="B9126" s="1072"/>
      <c r="C9126" s="1072" t="s">
        <v>174</v>
      </c>
      <c r="D9126" s="3" t="s">
        <v>2490</v>
      </c>
      <c r="E9126" s="1497">
        <v>35959</v>
      </c>
      <c r="F9126" s="1497"/>
      <c r="G9126" s="1072" t="s">
        <v>27</v>
      </c>
      <c r="H9126" s="3"/>
    </row>
    <row r="9127" spans="1:8">
      <c r="A9127" s="1074">
        <v>46001</v>
      </c>
      <c r="B9127" s="1072"/>
      <c r="C9127" s="1072" t="s">
        <v>79</v>
      </c>
      <c r="D9127" s="3" t="s">
        <v>4249</v>
      </c>
      <c r="E9127" s="1497">
        <v>70560</v>
      </c>
      <c r="F9127" s="1497"/>
      <c r="G9127" s="1072" t="s">
        <v>27</v>
      </c>
      <c r="H9127" s="3"/>
    </row>
    <row r="9128" spans="1:8">
      <c r="A9128" s="1074">
        <v>46001</v>
      </c>
      <c r="B9128" s="1073"/>
      <c r="C9128" s="1073" t="s">
        <v>205</v>
      </c>
      <c r="D9128" s="3" t="s">
        <v>11</v>
      </c>
      <c r="E9128" s="1497">
        <v>186340</v>
      </c>
      <c r="F9128" s="1497"/>
      <c r="G9128" s="1073" t="s">
        <v>72</v>
      </c>
      <c r="H9128" s="3"/>
    </row>
    <row r="9129" spans="1:8">
      <c r="A9129" s="1074">
        <v>46001</v>
      </c>
      <c r="B9129" s="1073"/>
      <c r="C9129" s="1073" t="s">
        <v>205</v>
      </c>
      <c r="D9129" s="3" t="s">
        <v>11</v>
      </c>
      <c r="E9129" s="1497">
        <v>260000</v>
      </c>
      <c r="F9129" s="1497"/>
      <c r="G9129" s="1073" t="s">
        <v>56</v>
      </c>
      <c r="H9129" s="3"/>
    </row>
    <row r="9130" spans="1:8">
      <c r="A9130" s="1074">
        <v>46001</v>
      </c>
      <c r="B9130" s="1073"/>
      <c r="C9130" s="1073" t="s">
        <v>831</v>
      </c>
      <c r="D9130" s="3" t="s">
        <v>4250</v>
      </c>
      <c r="E9130" s="1497">
        <v>17500</v>
      </c>
      <c r="F9130" s="1497"/>
      <c r="G9130" s="1073" t="s">
        <v>56</v>
      </c>
      <c r="H9130" s="167" t="s">
        <v>454</v>
      </c>
    </row>
    <row r="9131" spans="1:8">
      <c r="A9131" s="1074">
        <v>46001</v>
      </c>
      <c r="B9131" s="1073"/>
      <c r="C9131" s="1073" t="s">
        <v>3221</v>
      </c>
      <c r="D9131" s="3" t="s">
        <v>104</v>
      </c>
      <c r="E9131" s="1497">
        <v>30637.91</v>
      </c>
      <c r="F9131" s="1497"/>
      <c r="G9131" s="1073" t="s">
        <v>56</v>
      </c>
      <c r="H9131" s="167" t="s">
        <v>454</v>
      </c>
    </row>
    <row r="9132" spans="1:8">
      <c r="A9132" s="1074">
        <v>46001</v>
      </c>
      <c r="B9132" s="1073"/>
      <c r="C9132" s="1073" t="s">
        <v>205</v>
      </c>
      <c r="D9132" s="15" t="s">
        <v>38</v>
      </c>
      <c r="E9132" s="1497">
        <v>16600</v>
      </c>
      <c r="F9132" s="1497"/>
      <c r="G9132" s="1073" t="s">
        <v>56</v>
      </c>
      <c r="H9132" s="167" t="s">
        <v>454</v>
      </c>
    </row>
    <row r="9133" spans="1:8">
      <c r="A9133" s="1074">
        <v>46001</v>
      </c>
      <c r="B9133" s="1073"/>
      <c r="C9133" s="1073" t="s">
        <v>77</v>
      </c>
      <c r="D9133" s="3" t="s">
        <v>4251</v>
      </c>
      <c r="E9133" s="1497"/>
      <c r="F9133" s="1497">
        <v>2262000</v>
      </c>
      <c r="G9133" s="1073" t="s">
        <v>56</v>
      </c>
      <c r="H9133" s="3"/>
    </row>
    <row r="9134" spans="1:8">
      <c r="A9134" s="1074">
        <v>46001</v>
      </c>
      <c r="B9134" s="1073"/>
      <c r="C9134" s="1073" t="s">
        <v>77</v>
      </c>
      <c r="D9134" s="3" t="s">
        <v>4252</v>
      </c>
      <c r="E9134" s="1497"/>
      <c r="F9134" s="1497">
        <v>890000</v>
      </c>
      <c r="G9134" s="1073" t="s">
        <v>56</v>
      </c>
      <c r="H9134" s="3"/>
    </row>
    <row r="9135" spans="1:8">
      <c r="A9135" s="1075">
        <v>46001</v>
      </c>
      <c r="B9135" s="1073"/>
      <c r="C9135" s="1073" t="s">
        <v>86</v>
      </c>
      <c r="D9135" s="3" t="s">
        <v>104</v>
      </c>
      <c r="E9135" s="1497">
        <v>31000</v>
      </c>
      <c r="F9135" s="1497"/>
      <c r="G9135" s="1073" t="s">
        <v>56</v>
      </c>
      <c r="H9135" s="167" t="s">
        <v>454</v>
      </c>
    </row>
    <row r="9136" spans="1:8">
      <c r="A9136" s="1075">
        <v>46001</v>
      </c>
      <c r="B9136" s="1073"/>
      <c r="C9136" s="1073" t="s">
        <v>831</v>
      </c>
      <c r="D9136" s="3" t="s">
        <v>4253</v>
      </c>
      <c r="E9136" s="1497">
        <v>39200</v>
      </c>
      <c r="F9136" s="1497"/>
      <c r="G9136" s="1073" t="s">
        <v>56</v>
      </c>
      <c r="H9136" s="167" t="s">
        <v>454</v>
      </c>
    </row>
    <row r="9137" spans="1:8">
      <c r="A9137" s="1075">
        <v>46001</v>
      </c>
      <c r="B9137" s="1073"/>
      <c r="C9137" s="1073" t="s">
        <v>205</v>
      </c>
      <c r="D9137" s="3" t="s">
        <v>2764</v>
      </c>
      <c r="E9137" s="1497">
        <v>4000</v>
      </c>
      <c r="F9137" s="1497"/>
      <c r="G9137" s="1073" t="s">
        <v>56</v>
      </c>
      <c r="H9137" s="167" t="s">
        <v>454</v>
      </c>
    </row>
    <row r="9138" spans="1:8">
      <c r="A9138" s="1075">
        <v>46001</v>
      </c>
      <c r="B9138" s="1076"/>
      <c r="C9138" s="1076" t="s">
        <v>2482</v>
      </c>
      <c r="D9138" s="3" t="s">
        <v>3963</v>
      </c>
      <c r="E9138" s="1497">
        <v>377658.79</v>
      </c>
      <c r="F9138" s="1497"/>
      <c r="G9138" s="1076" t="s">
        <v>108</v>
      </c>
      <c r="H9138" s="3"/>
    </row>
    <row r="9139" spans="1:8">
      <c r="A9139" s="1075">
        <v>46001</v>
      </c>
      <c r="B9139" s="1076"/>
      <c r="C9139" s="1076" t="s">
        <v>2482</v>
      </c>
      <c r="D9139" s="3" t="s">
        <v>155</v>
      </c>
      <c r="E9139" s="1497">
        <v>86609</v>
      </c>
      <c r="F9139" s="1497"/>
      <c r="G9139" s="1076" t="s">
        <v>108</v>
      </c>
      <c r="H9139" s="3"/>
    </row>
    <row r="9140" spans="1:8">
      <c r="A9140" s="1075">
        <v>46001</v>
      </c>
      <c r="B9140" s="1076"/>
      <c r="C9140" s="1076" t="s">
        <v>2482</v>
      </c>
      <c r="D9140" s="15" t="s">
        <v>309</v>
      </c>
      <c r="E9140" s="1497">
        <v>3184.55</v>
      </c>
      <c r="F9140" s="1497"/>
      <c r="G9140" s="1076" t="s">
        <v>108</v>
      </c>
      <c r="H9140" s="3"/>
    </row>
    <row r="9141" spans="1:8">
      <c r="A9141" s="1075">
        <v>46001</v>
      </c>
      <c r="B9141" s="1076"/>
      <c r="C9141" s="1076" t="s">
        <v>2482</v>
      </c>
      <c r="D9141" s="15" t="s">
        <v>4254</v>
      </c>
      <c r="E9141" s="1497">
        <v>34765.040000000001</v>
      </c>
      <c r="F9141" s="1497"/>
      <c r="G9141" s="1076" t="s">
        <v>108</v>
      </c>
      <c r="H9141" s="3"/>
    </row>
    <row r="9142" spans="1:8">
      <c r="A9142" s="1075">
        <v>46002</v>
      </c>
      <c r="B9142" s="1076"/>
      <c r="C9142" s="1076" t="s">
        <v>79</v>
      </c>
      <c r="D9142" s="15" t="s">
        <v>2579</v>
      </c>
      <c r="E9142" s="1497">
        <v>100000</v>
      </c>
      <c r="F9142" s="1497"/>
      <c r="G9142" s="1076" t="s">
        <v>27</v>
      </c>
      <c r="H9142" s="3"/>
    </row>
    <row r="9143" spans="1:8">
      <c r="A9143" s="1075">
        <v>46002</v>
      </c>
      <c r="B9143" s="1076"/>
      <c r="C9143" s="1076" t="s">
        <v>92</v>
      </c>
      <c r="D9143" s="15" t="s">
        <v>4255</v>
      </c>
      <c r="E9143" s="1497"/>
      <c r="F9143" s="1497">
        <v>99460</v>
      </c>
      <c r="G9143" s="1076" t="s">
        <v>27</v>
      </c>
      <c r="H9143" s="3"/>
    </row>
    <row r="9144" spans="1:8">
      <c r="A9144" s="1075">
        <v>46002</v>
      </c>
      <c r="B9144" s="1076"/>
      <c r="C9144" s="1076" t="s">
        <v>92</v>
      </c>
      <c r="D9144" s="3" t="s">
        <v>4256</v>
      </c>
      <c r="E9144" s="1497">
        <v>119434.51</v>
      </c>
      <c r="F9144" s="1497"/>
      <c r="G9144" s="1076" t="s">
        <v>27</v>
      </c>
      <c r="H9144" s="3"/>
    </row>
    <row r="9145" spans="1:8">
      <c r="A9145" s="1075">
        <v>46002</v>
      </c>
      <c r="B9145" s="1076"/>
      <c r="C9145" s="1076" t="s">
        <v>205</v>
      </c>
      <c r="D9145" s="15" t="s">
        <v>71</v>
      </c>
      <c r="E9145" s="1497">
        <v>2120000</v>
      </c>
      <c r="F9145" s="1497"/>
      <c r="G9145" s="1076" t="s">
        <v>56</v>
      </c>
      <c r="H9145" s="3"/>
    </row>
    <row r="9146" spans="1:8">
      <c r="A9146" s="1075">
        <v>46002</v>
      </c>
      <c r="B9146" s="1076"/>
      <c r="C9146" s="1076" t="s">
        <v>205</v>
      </c>
      <c r="D9146" s="3" t="s">
        <v>854</v>
      </c>
      <c r="E9146" s="1497">
        <v>800</v>
      </c>
      <c r="F9146" s="1497"/>
      <c r="G9146" s="1076" t="s">
        <v>56</v>
      </c>
      <c r="H9146" s="3"/>
    </row>
    <row r="9147" spans="1:8">
      <c r="A9147" s="1075">
        <v>46002</v>
      </c>
      <c r="B9147" s="1076"/>
      <c r="C9147" s="1076" t="s">
        <v>86</v>
      </c>
      <c r="D9147" s="3" t="s">
        <v>104</v>
      </c>
      <c r="E9147" s="1497">
        <v>30655</v>
      </c>
      <c r="F9147" s="1497"/>
      <c r="G9147" s="1076" t="s">
        <v>56</v>
      </c>
      <c r="H9147" s="3"/>
    </row>
    <row r="9148" spans="1:8">
      <c r="A9148" s="1077">
        <v>46003</v>
      </c>
      <c r="B9148" s="1076"/>
      <c r="C9148" s="1078" t="s">
        <v>86</v>
      </c>
      <c r="D9148" s="3" t="s">
        <v>3749</v>
      </c>
      <c r="E9148" s="1497">
        <v>30630</v>
      </c>
      <c r="F9148" s="1497"/>
      <c r="G9148" s="1076" t="s">
        <v>27</v>
      </c>
      <c r="H9148" s="3"/>
    </row>
    <row r="9149" spans="1:8">
      <c r="A9149" s="1077">
        <v>46003</v>
      </c>
      <c r="B9149" s="1076"/>
      <c r="C9149" s="1076" t="s">
        <v>205</v>
      </c>
      <c r="D9149" s="3" t="s">
        <v>48</v>
      </c>
      <c r="E9149" s="1497">
        <v>1100000</v>
      </c>
      <c r="F9149" s="1497"/>
      <c r="G9149" s="1076" t="s">
        <v>56</v>
      </c>
      <c r="H9149" s="3"/>
    </row>
    <row r="9150" spans="1:8">
      <c r="A9150" s="1077">
        <v>46003</v>
      </c>
      <c r="B9150" s="1076"/>
      <c r="C9150" s="1078" t="s">
        <v>205</v>
      </c>
      <c r="D9150" s="3" t="s">
        <v>4208</v>
      </c>
      <c r="E9150" s="1497">
        <v>27650</v>
      </c>
      <c r="F9150" s="1497"/>
      <c r="G9150" s="1076" t="s">
        <v>27</v>
      </c>
      <c r="H9150" s="45" t="s">
        <v>4257</v>
      </c>
    </row>
    <row r="9151" spans="1:8">
      <c r="A9151" s="1092">
        <v>46003</v>
      </c>
      <c r="B9151" s="1093"/>
      <c r="C9151" s="1093" t="s">
        <v>77</v>
      </c>
      <c r="D9151" s="3" t="s">
        <v>4268</v>
      </c>
      <c r="E9151" s="1497"/>
      <c r="F9151" s="1497">
        <v>2044000</v>
      </c>
      <c r="G9151" s="1093" t="s">
        <v>72</v>
      </c>
      <c r="H9151" s="45"/>
    </row>
    <row r="9152" spans="1:8">
      <c r="A9152" s="1079">
        <v>46003</v>
      </c>
      <c r="B9152" s="1078"/>
      <c r="C9152" s="1078" t="s">
        <v>537</v>
      </c>
      <c r="D9152" s="3" t="s">
        <v>219</v>
      </c>
      <c r="E9152" s="1497">
        <v>390000</v>
      </c>
      <c r="F9152" s="1497"/>
      <c r="G9152" s="1078" t="s">
        <v>56</v>
      </c>
      <c r="H9152" s="3"/>
    </row>
    <row r="9153" spans="1:8">
      <c r="A9153" s="1079">
        <v>46003</v>
      </c>
      <c r="B9153" s="1078"/>
      <c r="C9153" s="1080" t="s">
        <v>537</v>
      </c>
      <c r="D9153" s="3" t="s">
        <v>144</v>
      </c>
      <c r="E9153" s="1497">
        <v>550000</v>
      </c>
      <c r="F9153" s="1497"/>
      <c r="G9153" s="1078" t="s">
        <v>56</v>
      </c>
      <c r="H9153" s="3"/>
    </row>
    <row r="9154" spans="1:8">
      <c r="A9154" s="1079">
        <v>46003</v>
      </c>
      <c r="B9154" s="1078"/>
      <c r="C9154" s="1080" t="s">
        <v>537</v>
      </c>
      <c r="D9154" s="3" t="s">
        <v>208</v>
      </c>
      <c r="E9154" s="1497">
        <v>290000</v>
      </c>
      <c r="F9154" s="1497"/>
      <c r="G9154" s="1078" t="s">
        <v>56</v>
      </c>
      <c r="H9154" s="3"/>
    </row>
    <row r="9155" spans="1:8">
      <c r="A9155" s="112">
        <v>46003</v>
      </c>
      <c r="B9155" s="70"/>
      <c r="C9155" s="70" t="s">
        <v>537</v>
      </c>
      <c r="D9155" s="113" t="s">
        <v>208</v>
      </c>
      <c r="E9155" s="70">
        <v>100000</v>
      </c>
      <c r="F9155" s="70"/>
      <c r="G9155" s="70" t="s">
        <v>1261</v>
      </c>
      <c r="H9155" s="3"/>
    </row>
    <row r="9156" spans="1:8" ht="15.75" thickBot="1">
      <c r="A9156" s="1079">
        <v>46003</v>
      </c>
      <c r="B9156" s="1078"/>
      <c r="C9156" s="1080" t="s">
        <v>537</v>
      </c>
      <c r="D9156" s="3" t="s">
        <v>193</v>
      </c>
      <c r="E9156" s="1497">
        <v>160000</v>
      </c>
      <c r="F9156" s="1497"/>
      <c r="G9156" s="1078" t="s">
        <v>56</v>
      </c>
      <c r="H9156" s="85"/>
    </row>
    <row r="9157" spans="1:8" ht="15.75" thickBot="1">
      <c r="H9157" s="201">
        <v>45996</v>
      </c>
    </row>
    <row r="9158" spans="1:8">
      <c r="H9158" s="803" t="s">
        <v>4243</v>
      </c>
    </row>
    <row r="9159" spans="1:8">
      <c r="H9159" s="199" t="s">
        <v>4261</v>
      </c>
    </row>
    <row r="9160" spans="1:8">
      <c r="H9160" s="137" t="s">
        <v>4244</v>
      </c>
    </row>
    <row r="9161" spans="1:8">
      <c r="H9161" s="138" t="s">
        <v>3091</v>
      </c>
    </row>
    <row r="9162" spans="1:8">
      <c r="H9162" s="138" t="s">
        <v>4258</v>
      </c>
    </row>
    <row r="9163" spans="1:8">
      <c r="H9163" s="138" t="s">
        <v>4259</v>
      </c>
    </row>
    <row r="9164" spans="1:8">
      <c r="H9164" s="138" t="s">
        <v>4245</v>
      </c>
    </row>
    <row r="9165" spans="1:8">
      <c r="H9165" s="138" t="s">
        <v>4260</v>
      </c>
    </row>
    <row r="9166" spans="1:8" ht="15.75" thickBot="1">
      <c r="H9166" s="147" t="s">
        <v>4204</v>
      </c>
    </row>
    <row r="9167" spans="1:8">
      <c r="A9167" s="1079">
        <v>46006</v>
      </c>
      <c r="B9167" s="1080"/>
      <c r="C9167" s="1080" t="s">
        <v>79</v>
      </c>
      <c r="D9167" s="3" t="s">
        <v>79</v>
      </c>
      <c r="E9167" s="1497">
        <v>55500</v>
      </c>
      <c r="F9167" s="1497"/>
      <c r="G9167" s="1080" t="s">
        <v>27</v>
      </c>
      <c r="H9167" s="5"/>
    </row>
    <row r="9168" spans="1:8">
      <c r="A9168" s="1079">
        <v>46006</v>
      </c>
      <c r="B9168" s="1080"/>
      <c r="C9168" s="1080" t="s">
        <v>205</v>
      </c>
      <c r="D9168" s="3" t="s">
        <v>63</v>
      </c>
      <c r="E9168" s="1497">
        <v>30976</v>
      </c>
      <c r="F9168" s="1497"/>
      <c r="G9168" s="1080" t="s">
        <v>27</v>
      </c>
      <c r="H9168" s="3"/>
    </row>
    <row r="9169" spans="1:8">
      <c r="A9169" s="1079">
        <v>46006</v>
      </c>
      <c r="B9169" s="1080"/>
      <c r="C9169" s="1080" t="s">
        <v>205</v>
      </c>
      <c r="D9169" s="3" t="s">
        <v>11</v>
      </c>
      <c r="E9169" s="1497">
        <v>182216.43</v>
      </c>
      <c r="F9169" s="1497"/>
      <c r="G9169" s="1080" t="s">
        <v>27</v>
      </c>
      <c r="H9169" s="3"/>
    </row>
    <row r="9170" spans="1:8">
      <c r="A9170" s="1079">
        <v>46006</v>
      </c>
      <c r="B9170" s="1080"/>
      <c r="C9170" s="1080" t="s">
        <v>79</v>
      </c>
      <c r="D9170" s="3" t="s">
        <v>79</v>
      </c>
      <c r="E9170" s="1497">
        <v>100000</v>
      </c>
      <c r="F9170" s="1497"/>
      <c r="G9170" s="1080" t="s">
        <v>56</v>
      </c>
      <c r="H9170" s="3"/>
    </row>
    <row r="9171" spans="1:8">
      <c r="A9171" s="1079">
        <v>46006</v>
      </c>
      <c r="B9171" s="1080"/>
      <c r="C9171" s="1080" t="s">
        <v>92</v>
      </c>
      <c r="D9171" s="3" t="s">
        <v>3505</v>
      </c>
      <c r="E9171" s="1497"/>
      <c r="F9171" s="1497">
        <v>75600</v>
      </c>
      <c r="G9171" s="1080" t="s">
        <v>56</v>
      </c>
      <c r="H9171" s="3"/>
    </row>
    <row r="9172" spans="1:8">
      <c r="A9172" s="1079">
        <v>46006</v>
      </c>
      <c r="B9172" s="1080"/>
      <c r="C9172" s="1080" t="s">
        <v>92</v>
      </c>
      <c r="D9172" s="3" t="s">
        <v>3560</v>
      </c>
      <c r="E9172" s="1497"/>
      <c r="F9172" s="1497">
        <v>58900</v>
      </c>
      <c r="G9172" s="1080" t="s">
        <v>56</v>
      </c>
      <c r="H9172" s="3"/>
    </row>
    <row r="9173" spans="1:8">
      <c r="A9173" s="1082">
        <v>46007</v>
      </c>
      <c r="B9173" s="1081"/>
      <c r="C9173" s="1081" t="s">
        <v>4264</v>
      </c>
      <c r="D9173" s="3" t="s">
        <v>3855</v>
      </c>
      <c r="E9173" s="1497">
        <v>150000</v>
      </c>
      <c r="F9173" s="1497"/>
      <c r="G9173" s="1081" t="s">
        <v>287</v>
      </c>
      <c r="H9173" s="3"/>
    </row>
    <row r="9174" spans="1:8">
      <c r="A9174" s="1082">
        <v>46007</v>
      </c>
      <c r="B9174" s="1081"/>
      <c r="C9174" s="1081" t="s">
        <v>156</v>
      </c>
      <c r="D9174" s="15" t="s">
        <v>4263</v>
      </c>
      <c r="E9174" s="1497">
        <v>5956.15</v>
      </c>
      <c r="F9174" s="1497"/>
      <c r="G9174" s="1081" t="s">
        <v>27</v>
      </c>
      <c r="H9174" s="3"/>
    </row>
    <row r="9175" spans="1:8">
      <c r="A9175" s="1082">
        <v>46007</v>
      </c>
      <c r="B9175" s="1081"/>
      <c r="C9175" s="1081" t="s">
        <v>156</v>
      </c>
      <c r="D9175" s="3" t="s">
        <v>4262</v>
      </c>
      <c r="E9175" s="1497">
        <v>391793.88</v>
      </c>
      <c r="F9175" s="1497"/>
      <c r="G9175" s="1081" t="s">
        <v>27</v>
      </c>
      <c r="H9175" s="3"/>
    </row>
    <row r="9176" spans="1:8">
      <c r="A9176" s="1082">
        <v>46007</v>
      </c>
      <c r="B9176" s="1081"/>
      <c r="C9176" s="1081" t="s">
        <v>90</v>
      </c>
      <c r="D9176" s="3" t="s">
        <v>4265</v>
      </c>
      <c r="E9176" s="1497">
        <v>84200</v>
      </c>
      <c r="F9176" s="1497"/>
      <c r="G9176" s="1081" t="s">
        <v>56</v>
      </c>
      <c r="H9176" s="3"/>
    </row>
    <row r="9177" spans="1:8">
      <c r="A9177" s="1082">
        <v>46007</v>
      </c>
      <c r="B9177" s="1081"/>
      <c r="C9177" s="1081" t="s">
        <v>205</v>
      </c>
      <c r="D9177" s="3" t="s">
        <v>478</v>
      </c>
      <c r="E9177" s="1497">
        <v>2100</v>
      </c>
      <c r="F9177" s="1497"/>
      <c r="G9177" s="1081" t="s">
        <v>56</v>
      </c>
      <c r="H9177" s="3"/>
    </row>
    <row r="9178" spans="1:8">
      <c r="A9178" s="1082">
        <v>46007</v>
      </c>
      <c r="B9178" s="1081"/>
      <c r="C9178" s="1081" t="s">
        <v>92</v>
      </c>
      <c r="D9178" s="3" t="s">
        <v>4266</v>
      </c>
      <c r="E9178" s="1497"/>
      <c r="F9178" s="1497">
        <v>42500</v>
      </c>
      <c r="G9178" s="1081" t="s">
        <v>27</v>
      </c>
      <c r="H9178" s="3"/>
    </row>
    <row r="9179" spans="1:8">
      <c r="A9179" s="1082">
        <v>46008</v>
      </c>
      <c r="B9179" s="1081"/>
      <c r="C9179" s="1081" t="s">
        <v>205</v>
      </c>
      <c r="D9179" s="3" t="s">
        <v>38</v>
      </c>
      <c r="E9179" s="1497">
        <v>5500</v>
      </c>
      <c r="F9179" s="1497"/>
      <c r="G9179" s="1081" t="s">
        <v>56</v>
      </c>
      <c r="H9179" s="3"/>
    </row>
    <row r="9180" spans="1:8">
      <c r="A9180" s="1082">
        <v>46008</v>
      </c>
      <c r="B9180" s="1081"/>
      <c r="C9180" s="1081" t="s">
        <v>77</v>
      </c>
      <c r="D9180" s="15" t="s">
        <v>4267</v>
      </c>
      <c r="E9180" s="1497"/>
      <c r="F9180" s="1497">
        <v>7400000</v>
      </c>
      <c r="G9180" s="1081" t="s">
        <v>27</v>
      </c>
      <c r="H9180" s="3"/>
    </row>
    <row r="9181" spans="1:8">
      <c r="A9181" s="1082">
        <v>46008</v>
      </c>
      <c r="B9181" s="1081"/>
      <c r="C9181" s="1081" t="s">
        <v>205</v>
      </c>
      <c r="D9181" s="3" t="s">
        <v>1193</v>
      </c>
      <c r="E9181" s="1497">
        <v>23958</v>
      </c>
      <c r="F9181" s="1497"/>
      <c r="G9181" s="1081" t="s">
        <v>56</v>
      </c>
      <c r="H9181" s="3"/>
    </row>
    <row r="9182" spans="1:8">
      <c r="A9182" s="1082">
        <v>46008</v>
      </c>
      <c r="B9182" s="1081"/>
      <c r="C9182" s="1081" t="s">
        <v>77</v>
      </c>
      <c r="D9182" s="15" t="s">
        <v>4267</v>
      </c>
      <c r="E9182" s="1497"/>
      <c r="F9182" s="1497">
        <v>10966800</v>
      </c>
      <c r="G9182" s="1081" t="s">
        <v>287</v>
      </c>
      <c r="H9182" s="3"/>
    </row>
    <row r="9183" spans="1:8">
      <c r="A9183" s="1087">
        <v>46008</v>
      </c>
      <c r="B9183" s="1081"/>
      <c r="C9183" s="1081" t="s">
        <v>79</v>
      </c>
      <c r="D9183" s="3" t="s">
        <v>79</v>
      </c>
      <c r="E9183" s="1497">
        <v>104409.8</v>
      </c>
      <c r="F9183" s="1497"/>
      <c r="G9183" s="1081" t="s">
        <v>27</v>
      </c>
      <c r="H9183" s="3"/>
    </row>
    <row r="9184" spans="1:8">
      <c r="A9184" s="1087">
        <v>46008</v>
      </c>
      <c r="B9184" s="1081"/>
      <c r="C9184" s="1081" t="s">
        <v>79</v>
      </c>
      <c r="D9184" s="3" t="s">
        <v>79</v>
      </c>
      <c r="E9184" s="1497">
        <v>229300</v>
      </c>
      <c r="F9184" s="1497"/>
      <c r="G9184" s="1081" t="s">
        <v>27</v>
      </c>
      <c r="H9184" s="3"/>
    </row>
    <row r="9185" spans="1:8">
      <c r="A9185" s="1087">
        <v>46009</v>
      </c>
      <c r="B9185" s="1088"/>
      <c r="C9185" s="1088" t="s">
        <v>205</v>
      </c>
      <c r="D9185" s="3" t="s">
        <v>315</v>
      </c>
      <c r="E9185" s="1497">
        <v>28000</v>
      </c>
      <c r="F9185" s="1497"/>
      <c r="G9185" s="1088" t="s">
        <v>56</v>
      </c>
      <c r="H9185" s="45" t="s">
        <v>3837</v>
      </c>
    </row>
    <row r="9186" spans="1:8">
      <c r="A9186" s="1087">
        <v>46009</v>
      </c>
      <c r="B9186" s="1088"/>
      <c r="C9186" s="1088" t="s">
        <v>79</v>
      </c>
      <c r="D9186" s="3" t="s">
        <v>79</v>
      </c>
      <c r="E9186" s="1497">
        <v>140000</v>
      </c>
      <c r="F9186" s="1497"/>
      <c r="G9186" s="1088" t="s">
        <v>27</v>
      </c>
      <c r="H9186" s="3"/>
    </row>
    <row r="9187" spans="1:8">
      <c r="A9187" s="1087">
        <v>46009</v>
      </c>
      <c r="B9187" s="1088"/>
      <c r="C9187" s="1088" t="s">
        <v>205</v>
      </c>
      <c r="D9187" s="3" t="s">
        <v>554</v>
      </c>
      <c r="E9187" s="1497">
        <v>21800</v>
      </c>
      <c r="F9187" s="1497"/>
      <c r="G9187" s="1088" t="s">
        <v>56</v>
      </c>
      <c r="H9187" s="3"/>
    </row>
    <row r="9188" spans="1:8">
      <c r="A9188" s="1090">
        <v>46010</v>
      </c>
      <c r="B9188" s="1088"/>
      <c r="C9188" s="1088" t="s">
        <v>205</v>
      </c>
      <c r="D9188" s="3" t="s">
        <v>61</v>
      </c>
      <c r="E9188" s="1497">
        <v>4800</v>
      </c>
      <c r="F9188" s="1497"/>
      <c r="G9188" s="1088" t="s">
        <v>56</v>
      </c>
      <c r="H9188" s="3"/>
    </row>
    <row r="9189" spans="1:8">
      <c r="A9189" s="1090">
        <v>46010</v>
      </c>
      <c r="B9189" s="1088"/>
      <c r="C9189" s="1088" t="s">
        <v>76</v>
      </c>
      <c r="D9189" s="3" t="s">
        <v>4268</v>
      </c>
      <c r="E9189" s="1497"/>
      <c r="F9189" s="1497">
        <v>782000</v>
      </c>
      <c r="G9189" s="1088" t="s">
        <v>56</v>
      </c>
      <c r="H9189" s="3"/>
    </row>
    <row r="9190" spans="1:8">
      <c r="A9190" s="1090">
        <v>46010</v>
      </c>
      <c r="B9190" s="1089"/>
      <c r="C9190" s="1089" t="s">
        <v>537</v>
      </c>
      <c r="D9190" s="3" t="s">
        <v>219</v>
      </c>
      <c r="E9190" s="1497">
        <v>390000</v>
      </c>
      <c r="F9190" s="1497"/>
      <c r="G9190" s="1089" t="s">
        <v>56</v>
      </c>
      <c r="H9190" s="3"/>
    </row>
    <row r="9191" spans="1:8">
      <c r="A9191" s="1090">
        <v>46010</v>
      </c>
      <c r="B9191" s="1089"/>
      <c r="C9191" s="1089" t="s">
        <v>537</v>
      </c>
      <c r="D9191" s="3" t="s">
        <v>193</v>
      </c>
      <c r="E9191" s="1497">
        <v>160000</v>
      </c>
      <c r="F9191" s="1497"/>
      <c r="G9191" s="1089" t="s">
        <v>56</v>
      </c>
      <c r="H9191" s="3"/>
    </row>
    <row r="9192" spans="1:8">
      <c r="A9192" s="1090">
        <v>46010</v>
      </c>
      <c r="B9192" s="1089"/>
      <c r="C9192" s="1089" t="s">
        <v>537</v>
      </c>
      <c r="D9192" s="3" t="s">
        <v>144</v>
      </c>
      <c r="E9192" s="1497">
        <v>550000</v>
      </c>
      <c r="F9192" s="1497"/>
      <c r="G9192" s="1089" t="s">
        <v>56</v>
      </c>
      <c r="H9192" s="3"/>
    </row>
    <row r="9193" spans="1:8">
      <c r="A9193" s="1090">
        <v>46010</v>
      </c>
      <c r="B9193" s="1089"/>
      <c r="C9193" s="1089" t="s">
        <v>537</v>
      </c>
      <c r="D9193" s="3" t="s">
        <v>208</v>
      </c>
      <c r="E9193" s="1497">
        <v>316100</v>
      </c>
      <c r="F9193" s="1497"/>
      <c r="G9193" s="1089" t="s">
        <v>56</v>
      </c>
      <c r="H9193" s="3"/>
    </row>
    <row r="9194" spans="1:8">
      <c r="A9194" s="1090">
        <v>46010</v>
      </c>
      <c r="B9194" s="70"/>
      <c r="C9194" s="1089" t="s">
        <v>537</v>
      </c>
      <c r="D9194" s="113" t="s">
        <v>208</v>
      </c>
      <c r="E9194" s="70">
        <v>100000</v>
      </c>
      <c r="F9194" s="70"/>
      <c r="G9194" s="1089" t="s">
        <v>56</v>
      </c>
      <c r="H9194" s="3"/>
    </row>
    <row r="9195" spans="1:8">
      <c r="A9195" s="1090">
        <v>46010</v>
      </c>
      <c r="B9195" s="1089"/>
      <c r="C9195" s="1089" t="s">
        <v>79</v>
      </c>
      <c r="D9195" s="3" t="s">
        <v>4269</v>
      </c>
      <c r="E9195" s="1497">
        <v>520200</v>
      </c>
      <c r="F9195" s="1497"/>
      <c r="G9195" s="1089" t="s">
        <v>27</v>
      </c>
      <c r="H9195" s="3"/>
    </row>
    <row r="9196" spans="1:8">
      <c r="A9196" s="1090">
        <v>46010</v>
      </c>
      <c r="B9196" s="1089"/>
      <c r="C9196" s="1089" t="s">
        <v>205</v>
      </c>
      <c r="D9196" s="3" t="s">
        <v>41</v>
      </c>
      <c r="E9196" s="1497">
        <v>372000</v>
      </c>
      <c r="F9196" s="1497"/>
      <c r="G9196" s="1089" t="s">
        <v>56</v>
      </c>
      <c r="H9196" s="3"/>
    </row>
    <row r="9197" spans="1:8">
      <c r="A9197" s="1092">
        <v>46010</v>
      </c>
      <c r="B9197" s="1089"/>
      <c r="C9197" s="1089" t="s">
        <v>76</v>
      </c>
      <c r="D9197" s="3" t="s">
        <v>4270</v>
      </c>
      <c r="E9197" s="1497"/>
      <c r="F9197" s="1497">
        <v>930700</v>
      </c>
      <c r="G9197" s="1093" t="s">
        <v>56</v>
      </c>
      <c r="H9197" s="3"/>
    </row>
    <row r="9198" spans="1:8">
      <c r="A9198" s="1092">
        <v>46010</v>
      </c>
      <c r="B9198" s="1091"/>
      <c r="C9198" s="1093" t="s">
        <v>76</v>
      </c>
      <c r="D9198" s="3" t="s">
        <v>4271</v>
      </c>
      <c r="E9198" s="1497"/>
      <c r="F9198" s="1497">
        <v>1100000</v>
      </c>
      <c r="G9198" s="1093" t="s">
        <v>56</v>
      </c>
      <c r="H9198" s="3"/>
    </row>
    <row r="9199" spans="1:8">
      <c r="A9199" s="1092">
        <v>46010</v>
      </c>
      <c r="B9199" s="1091"/>
      <c r="C9199" s="1093" t="s">
        <v>205</v>
      </c>
      <c r="D9199" s="3" t="s">
        <v>49</v>
      </c>
      <c r="E9199" s="1497">
        <v>100000</v>
      </c>
      <c r="F9199" s="1497"/>
      <c r="G9199" s="1093" t="s">
        <v>56</v>
      </c>
      <c r="H9199" s="3"/>
    </row>
    <row r="9200" spans="1:8">
      <c r="A9200" s="1092">
        <v>46010</v>
      </c>
      <c r="C9200" s="1093" t="s">
        <v>205</v>
      </c>
      <c r="D9200" s="3" t="s">
        <v>49</v>
      </c>
      <c r="E9200" s="1497">
        <v>408000</v>
      </c>
      <c r="F9200" s="1497"/>
      <c r="G9200" s="1093" t="s">
        <v>72</v>
      </c>
      <c r="H9200" s="3"/>
    </row>
    <row r="9201" spans="1:8" ht="15.75" thickBot="1">
      <c r="A9201" s="1092">
        <v>46010</v>
      </c>
      <c r="C9201" s="1093" t="s">
        <v>79</v>
      </c>
      <c r="D9201" s="15" t="s">
        <v>79</v>
      </c>
      <c r="E9201" s="1497">
        <v>450000</v>
      </c>
      <c r="F9201" s="1497"/>
      <c r="G9201" s="1093" t="s">
        <v>56</v>
      </c>
      <c r="H9201" s="3"/>
    </row>
    <row r="9202" spans="1:8" ht="15.75" thickBot="1">
      <c r="H9202" s="201">
        <v>46013</v>
      </c>
    </row>
    <row r="9203" spans="1:8">
      <c r="H9203" s="803" t="s">
        <v>3124</v>
      </c>
    </row>
    <row r="9204" spans="1:8">
      <c r="H9204" s="199" t="s">
        <v>4207</v>
      </c>
    </row>
    <row r="9205" spans="1:8">
      <c r="H9205" s="137" t="s">
        <v>905</v>
      </c>
    </row>
    <row r="9206" spans="1:8">
      <c r="H9206" s="138" t="s">
        <v>4272</v>
      </c>
    </row>
    <row r="9207" spans="1:8">
      <c r="H9207" s="138" t="s">
        <v>4273</v>
      </c>
    </row>
    <row r="9208" spans="1:8">
      <c r="H9208" s="138" t="s">
        <v>4202</v>
      </c>
    </row>
    <row r="9209" spans="1:8">
      <c r="H9209" s="138" t="s">
        <v>3760</v>
      </c>
    </row>
    <row r="9210" spans="1:8">
      <c r="H9210" s="138" t="s">
        <v>3933</v>
      </c>
    </row>
    <row r="9211" spans="1:8" ht="15.75" thickBot="1">
      <c r="H9211" s="147" t="s">
        <v>4204</v>
      </c>
    </row>
    <row r="9212" spans="1:8">
      <c r="A9212" s="1092">
        <v>46013</v>
      </c>
      <c r="B9212" s="1093"/>
      <c r="C9212" s="1093" t="s">
        <v>79</v>
      </c>
      <c r="D9212" s="3" t="s">
        <v>2738</v>
      </c>
      <c r="E9212" s="1497">
        <v>77632.95</v>
      </c>
      <c r="F9212" s="1497"/>
      <c r="G9212" s="1093" t="s">
        <v>27</v>
      </c>
      <c r="H9212" s="5"/>
    </row>
    <row r="9213" spans="1:8">
      <c r="A9213" s="1092">
        <v>46013</v>
      </c>
      <c r="B9213" s="1093"/>
      <c r="C9213" s="1093" t="s">
        <v>79</v>
      </c>
      <c r="D9213" s="3" t="s">
        <v>79</v>
      </c>
      <c r="E9213" s="1497">
        <v>65173.91</v>
      </c>
      <c r="F9213" s="1497"/>
      <c r="G9213" s="1093" t="s">
        <v>27</v>
      </c>
      <c r="H9213" s="3"/>
    </row>
    <row r="9214" spans="1:8">
      <c r="A9214" s="1092">
        <v>46013</v>
      </c>
      <c r="B9214" s="1093"/>
      <c r="C9214" s="1093" t="s">
        <v>79</v>
      </c>
      <c r="D9214" s="3" t="s">
        <v>4275</v>
      </c>
      <c r="E9214" s="1497">
        <v>89435</v>
      </c>
      <c r="F9214" s="1497"/>
      <c r="G9214" s="1093" t="s">
        <v>27</v>
      </c>
      <c r="H9214" s="3"/>
    </row>
    <row r="9215" spans="1:8">
      <c r="A9215" s="1092">
        <v>46013</v>
      </c>
      <c r="B9215" s="1093"/>
      <c r="C9215" s="1093" t="s">
        <v>79</v>
      </c>
      <c r="D9215" s="3" t="s">
        <v>4274</v>
      </c>
      <c r="E9215" s="1497">
        <v>34719.21</v>
      </c>
      <c r="F9215" s="1497"/>
      <c r="G9215" s="1093" t="s">
        <v>27</v>
      </c>
      <c r="H9215" s="3"/>
    </row>
    <row r="9216" spans="1:8">
      <c r="A9216" s="1092">
        <v>46013</v>
      </c>
      <c r="B9216" s="1093"/>
      <c r="C9216" s="1093" t="s">
        <v>79</v>
      </c>
      <c r="D9216" s="3" t="s">
        <v>4274</v>
      </c>
      <c r="E9216" s="1497">
        <v>25626.2</v>
      </c>
      <c r="F9216" s="1497"/>
      <c r="G9216" s="1093" t="s">
        <v>27</v>
      </c>
      <c r="H9216" s="3"/>
    </row>
    <row r="9217" spans="1:8">
      <c r="A9217" s="1092">
        <v>46013</v>
      </c>
      <c r="B9217" s="1093"/>
      <c r="C9217" s="1093" t="s">
        <v>77</v>
      </c>
      <c r="D9217" s="3" t="s">
        <v>4276</v>
      </c>
      <c r="E9217" s="1497"/>
      <c r="F9217" s="1497">
        <v>47000</v>
      </c>
      <c r="G9217" s="1093" t="s">
        <v>27</v>
      </c>
      <c r="H9217" s="3"/>
    </row>
    <row r="9218" spans="1:8">
      <c r="A9218" s="1095">
        <v>46013</v>
      </c>
      <c r="B9218" s="1093"/>
      <c r="C9218" s="1093" t="s">
        <v>92</v>
      </c>
      <c r="D9218" s="3" t="s">
        <v>675</v>
      </c>
      <c r="E9218" s="1497"/>
      <c r="F9218" s="1497">
        <v>175692</v>
      </c>
      <c r="G9218" s="1094" t="s">
        <v>27</v>
      </c>
      <c r="H9218" s="3"/>
    </row>
    <row r="9219" spans="1:8">
      <c r="A9219" s="1095">
        <v>46013</v>
      </c>
      <c r="B9219" s="1093"/>
      <c r="C9219" s="1093" t="s">
        <v>92</v>
      </c>
      <c r="D9219" s="3" t="s">
        <v>675</v>
      </c>
      <c r="E9219" s="1497">
        <v>4065.2</v>
      </c>
      <c r="F9219" s="1497"/>
      <c r="G9219" s="1094" t="s">
        <v>27</v>
      </c>
      <c r="H9219" s="3"/>
    </row>
    <row r="9220" spans="1:8">
      <c r="A9220" s="1095">
        <v>46014</v>
      </c>
      <c r="B9220" s="1094"/>
      <c r="C9220" s="1094" t="s">
        <v>86</v>
      </c>
      <c r="D9220" s="3" t="s">
        <v>107</v>
      </c>
      <c r="E9220" s="1497">
        <v>30000</v>
      </c>
      <c r="F9220" s="1497"/>
      <c r="G9220" s="1094" t="s">
        <v>56</v>
      </c>
      <c r="H9220" s="3"/>
    </row>
    <row r="9221" spans="1:8">
      <c r="A9221" s="1095">
        <v>46014</v>
      </c>
      <c r="B9221" s="1094"/>
      <c r="C9221" s="1094" t="s">
        <v>537</v>
      </c>
      <c r="D9221" s="3" t="s">
        <v>219</v>
      </c>
      <c r="E9221" s="1497">
        <v>416100</v>
      </c>
      <c r="F9221" s="1497"/>
      <c r="G9221" s="1094" t="s">
        <v>56</v>
      </c>
      <c r="H9221" s="3"/>
    </row>
    <row r="9222" spans="1:8">
      <c r="A9222" s="1095">
        <v>46014</v>
      </c>
      <c r="B9222" s="1094"/>
      <c r="C9222" s="1094" t="s">
        <v>537</v>
      </c>
      <c r="D9222" s="15" t="s">
        <v>208</v>
      </c>
      <c r="E9222" s="1497">
        <v>316100</v>
      </c>
      <c r="F9222" s="1497"/>
      <c r="G9222" s="1094" t="s">
        <v>56</v>
      </c>
      <c r="H9222" s="3"/>
    </row>
    <row r="9223" spans="1:8">
      <c r="A9223" s="1095">
        <v>46014</v>
      </c>
      <c r="B9223" s="1094"/>
      <c r="C9223" s="1094" t="s">
        <v>537</v>
      </c>
      <c r="D9223" s="15" t="s">
        <v>208</v>
      </c>
      <c r="E9223" s="1497">
        <v>100000</v>
      </c>
      <c r="F9223" s="1497"/>
      <c r="G9223" s="1094" t="s">
        <v>1261</v>
      </c>
      <c r="H9223" s="3"/>
    </row>
    <row r="9224" spans="1:8">
      <c r="A9224" s="1095">
        <v>46014</v>
      </c>
      <c r="B9224" s="1094"/>
      <c r="C9224" s="1094" t="s">
        <v>537</v>
      </c>
      <c r="D9224" s="3" t="s">
        <v>144</v>
      </c>
      <c r="E9224" s="1497">
        <v>550000</v>
      </c>
      <c r="F9224" s="1497"/>
      <c r="G9224" s="1094" t="s">
        <v>56</v>
      </c>
      <c r="H9224" s="3"/>
    </row>
    <row r="9225" spans="1:8">
      <c r="A9225" s="1095">
        <v>46014</v>
      </c>
      <c r="B9225" s="1094"/>
      <c r="C9225" s="1094" t="s">
        <v>1495</v>
      </c>
      <c r="D9225" s="3" t="s">
        <v>4277</v>
      </c>
      <c r="E9225" s="1497">
        <v>120000</v>
      </c>
      <c r="F9225" s="1497"/>
      <c r="G9225" s="1094" t="s">
        <v>27</v>
      </c>
      <c r="H9225" s="3"/>
    </row>
    <row r="9226" spans="1:8">
      <c r="A9226" s="1095">
        <v>46014</v>
      </c>
      <c r="B9226" s="1094"/>
      <c r="C9226" s="1094" t="s">
        <v>205</v>
      </c>
      <c r="D9226" s="3" t="s">
        <v>859</v>
      </c>
      <c r="E9226" s="1497">
        <v>2524000</v>
      </c>
      <c r="F9226" s="1497"/>
      <c r="G9226" s="1094" t="s">
        <v>27</v>
      </c>
      <c r="H9226" s="3"/>
    </row>
    <row r="9227" spans="1:8">
      <c r="A9227" s="1095">
        <v>46014</v>
      </c>
      <c r="B9227" s="1094"/>
      <c r="C9227" s="1094" t="s">
        <v>205</v>
      </c>
      <c r="D9227" s="15" t="s">
        <v>859</v>
      </c>
      <c r="E9227" s="1497">
        <v>4444722.17</v>
      </c>
      <c r="F9227" s="1497"/>
      <c r="G9227" s="1094" t="s">
        <v>287</v>
      </c>
      <c r="H9227" s="3"/>
    </row>
    <row r="9228" spans="1:8" ht="15.75" thickBot="1">
      <c r="A9228" s="112">
        <v>46014</v>
      </c>
      <c r="B9228" s="1094"/>
      <c r="C9228" s="70" t="s">
        <v>77</v>
      </c>
      <c r="D9228" s="113" t="s">
        <v>4278</v>
      </c>
      <c r="E9228" s="70"/>
      <c r="F9228" s="70">
        <v>2450</v>
      </c>
      <c r="G9228" s="70" t="s">
        <v>781</v>
      </c>
      <c r="H9228" s="3"/>
    </row>
    <row r="9229" spans="1:8" ht="15.75" thickBot="1">
      <c r="A9229" s="1094"/>
      <c r="B9229" s="1094"/>
      <c r="C9229" s="70"/>
      <c r="D9229" s="113"/>
      <c r="E9229" s="70"/>
      <c r="F9229" s="70"/>
      <c r="G9229" s="70"/>
      <c r="H9229" s="201">
        <v>46014</v>
      </c>
    </row>
    <row r="9230" spans="1:8">
      <c r="A9230" s="1094"/>
      <c r="B9230" s="1094"/>
      <c r="C9230" s="1094"/>
      <c r="D9230" s="3"/>
      <c r="E9230" s="1497"/>
      <c r="F9230" s="1497"/>
      <c r="G9230" s="1094"/>
      <c r="H9230" s="803" t="s">
        <v>3124</v>
      </c>
    </row>
    <row r="9231" spans="1:8">
      <c r="A9231" s="1094"/>
      <c r="B9231" s="1094"/>
      <c r="C9231" s="1094"/>
      <c r="D9231" s="3"/>
      <c r="E9231" s="1497"/>
      <c r="F9231" s="1497"/>
      <c r="G9231" s="1094"/>
      <c r="H9231" s="199" t="s">
        <v>4207</v>
      </c>
    </row>
    <row r="9232" spans="1:8">
      <c r="A9232" s="1094"/>
      <c r="B9232" s="1094"/>
      <c r="C9232" s="1094"/>
      <c r="D9232" s="3"/>
      <c r="E9232" s="1497"/>
      <c r="F9232" s="1497"/>
      <c r="G9232" s="1094"/>
      <c r="H9232" s="137" t="s">
        <v>4279</v>
      </c>
    </row>
    <row r="9233" spans="1:8">
      <c r="A9233" s="1094"/>
      <c r="B9233" s="1094"/>
      <c r="C9233" s="1094"/>
      <c r="D9233" s="3"/>
      <c r="E9233" s="1497"/>
      <c r="F9233" s="1497"/>
      <c r="G9233" s="1094"/>
      <c r="H9233" s="138" t="s">
        <v>808</v>
      </c>
    </row>
    <row r="9234" spans="1:8">
      <c r="H9234" s="138" t="s">
        <v>4280</v>
      </c>
    </row>
    <row r="9235" spans="1:8">
      <c r="H9235" s="138" t="s">
        <v>4202</v>
      </c>
    </row>
    <row r="9236" spans="1:8">
      <c r="H9236" s="138" t="s">
        <v>3760</v>
      </c>
    </row>
    <row r="9237" spans="1:8">
      <c r="H9237" s="138" t="s">
        <v>3933</v>
      </c>
    </row>
    <row r="9238" spans="1:8" ht="15.75" thickBot="1">
      <c r="H9238" s="147" t="s">
        <v>4204</v>
      </c>
    </row>
    <row r="9239" spans="1:8">
      <c r="A9239" s="1096">
        <v>46020</v>
      </c>
      <c r="B9239" s="1097"/>
      <c r="C9239" s="1097" t="s">
        <v>92</v>
      </c>
      <c r="D9239" s="3" t="s">
        <v>4281</v>
      </c>
      <c r="E9239" s="1497"/>
      <c r="F9239" s="1497">
        <v>758200</v>
      </c>
      <c r="G9239" s="1097" t="s">
        <v>27</v>
      </c>
      <c r="H9239" s="3"/>
    </row>
    <row r="9240" spans="1:8">
      <c r="A9240" s="1096">
        <v>46020</v>
      </c>
      <c r="B9240" s="1097"/>
      <c r="C9240" s="1097" t="s">
        <v>92</v>
      </c>
      <c r="D9240" s="3" t="s">
        <v>4282</v>
      </c>
      <c r="E9240" s="1497">
        <v>87631.91</v>
      </c>
      <c r="F9240" s="1497"/>
      <c r="G9240" s="1097" t="s">
        <v>27</v>
      </c>
      <c r="H9240" s="3"/>
    </row>
    <row r="9241" spans="1:8">
      <c r="A9241" s="1096">
        <v>46020</v>
      </c>
      <c r="B9241" s="1097"/>
      <c r="C9241" s="1097" t="s">
        <v>92</v>
      </c>
      <c r="D9241" s="3" t="s">
        <v>4285</v>
      </c>
      <c r="E9241" s="1497"/>
      <c r="F9241" s="1497">
        <v>1250000</v>
      </c>
      <c r="G9241" s="1097" t="s">
        <v>27</v>
      </c>
      <c r="H9241" s="3"/>
    </row>
    <row r="9242" spans="1:8">
      <c r="A9242" s="1096">
        <v>46020</v>
      </c>
      <c r="B9242" s="1097"/>
      <c r="C9242" s="1097" t="s">
        <v>92</v>
      </c>
      <c r="D9242" s="3" t="s">
        <v>4285</v>
      </c>
      <c r="E9242" s="1497" t="s">
        <v>4286</v>
      </c>
      <c r="F9242" s="1497"/>
      <c r="G9242" s="1097" t="s">
        <v>996</v>
      </c>
      <c r="H9242" s="3"/>
    </row>
    <row r="9243" spans="1:8">
      <c r="A9243" s="1096">
        <v>46020</v>
      </c>
      <c r="B9243" s="1097"/>
      <c r="C9243" s="1097" t="s">
        <v>79</v>
      </c>
      <c r="D9243" s="3" t="s">
        <v>79</v>
      </c>
      <c r="E9243" s="1497">
        <v>243511.71</v>
      </c>
      <c r="F9243" s="1497"/>
      <c r="G9243" s="1097" t="s">
        <v>27</v>
      </c>
      <c r="H9243" s="3"/>
    </row>
    <row r="9244" spans="1:8">
      <c r="A9244" s="1096">
        <v>46020</v>
      </c>
      <c r="B9244" s="1097"/>
      <c r="C9244" s="1097" t="s">
        <v>174</v>
      </c>
      <c r="D9244" s="3" t="s">
        <v>4283</v>
      </c>
      <c r="E9244" s="1497">
        <v>13409.06</v>
      </c>
      <c r="F9244" s="1497"/>
      <c r="G9244" s="1097" t="s">
        <v>27</v>
      </c>
      <c r="H9244" s="3"/>
    </row>
    <row r="9245" spans="1:8">
      <c r="A9245" s="1096">
        <v>46020</v>
      </c>
      <c r="B9245" s="1097"/>
      <c r="C9245" s="1097" t="s">
        <v>86</v>
      </c>
      <c r="D9245" s="15" t="s">
        <v>104</v>
      </c>
      <c r="E9245" s="1497">
        <v>30000</v>
      </c>
      <c r="F9245" s="1497"/>
      <c r="G9245" s="1097" t="s">
        <v>56</v>
      </c>
      <c r="H9245" s="3"/>
    </row>
    <row r="9246" spans="1:8">
      <c r="A9246" s="1096">
        <v>46020</v>
      </c>
      <c r="B9246" s="1097"/>
      <c r="C9246" s="1097" t="s">
        <v>327</v>
      </c>
      <c r="D9246" s="3" t="s">
        <v>13</v>
      </c>
      <c r="E9246" s="1497">
        <v>121539.41</v>
      </c>
      <c r="F9246" s="1497"/>
      <c r="G9246" s="1097" t="s">
        <v>27</v>
      </c>
      <c r="H9246" s="3"/>
    </row>
    <row r="9247" spans="1:8">
      <c r="A9247" s="1096">
        <v>46020</v>
      </c>
      <c r="B9247" s="1097"/>
      <c r="C9247" s="1097" t="s">
        <v>55</v>
      </c>
      <c r="D9247" s="15" t="s">
        <v>4284</v>
      </c>
      <c r="E9247" s="1497">
        <v>14000</v>
      </c>
      <c r="F9247" s="1497"/>
      <c r="G9247" s="1097" t="s">
        <v>56</v>
      </c>
      <c r="H9247" s="3"/>
    </row>
    <row r="9248" spans="1:8">
      <c r="A9248" s="1097" t="s">
        <v>4287</v>
      </c>
      <c r="B9248" s="1097"/>
      <c r="C9248" s="1097" t="s">
        <v>205</v>
      </c>
      <c r="D9248" s="3" t="s">
        <v>38</v>
      </c>
      <c r="E9248" s="1497">
        <v>7000</v>
      </c>
      <c r="F9248" s="1497"/>
      <c r="G9248" s="1097" t="s">
        <v>56</v>
      </c>
      <c r="H9248" s="3"/>
    </row>
    <row r="9249" spans="1:8">
      <c r="A9249" s="1099">
        <v>46021</v>
      </c>
      <c r="B9249" s="1097"/>
      <c r="C9249" s="1097" t="s">
        <v>86</v>
      </c>
      <c r="D9249" s="3" t="s">
        <v>3749</v>
      </c>
      <c r="E9249" s="1497">
        <v>30000</v>
      </c>
      <c r="F9249" s="1497"/>
      <c r="G9249" s="1097" t="s">
        <v>27</v>
      </c>
      <c r="H9249" s="3"/>
    </row>
    <row r="9250" spans="1:8">
      <c r="A9250" s="1101">
        <v>46021</v>
      </c>
      <c r="B9250" s="1098"/>
      <c r="C9250" s="1098" t="s">
        <v>79</v>
      </c>
      <c r="D9250" s="3" t="s">
        <v>79</v>
      </c>
      <c r="E9250" s="1497"/>
      <c r="F9250" s="1497">
        <v>130900</v>
      </c>
      <c r="G9250" s="1098" t="s">
        <v>27</v>
      </c>
      <c r="H9250" s="3"/>
    </row>
    <row r="9251" spans="1:8">
      <c r="A9251" s="1101">
        <v>46022</v>
      </c>
      <c r="B9251" s="1102"/>
      <c r="C9251" s="1102" t="s">
        <v>79</v>
      </c>
      <c r="D9251" s="3" t="s">
        <v>1218</v>
      </c>
      <c r="E9251" s="1497">
        <v>211000</v>
      </c>
      <c r="F9251" s="1497"/>
      <c r="G9251" s="1102" t="s">
        <v>27</v>
      </c>
      <c r="H9251" s="3"/>
    </row>
    <row r="9252" spans="1:8">
      <c r="A9252" s="1101">
        <v>46022</v>
      </c>
      <c r="B9252" s="1102"/>
      <c r="C9252" s="1102" t="s">
        <v>79</v>
      </c>
      <c r="D9252" s="3" t="s">
        <v>2355</v>
      </c>
      <c r="E9252" s="1497">
        <v>52000</v>
      </c>
      <c r="F9252" s="1497"/>
      <c r="G9252" s="1102" t="s">
        <v>27</v>
      </c>
      <c r="H9252" s="3"/>
    </row>
    <row r="9253" spans="1:8">
      <c r="A9253" s="1101">
        <v>46022</v>
      </c>
      <c r="B9253" s="1102"/>
      <c r="C9253" s="1102" t="s">
        <v>65</v>
      </c>
      <c r="D9253" s="15" t="s">
        <v>4288</v>
      </c>
      <c r="E9253" s="1497">
        <v>713732.81</v>
      </c>
      <c r="F9253" s="1497"/>
      <c r="G9253" s="1102" t="s">
        <v>27</v>
      </c>
      <c r="H9253" s="3"/>
    </row>
    <row r="9254" spans="1:8">
      <c r="A9254" s="1101">
        <v>46022</v>
      </c>
      <c r="B9254" s="1102"/>
      <c r="C9254" s="1102" t="s">
        <v>65</v>
      </c>
      <c r="D9254" s="3" t="s">
        <v>4288</v>
      </c>
      <c r="E9254" s="1497">
        <v>623855.31999999995</v>
      </c>
      <c r="F9254" s="1497"/>
      <c r="G9254" s="1102" t="s">
        <v>27</v>
      </c>
      <c r="H9254" s="3"/>
    </row>
    <row r="9255" spans="1:8">
      <c r="A9255" s="1101">
        <v>46022</v>
      </c>
      <c r="B9255" s="1102"/>
      <c r="C9255" s="1102" t="s">
        <v>79</v>
      </c>
      <c r="D9255" s="3" t="s">
        <v>3889</v>
      </c>
      <c r="E9255" s="1497">
        <v>623574.16</v>
      </c>
      <c r="F9255" s="1497"/>
      <c r="G9255" s="1102" t="s">
        <v>27</v>
      </c>
      <c r="H9255" s="3"/>
    </row>
    <row r="9256" spans="1:8">
      <c r="A9256" s="1101">
        <v>46022</v>
      </c>
      <c r="B9256" s="1102"/>
      <c r="C9256" s="1102" t="s">
        <v>205</v>
      </c>
      <c r="D9256" s="3" t="s">
        <v>790</v>
      </c>
      <c r="E9256" s="1497">
        <v>165000</v>
      </c>
      <c r="F9256" s="1497"/>
      <c r="G9256" s="1102" t="s">
        <v>27</v>
      </c>
      <c r="H9256" s="3"/>
    </row>
    <row r="9257" spans="1:8">
      <c r="A9257" s="1101">
        <v>46022</v>
      </c>
      <c r="B9257" s="1102"/>
      <c r="C9257" s="1102" t="s">
        <v>205</v>
      </c>
      <c r="D9257" s="15" t="s">
        <v>283</v>
      </c>
      <c r="E9257" s="1497">
        <v>226047</v>
      </c>
      <c r="F9257" s="1497"/>
      <c r="G9257" s="1102" t="s">
        <v>27</v>
      </c>
      <c r="H9257" s="3"/>
    </row>
    <row r="9258" spans="1:8">
      <c r="A9258" s="1101">
        <v>46022</v>
      </c>
      <c r="B9258" s="1102"/>
      <c r="C9258" s="1102" t="s">
        <v>205</v>
      </c>
      <c r="D9258" s="15" t="s">
        <v>35</v>
      </c>
      <c r="E9258" s="1497">
        <v>155800</v>
      </c>
      <c r="F9258" s="1497"/>
      <c r="G9258" s="1102" t="s">
        <v>27</v>
      </c>
      <c r="H9258" s="3"/>
    </row>
    <row r="9259" spans="1:8">
      <c r="A9259" s="1553"/>
      <c r="B9259" s="1554"/>
      <c r="C9259" s="1554"/>
      <c r="D9259" s="1554"/>
      <c r="E9259" s="1554"/>
      <c r="F9259" s="1554"/>
      <c r="G9259" s="1554"/>
      <c r="H9259" s="1555"/>
    </row>
    <row r="9260" spans="1:8">
      <c r="A9260" s="1556"/>
      <c r="B9260" s="1557"/>
      <c r="C9260" s="1557"/>
      <c r="D9260" s="1557"/>
      <c r="E9260" s="1557"/>
      <c r="F9260" s="1557"/>
      <c r="G9260" s="1557"/>
      <c r="H9260" s="1558"/>
    </row>
    <row r="9261" spans="1:8">
      <c r="A9261" s="1556"/>
      <c r="B9261" s="1557"/>
      <c r="C9261" s="1557"/>
      <c r="D9261" s="1557"/>
      <c r="E9261" s="1557"/>
      <c r="F9261" s="1557"/>
      <c r="G9261" s="1557"/>
      <c r="H9261" s="1558"/>
    </row>
    <row r="9262" spans="1:8">
      <c r="A9262" s="1559"/>
      <c r="B9262" s="1560"/>
      <c r="C9262" s="1560"/>
      <c r="D9262" s="1560"/>
      <c r="E9262" s="1560"/>
      <c r="F9262" s="1560"/>
      <c r="G9262" s="1560"/>
      <c r="H9262" s="1561"/>
    </row>
    <row r="9263" spans="1:8">
      <c r="A9263" s="1105">
        <v>46024</v>
      </c>
      <c r="B9263" s="1104"/>
      <c r="C9263" s="1104" t="s">
        <v>174</v>
      </c>
      <c r="D9263" s="3" t="s">
        <v>777</v>
      </c>
      <c r="E9263" s="1497">
        <v>18055.71</v>
      </c>
      <c r="F9263" s="1497"/>
      <c r="G9263" s="1104" t="s">
        <v>27</v>
      </c>
      <c r="H9263" s="3"/>
    </row>
    <row r="9264" spans="1:8">
      <c r="A9264" s="1105">
        <v>46024</v>
      </c>
      <c r="B9264" s="1104"/>
      <c r="C9264" s="1104" t="s">
        <v>174</v>
      </c>
      <c r="D9264" s="3" t="s">
        <v>777</v>
      </c>
      <c r="E9264" s="1497">
        <v>18055.71</v>
      </c>
      <c r="F9264" s="1497"/>
      <c r="G9264" s="1104" t="s">
        <v>27</v>
      </c>
      <c r="H9264" s="3"/>
    </row>
    <row r="9265" spans="1:8">
      <c r="A9265" s="1105">
        <v>46024</v>
      </c>
      <c r="B9265" s="1104"/>
      <c r="C9265" s="1104" t="s">
        <v>174</v>
      </c>
      <c r="D9265" s="3" t="s">
        <v>777</v>
      </c>
      <c r="E9265" s="1497">
        <v>46927.040000000001</v>
      </c>
      <c r="F9265" s="1497"/>
      <c r="G9265" s="1104" t="s">
        <v>27</v>
      </c>
      <c r="H9265" s="3"/>
    </row>
    <row r="9266" spans="1:8">
      <c r="A9266" s="1105">
        <v>46024</v>
      </c>
      <c r="B9266" s="1104"/>
      <c r="C9266" s="1104" t="s">
        <v>77</v>
      </c>
      <c r="D9266" s="3" t="s">
        <v>4190</v>
      </c>
      <c r="E9266" s="1497"/>
      <c r="F9266" s="1497">
        <v>80000</v>
      </c>
      <c r="G9266" s="1104" t="s">
        <v>56</v>
      </c>
      <c r="H9266" s="3"/>
    </row>
    <row r="9267" spans="1:8">
      <c r="A9267" s="1105">
        <v>46024</v>
      </c>
      <c r="B9267" s="1104"/>
      <c r="C9267" s="1104" t="s">
        <v>76</v>
      </c>
      <c r="D9267" s="15" t="s">
        <v>4289</v>
      </c>
      <c r="E9267" s="1497"/>
      <c r="F9267" s="1497">
        <v>460000</v>
      </c>
      <c r="G9267" s="1104" t="s">
        <v>56</v>
      </c>
      <c r="H9267" s="3"/>
    </row>
    <row r="9268" spans="1:8">
      <c r="A9268" s="1105">
        <v>46024</v>
      </c>
      <c r="B9268" s="1104"/>
      <c r="C9268" s="1104" t="s">
        <v>205</v>
      </c>
      <c r="D9268" s="3" t="s">
        <v>38</v>
      </c>
      <c r="E9268" s="1497">
        <v>3500</v>
      </c>
      <c r="F9268" s="1497"/>
      <c r="G9268" s="1104" t="s">
        <v>56</v>
      </c>
      <c r="H9268" s="3"/>
    </row>
    <row r="9269" spans="1:8">
      <c r="A9269" s="1105">
        <v>46024</v>
      </c>
      <c r="B9269" s="1104"/>
      <c r="C9269" s="1104"/>
      <c r="D9269" s="3" t="s">
        <v>629</v>
      </c>
      <c r="E9269" s="1497">
        <v>15350</v>
      </c>
      <c r="F9269" s="1497"/>
      <c r="G9269" s="1104" t="s">
        <v>56</v>
      </c>
      <c r="H9269" s="3"/>
    </row>
    <row r="9270" spans="1:8">
      <c r="A9270" s="1105">
        <v>46024</v>
      </c>
      <c r="B9270" s="1104"/>
      <c r="C9270" s="1104" t="s">
        <v>3762</v>
      </c>
      <c r="D9270" s="15" t="s">
        <v>4290</v>
      </c>
      <c r="E9270" s="1497">
        <v>18000</v>
      </c>
      <c r="F9270" s="1497"/>
      <c r="G9270" s="1104" t="s">
        <v>56</v>
      </c>
      <c r="H9270" s="3"/>
    </row>
    <row r="9271" spans="1:8">
      <c r="A9271" s="1105">
        <v>46024</v>
      </c>
      <c r="B9271" s="1104"/>
      <c r="C9271" s="1104" t="s">
        <v>68</v>
      </c>
      <c r="D9271" s="3" t="s">
        <v>2463</v>
      </c>
      <c r="E9271" s="1497">
        <v>18000</v>
      </c>
      <c r="F9271" s="1497"/>
      <c r="G9271" s="1104" t="s">
        <v>56</v>
      </c>
      <c r="H9271" s="3"/>
    </row>
    <row r="9272" spans="1:8">
      <c r="A9272" s="1107">
        <v>46024</v>
      </c>
      <c r="B9272" s="1104"/>
      <c r="C9272" s="1104" t="s">
        <v>537</v>
      </c>
      <c r="D9272" s="3" t="s">
        <v>193</v>
      </c>
      <c r="E9272" s="1497">
        <v>160000</v>
      </c>
      <c r="F9272" s="1497"/>
      <c r="G9272" s="1104" t="s">
        <v>56</v>
      </c>
      <c r="H9272" s="3"/>
    </row>
    <row r="9273" spans="1:8">
      <c r="A9273" s="1107">
        <v>46024</v>
      </c>
      <c r="B9273" s="1104"/>
      <c r="C9273" s="1108" t="s">
        <v>537</v>
      </c>
      <c r="D9273" s="3" t="s">
        <v>193</v>
      </c>
      <c r="E9273" s="1497">
        <v>160000</v>
      </c>
      <c r="F9273" s="1497"/>
      <c r="G9273" s="1104" t="s">
        <v>56</v>
      </c>
      <c r="H9273" s="3"/>
    </row>
    <row r="9274" spans="1:8">
      <c r="A9274" s="1107">
        <v>46024</v>
      </c>
      <c r="B9274" s="1104"/>
      <c r="C9274" s="1108" t="s">
        <v>537</v>
      </c>
      <c r="D9274" s="3" t="s">
        <v>2638</v>
      </c>
      <c r="E9274" s="1497">
        <v>440000</v>
      </c>
      <c r="F9274" s="1497"/>
      <c r="G9274" s="1108" t="s">
        <v>56</v>
      </c>
      <c r="H9274" s="3"/>
    </row>
    <row r="9275" spans="1:8">
      <c r="A9275" s="1107">
        <v>46024</v>
      </c>
      <c r="B9275" s="1104"/>
      <c r="C9275" s="1104" t="s">
        <v>537</v>
      </c>
      <c r="D9275" s="3" t="s">
        <v>219</v>
      </c>
      <c r="E9275" s="1497">
        <v>332000</v>
      </c>
      <c r="F9275" s="1497"/>
      <c r="G9275" s="1108" t="s">
        <v>56</v>
      </c>
      <c r="H9275" s="3"/>
    </row>
    <row r="9276" spans="1:8">
      <c r="A9276" s="1110">
        <v>46027</v>
      </c>
      <c r="B9276" s="1109"/>
      <c r="C9276" s="1109" t="s">
        <v>205</v>
      </c>
      <c r="D9276" s="15" t="s">
        <v>3207</v>
      </c>
      <c r="E9276" s="1497">
        <v>228090</v>
      </c>
      <c r="F9276" s="1497"/>
      <c r="G9276" s="1109" t="s">
        <v>27</v>
      </c>
      <c r="H9276" s="167" t="s">
        <v>4291</v>
      </c>
    </row>
    <row r="9277" spans="1:8">
      <c r="A9277" s="1110">
        <v>46027</v>
      </c>
      <c r="B9277" s="1109"/>
      <c r="C9277" s="1109" t="s">
        <v>77</v>
      </c>
      <c r="D9277" s="3" t="s">
        <v>2765</v>
      </c>
      <c r="E9277" s="1497"/>
      <c r="F9277" s="1497">
        <v>2872300</v>
      </c>
      <c r="G9277" s="1109" t="s">
        <v>27</v>
      </c>
      <c r="H9277" s="3"/>
    </row>
    <row r="9278" spans="1:8">
      <c r="A9278" s="1110">
        <v>46027</v>
      </c>
      <c r="B9278" s="1109"/>
      <c r="C9278" s="1109" t="s">
        <v>77</v>
      </c>
      <c r="D9278" s="3" t="s">
        <v>4292</v>
      </c>
      <c r="E9278" s="1497">
        <v>28485.62</v>
      </c>
      <c r="F9278" s="1497"/>
      <c r="G9278" s="1109" t="s">
        <v>27</v>
      </c>
      <c r="H9278" s="3"/>
    </row>
    <row r="9279" spans="1:8">
      <c r="A9279" s="1114">
        <v>46028</v>
      </c>
      <c r="B9279" s="1109"/>
      <c r="C9279" s="1109" t="s">
        <v>77</v>
      </c>
      <c r="D9279" s="3" t="s">
        <v>4293</v>
      </c>
      <c r="E9279" s="1497"/>
      <c r="F9279" s="1497">
        <v>1279250</v>
      </c>
      <c r="G9279" s="1109" t="s">
        <v>27</v>
      </c>
      <c r="H9279" s="3"/>
    </row>
    <row r="9280" spans="1:8">
      <c r="A9280" s="1114">
        <v>46028</v>
      </c>
      <c r="B9280" s="1109"/>
      <c r="C9280" s="1109" t="s">
        <v>205</v>
      </c>
      <c r="D9280" s="3" t="s">
        <v>71</v>
      </c>
      <c r="E9280" s="1497">
        <v>325640</v>
      </c>
      <c r="F9280" s="1497"/>
      <c r="G9280" s="1109" t="s">
        <v>27</v>
      </c>
      <c r="H9280" s="3"/>
    </row>
    <row r="9281" spans="1:8">
      <c r="A9281" s="1114">
        <v>46028</v>
      </c>
      <c r="B9281" s="1109"/>
      <c r="C9281" s="1109" t="s">
        <v>205</v>
      </c>
      <c r="D9281" s="3" t="s">
        <v>3207</v>
      </c>
      <c r="E9281" s="1497">
        <v>1580000</v>
      </c>
      <c r="F9281" s="1497"/>
      <c r="G9281" s="1109" t="s">
        <v>27</v>
      </c>
      <c r="H9281" s="3"/>
    </row>
    <row r="9282" spans="1:8">
      <c r="A9282" s="1114">
        <v>46028</v>
      </c>
      <c r="B9282" s="1109"/>
      <c r="C9282" s="1109" t="s">
        <v>205</v>
      </c>
      <c r="D9282" s="3" t="s">
        <v>63</v>
      </c>
      <c r="E9282" s="1497">
        <v>11115</v>
      </c>
      <c r="F9282" s="1497"/>
      <c r="G9282" s="1115" t="s">
        <v>27</v>
      </c>
      <c r="H9282" s="3"/>
    </row>
    <row r="9283" spans="1:8">
      <c r="A9283" s="1114">
        <v>46028</v>
      </c>
      <c r="B9283" s="1109"/>
      <c r="C9283" s="1115" t="s">
        <v>205</v>
      </c>
      <c r="D9283" s="3" t="s">
        <v>4294</v>
      </c>
      <c r="E9283" s="1497">
        <v>1600</v>
      </c>
      <c r="F9283" s="1497"/>
      <c r="G9283" s="1109" t="s">
        <v>56</v>
      </c>
      <c r="H9283" s="3" t="s">
        <v>1308</v>
      </c>
    </row>
    <row r="9284" spans="1:8">
      <c r="A9284" s="1114">
        <v>46028</v>
      </c>
      <c r="B9284" s="1109"/>
      <c r="C9284" s="1109" t="s">
        <v>86</v>
      </c>
      <c r="D9284" s="3" t="s">
        <v>3440</v>
      </c>
      <c r="E9284" s="1497">
        <v>30650</v>
      </c>
      <c r="F9284" s="1497"/>
      <c r="G9284" s="1109" t="s">
        <v>56</v>
      </c>
      <c r="H9284" s="3"/>
    </row>
    <row r="9285" spans="1:8">
      <c r="A9285" s="1117">
        <v>46028</v>
      </c>
      <c r="B9285" s="1116"/>
      <c r="C9285" s="1116" t="s">
        <v>92</v>
      </c>
      <c r="D9285" s="3" t="s">
        <v>4295</v>
      </c>
      <c r="E9285" s="1497"/>
      <c r="F9285" s="1497">
        <v>740000</v>
      </c>
      <c r="G9285" s="1116" t="s">
        <v>108</v>
      </c>
      <c r="H9285" s="3"/>
    </row>
    <row r="9286" spans="1:8">
      <c r="A9286" s="1136">
        <v>46029</v>
      </c>
      <c r="B9286" s="1135"/>
      <c r="C9286" s="1135" t="s">
        <v>150</v>
      </c>
      <c r="D9286" s="3" t="s">
        <v>4308</v>
      </c>
      <c r="E9286" s="1497">
        <v>391167.59</v>
      </c>
      <c r="F9286" s="1497"/>
      <c r="G9286" s="1135" t="s">
        <v>108</v>
      </c>
      <c r="H9286" s="3"/>
    </row>
    <row r="9287" spans="1:8">
      <c r="A9287" s="1136">
        <v>46029</v>
      </c>
      <c r="B9287" s="1135"/>
      <c r="C9287" s="1135" t="s">
        <v>150</v>
      </c>
      <c r="D9287" s="3" t="s">
        <v>155</v>
      </c>
      <c r="E9287" s="1497">
        <v>90636.800000000003</v>
      </c>
      <c r="F9287" s="1497"/>
      <c r="G9287" s="1135" t="s">
        <v>108</v>
      </c>
      <c r="H9287" s="3"/>
    </row>
    <row r="9288" spans="1:8">
      <c r="A9288" s="1136">
        <v>46029</v>
      </c>
      <c r="B9288" s="1135"/>
      <c r="C9288" s="1135" t="s">
        <v>150</v>
      </c>
      <c r="D9288" s="3" t="s">
        <v>3890</v>
      </c>
      <c r="E9288" s="1497">
        <v>3331.67</v>
      </c>
      <c r="F9288" s="1497"/>
      <c r="G9288" s="1135" t="s">
        <v>108</v>
      </c>
      <c r="H9288" s="3"/>
    </row>
    <row r="9289" spans="1:8">
      <c r="A9289" s="1136">
        <v>46029</v>
      </c>
      <c r="B9289" s="1135"/>
      <c r="C9289" s="1135" t="s">
        <v>150</v>
      </c>
      <c r="D9289" s="3" t="s">
        <v>4309</v>
      </c>
      <c r="E9289" s="1497">
        <v>40436.239999999998</v>
      </c>
      <c r="F9289" s="1497"/>
      <c r="G9289" s="1135" t="s">
        <v>108</v>
      </c>
      <c r="H9289" s="3"/>
    </row>
    <row r="9290" spans="1:8">
      <c r="A9290" s="1129">
        <v>46029</v>
      </c>
      <c r="B9290" s="1116"/>
      <c r="C9290" s="1116" t="s">
        <v>1385</v>
      </c>
      <c r="D9290" s="3" t="s">
        <v>4296</v>
      </c>
      <c r="E9290" s="1497">
        <v>2450</v>
      </c>
      <c r="F9290" s="1497"/>
      <c r="G9290" s="1116" t="s">
        <v>781</v>
      </c>
      <c r="H9290" s="3"/>
    </row>
    <row r="9291" spans="1:8">
      <c r="A9291" s="1129">
        <v>46029</v>
      </c>
      <c r="B9291" s="1116"/>
      <c r="C9291" s="1116" t="s">
        <v>1385</v>
      </c>
      <c r="D9291" s="3" t="s">
        <v>4297</v>
      </c>
      <c r="E9291" s="1497"/>
      <c r="F9291" s="1497">
        <v>3577000</v>
      </c>
      <c r="G9291" s="1116" t="s">
        <v>56</v>
      </c>
      <c r="H9291" s="3"/>
    </row>
    <row r="9292" spans="1:8">
      <c r="A9292" s="1129">
        <v>46029</v>
      </c>
      <c r="B9292" s="1116"/>
      <c r="C9292" s="1116" t="s">
        <v>1385</v>
      </c>
      <c r="D9292" s="3" t="s">
        <v>2058</v>
      </c>
      <c r="E9292" s="1497">
        <v>200000</v>
      </c>
      <c r="F9292" s="1497"/>
      <c r="G9292" s="1116" t="s">
        <v>56</v>
      </c>
      <c r="H9292" s="3"/>
    </row>
    <row r="9293" spans="1:8">
      <c r="A9293" s="1129">
        <v>46029</v>
      </c>
      <c r="B9293" s="1116"/>
      <c r="C9293" s="1116" t="s">
        <v>205</v>
      </c>
      <c r="D9293" s="3" t="s">
        <v>2058</v>
      </c>
      <c r="E9293" s="1497">
        <v>130568</v>
      </c>
      <c r="F9293" s="1497"/>
      <c r="G9293" s="1116" t="s">
        <v>27</v>
      </c>
      <c r="H9293" s="3"/>
    </row>
    <row r="9294" spans="1:8">
      <c r="A9294" s="1129">
        <v>46029</v>
      </c>
      <c r="B9294" s="1116"/>
      <c r="C9294" s="1116" t="s">
        <v>150</v>
      </c>
      <c r="D9294" s="15" t="s">
        <v>4298</v>
      </c>
      <c r="E9294" s="1497">
        <v>1000000</v>
      </c>
      <c r="F9294" s="1497"/>
      <c r="G9294" s="1116" t="s">
        <v>56</v>
      </c>
      <c r="H9294" s="3"/>
    </row>
    <row r="9295" spans="1:8">
      <c r="A9295" s="1129">
        <v>46029</v>
      </c>
      <c r="B9295" s="1116"/>
      <c r="C9295" s="1116" t="s">
        <v>205</v>
      </c>
      <c r="D9295" s="15" t="s">
        <v>63</v>
      </c>
      <c r="E9295" s="1497">
        <v>4179000</v>
      </c>
      <c r="F9295" s="1497"/>
      <c r="G9295" s="1116" t="s">
        <v>56</v>
      </c>
      <c r="H9295" s="3"/>
    </row>
    <row r="9296" spans="1:8">
      <c r="A9296" s="1129">
        <v>46029</v>
      </c>
      <c r="B9296" s="1116"/>
      <c r="C9296" s="1116" t="s">
        <v>205</v>
      </c>
      <c r="D9296" s="3" t="s">
        <v>48</v>
      </c>
      <c r="E9296" s="1497">
        <v>800000</v>
      </c>
      <c r="F9296" s="1497"/>
      <c r="G9296" s="1116" t="s">
        <v>27</v>
      </c>
      <c r="H9296" s="3"/>
    </row>
    <row r="9297" spans="1:8">
      <c r="A9297" s="1129">
        <v>46030</v>
      </c>
      <c r="B9297" s="1116"/>
      <c r="C9297" s="1116" t="s">
        <v>90</v>
      </c>
      <c r="D9297" s="3" t="s">
        <v>4299</v>
      </c>
      <c r="E9297" s="1497">
        <v>40000</v>
      </c>
      <c r="F9297" s="1497"/>
      <c r="G9297" s="1116" t="s">
        <v>56</v>
      </c>
      <c r="H9297" s="3"/>
    </row>
    <row r="9298" spans="1:8">
      <c r="A9298" s="1129">
        <v>46030</v>
      </c>
      <c r="B9298" s="1130"/>
      <c r="C9298" s="1130" t="s">
        <v>55</v>
      </c>
      <c r="D9298" s="3" t="s">
        <v>4300</v>
      </c>
      <c r="E9298" s="1497">
        <v>5500</v>
      </c>
      <c r="F9298" s="1497"/>
      <c r="G9298" s="1130" t="s">
        <v>56</v>
      </c>
      <c r="H9298" s="3"/>
    </row>
    <row r="9299" spans="1:8">
      <c r="A9299" s="1133">
        <v>46030</v>
      </c>
      <c r="B9299" s="1130"/>
      <c r="C9299" s="1130" t="s">
        <v>79</v>
      </c>
      <c r="D9299" s="3" t="s">
        <v>4301</v>
      </c>
      <c r="E9299" s="1497">
        <v>3600</v>
      </c>
      <c r="F9299" s="1497"/>
      <c r="G9299" s="1131" t="s">
        <v>56</v>
      </c>
      <c r="H9299" s="3"/>
    </row>
    <row r="9300" spans="1:8">
      <c r="A9300" s="1133">
        <v>46031</v>
      </c>
      <c r="B9300" s="1130"/>
      <c r="C9300" s="1130" t="s">
        <v>79</v>
      </c>
      <c r="D9300" s="3" t="s">
        <v>79</v>
      </c>
      <c r="E9300" s="1497">
        <v>25778</v>
      </c>
      <c r="F9300" s="1497"/>
      <c r="G9300" s="1134" t="s">
        <v>56</v>
      </c>
      <c r="H9300" s="3"/>
    </row>
    <row r="9301" spans="1:8">
      <c r="A9301" s="1133">
        <v>46031</v>
      </c>
      <c r="B9301" s="1130"/>
      <c r="C9301" s="1130" t="s">
        <v>55</v>
      </c>
      <c r="D9301" s="3" t="s">
        <v>70</v>
      </c>
      <c r="E9301" s="1497">
        <v>5999</v>
      </c>
      <c r="F9301" s="1497"/>
      <c r="G9301" s="1130" t="s">
        <v>56</v>
      </c>
      <c r="H9301" s="3"/>
    </row>
    <row r="9302" spans="1:8">
      <c r="A9302" s="1133">
        <v>46031</v>
      </c>
      <c r="B9302" s="1134"/>
      <c r="C9302" s="1134" t="s">
        <v>537</v>
      </c>
      <c r="D9302" s="3" t="s">
        <v>219</v>
      </c>
      <c r="E9302" s="1497">
        <v>366800</v>
      </c>
      <c r="F9302" s="1497"/>
      <c r="G9302" s="1134" t="s">
        <v>56</v>
      </c>
      <c r="H9302" s="3"/>
    </row>
    <row r="9303" spans="1:8">
      <c r="A9303" s="1133">
        <v>46031</v>
      </c>
      <c r="B9303" s="1134"/>
      <c r="C9303" s="1134" t="s">
        <v>537</v>
      </c>
      <c r="D9303" s="3" t="s">
        <v>4305</v>
      </c>
      <c r="E9303" s="1497">
        <v>232000</v>
      </c>
      <c r="F9303" s="1497"/>
      <c r="G9303" s="1134" t="s">
        <v>56</v>
      </c>
      <c r="H9303" s="3"/>
    </row>
    <row r="9304" spans="1:8">
      <c r="A9304" s="1133">
        <v>46031</v>
      </c>
      <c r="B9304" s="1134"/>
      <c r="C9304" s="1134" t="s">
        <v>537</v>
      </c>
      <c r="D9304" s="3" t="s">
        <v>4305</v>
      </c>
      <c r="E9304" s="1497">
        <v>100000</v>
      </c>
      <c r="F9304" s="1497"/>
      <c r="G9304" s="1134" t="s">
        <v>56</v>
      </c>
      <c r="H9304" s="3"/>
    </row>
    <row r="9305" spans="1:8">
      <c r="A9305" s="1133">
        <v>46031</v>
      </c>
      <c r="B9305" s="1134"/>
      <c r="C9305" s="1134" t="s">
        <v>537</v>
      </c>
      <c r="D9305" s="3" t="s">
        <v>144</v>
      </c>
      <c r="E9305" s="1497">
        <v>440000</v>
      </c>
      <c r="F9305" s="1497"/>
      <c r="G9305" s="1134" t="s">
        <v>56</v>
      </c>
      <c r="H9305" s="3"/>
    </row>
    <row r="9306" spans="1:8">
      <c r="A9306" s="1133">
        <v>46031</v>
      </c>
      <c r="B9306" s="1134"/>
      <c r="C9306" s="1134" t="s">
        <v>537</v>
      </c>
      <c r="D9306" s="3" t="s">
        <v>193</v>
      </c>
      <c r="E9306" s="1497">
        <v>160000</v>
      </c>
      <c r="F9306" s="1497"/>
      <c r="G9306" s="1134" t="s">
        <v>56</v>
      </c>
      <c r="H9306" s="3"/>
    </row>
    <row r="9307" spans="1:8">
      <c r="A9307" s="1133">
        <v>46031</v>
      </c>
      <c r="B9307" s="1134"/>
      <c r="C9307" s="1134" t="s">
        <v>79</v>
      </c>
      <c r="D9307" s="3" t="s">
        <v>79</v>
      </c>
      <c r="E9307" s="1497">
        <v>40000</v>
      </c>
      <c r="F9307" s="1497"/>
      <c r="G9307" s="1134" t="s">
        <v>56</v>
      </c>
      <c r="H9307" s="3"/>
    </row>
    <row r="9308" spans="1:8">
      <c r="A9308" s="1133">
        <v>45666</v>
      </c>
      <c r="B9308" s="1134"/>
      <c r="C9308" s="1134" t="s">
        <v>92</v>
      </c>
      <c r="D9308" s="3" t="s">
        <v>3085</v>
      </c>
      <c r="E9308" s="1497"/>
      <c r="F9308" s="1497">
        <v>2290000</v>
      </c>
      <c r="G9308" s="1134" t="s">
        <v>996</v>
      </c>
      <c r="H9308" s="3"/>
    </row>
    <row r="9309" spans="1:8" ht="15.75" thickBot="1">
      <c r="A9309" s="1133">
        <v>45666</v>
      </c>
      <c r="B9309" s="1134"/>
      <c r="C9309" s="1134" t="s">
        <v>92</v>
      </c>
      <c r="D9309" s="15" t="s">
        <v>3085</v>
      </c>
      <c r="E9309" s="1497">
        <v>59218.58</v>
      </c>
      <c r="F9309" s="1497"/>
      <c r="G9309" s="1134" t="s">
        <v>996</v>
      </c>
      <c r="H9309" s="85"/>
    </row>
    <row r="9310" spans="1:8" ht="15.75" thickBot="1">
      <c r="H9310" s="201">
        <v>46031</v>
      </c>
    </row>
    <row r="9311" spans="1:8">
      <c r="H9311" s="803" t="s">
        <v>3124</v>
      </c>
    </row>
    <row r="9312" spans="1:8">
      <c r="H9312" s="199" t="s">
        <v>4207</v>
      </c>
    </row>
    <row r="9313" spans="1:8">
      <c r="H9313" s="137" t="s">
        <v>905</v>
      </c>
    </row>
    <row r="9314" spans="1:8">
      <c r="H9314" s="138" t="s">
        <v>4306</v>
      </c>
    </row>
    <row r="9315" spans="1:8">
      <c r="H9315" s="138" t="s">
        <v>4304</v>
      </c>
    </row>
    <row r="9316" spans="1:8">
      <c r="H9316" s="138" t="s">
        <v>4302</v>
      </c>
    </row>
    <row r="9317" spans="1:8">
      <c r="H9317" s="138" t="s">
        <v>4307</v>
      </c>
    </row>
    <row r="9318" spans="1:8">
      <c r="H9318" s="138" t="s">
        <v>4303</v>
      </c>
    </row>
    <row r="9319" spans="1:8">
      <c r="H9319" s="139" t="s">
        <v>4204</v>
      </c>
    </row>
    <row r="9320" spans="1:8">
      <c r="A9320" s="1136">
        <v>45669</v>
      </c>
      <c r="B9320" s="1135"/>
      <c r="C9320" s="1135" t="s">
        <v>79</v>
      </c>
      <c r="D9320" s="3" t="s">
        <v>79</v>
      </c>
      <c r="E9320" s="1497">
        <v>41300</v>
      </c>
      <c r="F9320" s="1497"/>
      <c r="G9320" s="1135" t="s">
        <v>27</v>
      </c>
      <c r="H9320" s="3"/>
    </row>
    <row r="9321" spans="1:8">
      <c r="A9321" s="1136">
        <v>45669</v>
      </c>
      <c r="B9321" s="1135"/>
      <c r="C9321" s="1135" t="s">
        <v>77</v>
      </c>
      <c r="D9321" s="3" t="s">
        <v>4310</v>
      </c>
      <c r="E9321" s="1497"/>
      <c r="F9321" s="1497">
        <v>262500</v>
      </c>
      <c r="G9321" s="1135" t="s">
        <v>27</v>
      </c>
      <c r="H9321" s="3"/>
    </row>
    <row r="9322" spans="1:8">
      <c r="A9322" s="1136">
        <v>45669</v>
      </c>
      <c r="B9322" s="1135"/>
      <c r="C9322" s="1135" t="s">
        <v>150</v>
      </c>
      <c r="D9322" s="3" t="s">
        <v>163</v>
      </c>
      <c r="E9322" s="1497">
        <v>42238.92</v>
      </c>
      <c r="F9322" s="1497"/>
      <c r="G9322" s="1135" t="s">
        <v>27</v>
      </c>
      <c r="H9322" s="3"/>
    </row>
    <row r="9323" spans="1:8">
      <c r="A9323" s="1136">
        <v>45669</v>
      </c>
      <c r="B9323" s="1135"/>
      <c r="C9323" s="1135" t="s">
        <v>150</v>
      </c>
      <c r="D9323" s="3" t="s">
        <v>4311</v>
      </c>
      <c r="E9323" s="1497">
        <v>8870.17</v>
      </c>
      <c r="F9323" s="1497"/>
      <c r="G9323" s="1135" t="s">
        <v>27</v>
      </c>
      <c r="H9323" s="3"/>
    </row>
    <row r="9324" spans="1:8">
      <c r="A9324" s="1136">
        <v>45669</v>
      </c>
      <c r="B9324" s="1135"/>
      <c r="C9324" s="1135" t="s">
        <v>92</v>
      </c>
      <c r="D9324" s="3" t="s">
        <v>83</v>
      </c>
      <c r="E9324" s="1497"/>
      <c r="F9324" s="1497">
        <v>74200</v>
      </c>
      <c r="G9324" s="1135" t="s">
        <v>27</v>
      </c>
      <c r="H9324" s="3"/>
    </row>
    <row r="9325" spans="1:8">
      <c r="A9325" s="1136">
        <v>45669</v>
      </c>
      <c r="B9325" s="1135"/>
      <c r="C9325" s="1135" t="s">
        <v>409</v>
      </c>
      <c r="D9325" s="3" t="s">
        <v>4312</v>
      </c>
      <c r="E9325" s="1497"/>
      <c r="F9325" s="1497">
        <v>220000</v>
      </c>
      <c r="G9325" s="1135" t="s">
        <v>56</v>
      </c>
      <c r="H9325" s="3"/>
    </row>
    <row r="9326" spans="1:8">
      <c r="A9326" s="1136">
        <v>45669</v>
      </c>
      <c r="B9326" s="1135"/>
      <c r="C9326" s="1135" t="s">
        <v>409</v>
      </c>
      <c r="D9326" s="3" t="s">
        <v>4312</v>
      </c>
      <c r="E9326" s="1497"/>
      <c r="F9326" s="1497">
        <v>600000</v>
      </c>
      <c r="G9326" s="1135" t="s">
        <v>72</v>
      </c>
      <c r="H9326" s="3" t="s">
        <v>4313</v>
      </c>
    </row>
    <row r="9327" spans="1:8">
      <c r="A9327" s="1136">
        <v>45669</v>
      </c>
      <c r="B9327" s="1135"/>
      <c r="C9327" s="1135" t="s">
        <v>77</v>
      </c>
      <c r="D9327" s="3" t="s">
        <v>4310</v>
      </c>
      <c r="E9327" s="1497"/>
      <c r="F9327" s="1497">
        <v>557764.87</v>
      </c>
      <c r="G9327" s="1135" t="s">
        <v>72</v>
      </c>
      <c r="H9327" s="3" t="s">
        <v>4314</v>
      </c>
    </row>
    <row r="9328" spans="1:8">
      <c r="A9328" s="1136">
        <v>45669</v>
      </c>
      <c r="B9328" s="1135"/>
      <c r="C9328" s="1135" t="s">
        <v>77</v>
      </c>
      <c r="D9328" s="3" t="s">
        <v>4310</v>
      </c>
      <c r="E9328" s="1497"/>
      <c r="F9328" s="1497">
        <v>460000</v>
      </c>
      <c r="G9328" s="1135" t="s">
        <v>56</v>
      </c>
      <c r="H9328" s="3"/>
    </row>
    <row r="9329" spans="1:8">
      <c r="A9329" s="1136">
        <v>45669</v>
      </c>
      <c r="B9329" s="1135"/>
      <c r="C9329" s="1135" t="s">
        <v>86</v>
      </c>
      <c r="D9329" s="15" t="s">
        <v>104</v>
      </c>
      <c r="E9329" s="1497">
        <v>36000</v>
      </c>
      <c r="F9329" s="1497"/>
      <c r="G9329" s="1135" t="s">
        <v>56</v>
      </c>
      <c r="H9329" s="3"/>
    </row>
    <row r="9330" spans="1:8">
      <c r="A9330" s="1136">
        <v>45669</v>
      </c>
      <c r="B9330" s="1135"/>
      <c r="C9330" s="1135" t="s">
        <v>205</v>
      </c>
      <c r="D9330" s="3" t="s">
        <v>71</v>
      </c>
      <c r="E9330" s="1497">
        <v>557764.87</v>
      </c>
      <c r="F9330" s="1497"/>
      <c r="G9330" s="1135" t="s">
        <v>72</v>
      </c>
      <c r="H9330" s="3" t="s">
        <v>4314</v>
      </c>
    </row>
    <row r="9331" spans="1:8">
      <c r="A9331" s="1136">
        <v>45669</v>
      </c>
      <c r="B9331" s="1135"/>
      <c r="C9331" s="1135" t="s">
        <v>205</v>
      </c>
      <c r="D9331" s="3" t="s">
        <v>71</v>
      </c>
      <c r="E9331" s="1497">
        <v>330000</v>
      </c>
      <c r="F9331" s="1497"/>
      <c r="G9331" s="1135" t="s">
        <v>56</v>
      </c>
      <c r="H9331" s="3"/>
    </row>
    <row r="9332" spans="1:8">
      <c r="A9332" s="1136">
        <v>45669</v>
      </c>
      <c r="B9332" s="1135"/>
      <c r="C9332" s="1135" t="s">
        <v>92</v>
      </c>
      <c r="D9332" s="15" t="s">
        <v>4315</v>
      </c>
      <c r="E9332" s="1497"/>
      <c r="F9332" s="1497">
        <v>198000</v>
      </c>
      <c r="G9332" s="1135" t="s">
        <v>27</v>
      </c>
      <c r="H9332" s="3"/>
    </row>
    <row r="9333" spans="1:8">
      <c r="A9333" s="1136">
        <v>45669</v>
      </c>
      <c r="B9333" s="1135"/>
      <c r="C9333" s="1135" t="s">
        <v>205</v>
      </c>
      <c r="D9333" s="3" t="s">
        <v>238</v>
      </c>
      <c r="E9333" s="1497">
        <v>163250</v>
      </c>
      <c r="F9333" s="1497"/>
      <c r="G9333" s="1135" t="s">
        <v>27</v>
      </c>
      <c r="H9333" s="3"/>
    </row>
    <row r="9334" spans="1:8">
      <c r="A9334" s="1136">
        <v>45669</v>
      </c>
      <c r="B9334" s="1135"/>
      <c r="C9334" s="1135" t="s">
        <v>77</v>
      </c>
      <c r="D9334" s="3" t="s">
        <v>4316</v>
      </c>
      <c r="E9334" s="1497"/>
      <c r="F9334" s="1497">
        <v>2786300</v>
      </c>
      <c r="G9334" s="1135" t="s">
        <v>996</v>
      </c>
      <c r="H9334" s="3"/>
    </row>
    <row r="9335" spans="1:8">
      <c r="A9335" s="1136">
        <v>45669</v>
      </c>
      <c r="B9335" s="1135"/>
      <c r="C9335" s="1135" t="s">
        <v>76</v>
      </c>
      <c r="D9335" s="3" t="s">
        <v>4316</v>
      </c>
      <c r="E9335" s="1497"/>
      <c r="F9335" s="1497">
        <v>435600</v>
      </c>
      <c r="G9335" s="1135" t="s">
        <v>27</v>
      </c>
      <c r="H9335" s="3"/>
    </row>
    <row r="9336" spans="1:8">
      <c r="A9336" s="1137">
        <v>45669</v>
      </c>
      <c r="B9336" s="1135"/>
      <c r="C9336" s="1135" t="s">
        <v>150</v>
      </c>
      <c r="D9336" s="3" t="s">
        <v>163</v>
      </c>
      <c r="E9336" s="1497">
        <v>274632.24</v>
      </c>
      <c r="F9336" s="1497"/>
      <c r="G9336" s="1135" t="s">
        <v>108</v>
      </c>
      <c r="H9336" s="3"/>
    </row>
    <row r="9337" spans="1:8">
      <c r="A9337" s="1137">
        <v>45669</v>
      </c>
      <c r="B9337" s="1135"/>
      <c r="C9337" s="1135" t="s">
        <v>150</v>
      </c>
      <c r="D9337" s="3" t="s">
        <v>163</v>
      </c>
      <c r="E9337" s="1497">
        <v>57672.77</v>
      </c>
      <c r="F9337" s="1497"/>
      <c r="G9337" s="1135" t="s">
        <v>108</v>
      </c>
      <c r="H9337" s="3"/>
    </row>
    <row r="9338" spans="1:8">
      <c r="A9338" s="1140">
        <v>45670</v>
      </c>
      <c r="B9338" s="1138"/>
      <c r="C9338" s="1138" t="s">
        <v>86</v>
      </c>
      <c r="D9338" s="3" t="s">
        <v>3749</v>
      </c>
      <c r="E9338" s="1497">
        <v>30662.52</v>
      </c>
      <c r="F9338" s="1497"/>
      <c r="G9338" s="1138" t="s">
        <v>27</v>
      </c>
      <c r="H9338" s="3"/>
    </row>
    <row r="9339" spans="1:8">
      <c r="A9339" s="1140">
        <v>45670</v>
      </c>
      <c r="B9339" s="1138"/>
      <c r="C9339" s="1139" t="s">
        <v>86</v>
      </c>
      <c r="D9339" s="3" t="s">
        <v>104</v>
      </c>
      <c r="E9339" s="1497">
        <v>35736.1</v>
      </c>
      <c r="F9339" s="1497"/>
      <c r="G9339" s="1138" t="s">
        <v>56</v>
      </c>
      <c r="H9339" s="3"/>
    </row>
    <row r="9340" spans="1:8">
      <c r="A9340" s="1140">
        <v>45670</v>
      </c>
      <c r="B9340" s="1138"/>
      <c r="C9340" s="1138" t="s">
        <v>77</v>
      </c>
      <c r="D9340" s="3" t="s">
        <v>4193</v>
      </c>
      <c r="E9340" s="1497"/>
      <c r="F9340" s="1497">
        <v>221000</v>
      </c>
      <c r="G9340" s="1138" t="s">
        <v>56</v>
      </c>
      <c r="H9340" s="3"/>
    </row>
    <row r="9341" spans="1:8">
      <c r="A9341" s="1141">
        <v>45671</v>
      </c>
      <c r="B9341" s="1138"/>
      <c r="C9341" s="1138" t="s">
        <v>79</v>
      </c>
      <c r="D9341" s="3" t="s">
        <v>3661</v>
      </c>
      <c r="E9341" s="1497">
        <v>43456.68</v>
      </c>
      <c r="F9341" s="1497"/>
      <c r="G9341" s="1138" t="s">
        <v>27</v>
      </c>
      <c r="H9341" s="3"/>
    </row>
    <row r="9342" spans="1:8">
      <c r="A9342" s="1141">
        <v>45672</v>
      </c>
      <c r="B9342" s="1139"/>
      <c r="C9342" s="1139" t="s">
        <v>94</v>
      </c>
      <c r="D9342" s="3" t="s">
        <v>17</v>
      </c>
      <c r="E9342" s="1497">
        <v>103107.41</v>
      </c>
      <c r="F9342" s="1497"/>
      <c r="G9342" s="1139" t="s">
        <v>27</v>
      </c>
      <c r="H9342" s="3"/>
    </row>
    <row r="9343" spans="1:8">
      <c r="A9343" s="1141">
        <v>45672</v>
      </c>
      <c r="B9343" s="1139"/>
      <c r="C9343" s="1139" t="s">
        <v>28</v>
      </c>
      <c r="D9343" s="3" t="s">
        <v>4317</v>
      </c>
      <c r="E9343" s="1497">
        <v>141072.20000000001</v>
      </c>
      <c r="F9343" s="1497"/>
      <c r="G9343" s="1142" t="s">
        <v>27</v>
      </c>
      <c r="H9343" s="3"/>
    </row>
    <row r="9344" spans="1:8">
      <c r="A9344" s="1141">
        <v>45672</v>
      </c>
      <c r="B9344" s="1139"/>
      <c r="C9344" s="1139" t="s">
        <v>68</v>
      </c>
      <c r="D9344" s="3" t="s">
        <v>1951</v>
      </c>
      <c r="E9344" s="1497">
        <v>18000</v>
      </c>
      <c r="F9344" s="1497"/>
      <c r="G9344" s="1139" t="s">
        <v>56</v>
      </c>
      <c r="H9344" s="3"/>
    </row>
    <row r="9345" spans="1:8">
      <c r="A9345" s="1141">
        <v>45672</v>
      </c>
      <c r="B9345" s="1139"/>
      <c r="C9345" s="1139" t="s">
        <v>55</v>
      </c>
      <c r="D9345" s="3" t="s">
        <v>633</v>
      </c>
      <c r="E9345" s="1497">
        <v>7000</v>
      </c>
      <c r="F9345" s="1497"/>
      <c r="G9345" s="1142" t="s">
        <v>56</v>
      </c>
      <c r="H9345" s="3"/>
    </row>
    <row r="9346" spans="1:8">
      <c r="A9346" s="1141">
        <v>45672</v>
      </c>
      <c r="B9346" s="1139"/>
      <c r="C9346" s="1142" t="s">
        <v>55</v>
      </c>
      <c r="D9346" s="3" t="s">
        <v>1926</v>
      </c>
      <c r="E9346" s="1497">
        <v>3000</v>
      </c>
      <c r="F9346" s="1497"/>
      <c r="G9346" s="1142" t="s">
        <v>56</v>
      </c>
      <c r="H9346" s="3"/>
    </row>
    <row r="9347" spans="1:8">
      <c r="A9347" s="1143">
        <v>45673</v>
      </c>
      <c r="B9347" s="1139"/>
      <c r="C9347" s="1139" t="s">
        <v>4264</v>
      </c>
      <c r="D9347" s="3" t="s">
        <v>3888</v>
      </c>
      <c r="E9347" s="1497">
        <v>150000</v>
      </c>
      <c r="F9347" s="1497"/>
      <c r="G9347" s="1139" t="s">
        <v>27</v>
      </c>
      <c r="H9347" s="3"/>
    </row>
    <row r="9348" spans="1:8">
      <c r="A9348" s="1143">
        <v>45673</v>
      </c>
      <c r="B9348" s="1142"/>
      <c r="C9348" s="1142" t="s">
        <v>156</v>
      </c>
      <c r="D9348" s="3" t="s">
        <v>156</v>
      </c>
      <c r="E9348" s="1497">
        <v>5848.58</v>
      </c>
      <c r="F9348" s="1497"/>
      <c r="G9348" s="1142" t="s">
        <v>27</v>
      </c>
      <c r="H9348" s="3"/>
    </row>
    <row r="9349" spans="1:8">
      <c r="A9349" s="1143">
        <v>45673</v>
      </c>
      <c r="B9349" s="1142"/>
      <c r="C9349" s="1142" t="s">
        <v>55</v>
      </c>
      <c r="D9349" s="3" t="s">
        <v>629</v>
      </c>
      <c r="E9349" s="1497">
        <v>11000</v>
      </c>
      <c r="F9349" s="1497"/>
      <c r="G9349" s="1142" t="s">
        <v>56</v>
      </c>
      <c r="H9349" s="3"/>
    </row>
    <row r="9350" spans="1:8">
      <c r="A9350" s="1144">
        <v>45673</v>
      </c>
      <c r="B9350" s="1142"/>
      <c r="C9350" s="1145" t="s">
        <v>55</v>
      </c>
      <c r="D9350" s="3" t="s">
        <v>854</v>
      </c>
      <c r="E9350" s="1497">
        <v>600</v>
      </c>
      <c r="F9350" s="1497"/>
      <c r="G9350" s="1142" t="s">
        <v>56</v>
      </c>
      <c r="H9350" s="3"/>
    </row>
    <row r="9351" spans="1:8">
      <c r="A9351" s="1144">
        <v>45673</v>
      </c>
      <c r="B9351" s="1145"/>
      <c r="C9351" s="1145" t="s">
        <v>537</v>
      </c>
      <c r="D9351" s="3" t="s">
        <v>144</v>
      </c>
      <c r="E9351" s="1497">
        <v>300000</v>
      </c>
      <c r="F9351" s="1497"/>
      <c r="G9351" s="1145" t="s">
        <v>56</v>
      </c>
      <c r="H9351" s="3"/>
    </row>
    <row r="9352" spans="1:8">
      <c r="A9352" s="1144">
        <v>45673</v>
      </c>
      <c r="B9352" s="1145"/>
      <c r="C9352" s="1145" t="s">
        <v>537</v>
      </c>
      <c r="D9352" s="3" t="s">
        <v>144</v>
      </c>
      <c r="E9352" s="1497">
        <v>140000</v>
      </c>
      <c r="F9352" s="1497"/>
      <c r="G9352" s="1145" t="s">
        <v>56</v>
      </c>
      <c r="H9352" s="3"/>
    </row>
    <row r="9353" spans="1:8">
      <c r="A9353" s="1144">
        <v>45673</v>
      </c>
      <c r="B9353" s="1145"/>
      <c r="C9353" s="1145" t="s">
        <v>537</v>
      </c>
      <c r="D9353" s="3" t="s">
        <v>208</v>
      </c>
      <c r="E9353" s="1497">
        <v>232000</v>
      </c>
      <c r="F9353" s="1497"/>
      <c r="G9353" s="1145" t="s">
        <v>56</v>
      </c>
      <c r="H9353" s="3"/>
    </row>
    <row r="9354" spans="1:8">
      <c r="A9354" s="1144">
        <v>45673</v>
      </c>
      <c r="B9354" s="1145"/>
      <c r="C9354" s="1145" t="s">
        <v>537</v>
      </c>
      <c r="D9354" s="3" t="s">
        <v>219</v>
      </c>
      <c r="E9354" s="1497">
        <v>312000</v>
      </c>
      <c r="F9354" s="1497"/>
      <c r="G9354" s="1145" t="s">
        <v>56</v>
      </c>
      <c r="H9354" s="3"/>
    </row>
    <row r="9355" spans="1:8" ht="15.75" thickBot="1">
      <c r="A9355" s="1144">
        <v>45673</v>
      </c>
      <c r="B9355" s="1145"/>
      <c r="C9355" s="1145" t="s">
        <v>537</v>
      </c>
      <c r="D9355" s="3" t="s">
        <v>4319</v>
      </c>
      <c r="E9355" s="1497">
        <v>160000</v>
      </c>
      <c r="F9355" s="1497"/>
      <c r="G9355" s="1145" t="s">
        <v>56</v>
      </c>
      <c r="H9355" s="3"/>
    </row>
    <row r="9356" spans="1:8" ht="15.75" thickBot="1">
      <c r="A9356" s="1145"/>
      <c r="B9356" s="1145"/>
      <c r="C9356" s="1145"/>
      <c r="D9356" s="3"/>
      <c r="E9356" s="1497"/>
      <c r="F9356" s="1497"/>
      <c r="G9356" s="1145"/>
      <c r="H9356" s="201">
        <v>46038</v>
      </c>
    </row>
    <row r="9357" spans="1:8">
      <c r="H9357" s="803" t="s">
        <v>876</v>
      </c>
    </row>
    <row r="9358" spans="1:8">
      <c r="H9358" s="199" t="s">
        <v>4207</v>
      </c>
    </row>
    <row r="9359" spans="1:8">
      <c r="H9359" s="137" t="s">
        <v>4320</v>
      </c>
    </row>
    <row r="9360" spans="1:8">
      <c r="H9360" s="138" t="s">
        <v>4306</v>
      </c>
    </row>
    <row r="9361" spans="1:8">
      <c r="H9361" s="138" t="s">
        <v>4324</v>
      </c>
    </row>
    <row r="9362" spans="1:8">
      <c r="H9362" s="138" t="s">
        <v>4323</v>
      </c>
    </row>
    <row r="9363" spans="1:8">
      <c r="H9363" s="138" t="s">
        <v>4322</v>
      </c>
    </row>
    <row r="9364" spans="1:8">
      <c r="H9364" s="139" t="s">
        <v>4321</v>
      </c>
    </row>
    <row r="9365" spans="1:8">
      <c r="A9365" s="1147">
        <v>46042</v>
      </c>
      <c r="B9365" s="1146"/>
      <c r="C9365" s="1146" t="s">
        <v>79</v>
      </c>
      <c r="D9365" s="3" t="s">
        <v>79</v>
      </c>
      <c r="E9365" s="1497">
        <v>24200</v>
      </c>
      <c r="F9365" s="1497"/>
      <c r="G9365" s="1146" t="s">
        <v>56</v>
      </c>
      <c r="H9365" s="126"/>
    </row>
    <row r="9366" spans="1:8">
      <c r="A9366" s="1147">
        <v>46042</v>
      </c>
      <c r="B9366" s="1146"/>
      <c r="C9366" s="1146" t="s">
        <v>79</v>
      </c>
      <c r="D9366" s="3" t="s">
        <v>79</v>
      </c>
      <c r="E9366" s="1497">
        <v>63450</v>
      </c>
      <c r="F9366" s="1497"/>
      <c r="G9366" s="1146" t="s">
        <v>56</v>
      </c>
      <c r="H9366" s="3"/>
    </row>
    <row r="9367" spans="1:8">
      <c r="A9367" s="1147">
        <v>46042</v>
      </c>
      <c r="B9367" s="1146"/>
      <c r="C9367" s="1146" t="s">
        <v>90</v>
      </c>
      <c r="D9367" s="3" t="s">
        <v>4325</v>
      </c>
      <c r="E9367" s="1497">
        <v>100000</v>
      </c>
      <c r="F9367" s="1497"/>
      <c r="G9367" s="1146" t="s">
        <v>27</v>
      </c>
      <c r="H9367" s="3"/>
    </row>
    <row r="9368" spans="1:8">
      <c r="A9368" s="1147">
        <v>46042</v>
      </c>
      <c r="B9368" s="1146"/>
      <c r="C9368" s="1146" t="s">
        <v>79</v>
      </c>
      <c r="D9368" s="3" t="s">
        <v>2579</v>
      </c>
      <c r="E9368" s="1497">
        <v>100000</v>
      </c>
      <c r="F9368" s="1497"/>
      <c r="G9368" s="1146" t="s">
        <v>27</v>
      </c>
      <c r="H9368" s="3"/>
    </row>
    <row r="9369" spans="1:8">
      <c r="A9369" s="1147">
        <v>46042</v>
      </c>
      <c r="B9369" s="1146"/>
      <c r="C9369" s="1146" t="s">
        <v>86</v>
      </c>
      <c r="D9369" s="3" t="s">
        <v>4326</v>
      </c>
      <c r="E9369" s="1497">
        <v>30630</v>
      </c>
      <c r="F9369" s="1497"/>
      <c r="G9369" s="1146" t="s">
        <v>4327</v>
      </c>
      <c r="H9369" s="3"/>
    </row>
    <row r="9370" spans="1:8">
      <c r="A9370" s="1147">
        <v>46042</v>
      </c>
      <c r="B9370" s="1146"/>
      <c r="C9370" s="1146" t="s">
        <v>205</v>
      </c>
      <c r="D9370" s="3" t="s">
        <v>4328</v>
      </c>
      <c r="E9370" s="1497"/>
      <c r="F9370" s="1497">
        <v>3662500</v>
      </c>
      <c r="G9370" s="1146" t="s">
        <v>4327</v>
      </c>
      <c r="H9370" s="3"/>
    </row>
    <row r="9371" spans="1:8">
      <c r="A9371" s="1147">
        <v>46042</v>
      </c>
      <c r="B9371" s="1146"/>
      <c r="C9371" s="1146" t="s">
        <v>205</v>
      </c>
      <c r="D9371" s="3" t="s">
        <v>71</v>
      </c>
      <c r="E9371" s="1497">
        <v>3180000</v>
      </c>
      <c r="F9371" s="1497"/>
      <c r="G9371" s="1146" t="s">
        <v>4327</v>
      </c>
      <c r="H9371" s="3"/>
    </row>
    <row r="9372" spans="1:8">
      <c r="A9372" s="1148">
        <v>46042</v>
      </c>
      <c r="B9372" s="1146"/>
      <c r="C9372" s="1146" t="s">
        <v>77</v>
      </c>
      <c r="D9372" s="3" t="s">
        <v>4329</v>
      </c>
      <c r="E9372" s="1497"/>
      <c r="F9372" s="1497">
        <v>100000</v>
      </c>
      <c r="G9372" s="1146" t="s">
        <v>27</v>
      </c>
      <c r="H9372" s="3"/>
    </row>
    <row r="9373" spans="1:8">
      <c r="A9373" s="1148">
        <v>46043</v>
      </c>
      <c r="B9373" s="1146"/>
      <c r="C9373" s="1146" t="s">
        <v>79</v>
      </c>
      <c r="D9373" s="3" t="s">
        <v>79</v>
      </c>
      <c r="E9373" s="1497">
        <v>37946.21</v>
      </c>
      <c r="F9373" s="1497"/>
      <c r="G9373" s="1146" t="s">
        <v>27</v>
      </c>
      <c r="H9373" s="3"/>
    </row>
    <row r="9374" spans="1:8">
      <c r="A9374" s="1148">
        <v>46043</v>
      </c>
      <c r="B9374" s="1146"/>
      <c r="C9374" s="1146" t="s">
        <v>79</v>
      </c>
      <c r="D9374" s="3" t="s">
        <v>79</v>
      </c>
      <c r="E9374" s="1497">
        <v>26388.41</v>
      </c>
      <c r="F9374" s="1497"/>
      <c r="G9374" s="1146" t="s">
        <v>27</v>
      </c>
      <c r="H9374" s="3"/>
    </row>
    <row r="9375" spans="1:8">
      <c r="A9375" s="1148">
        <v>46043</v>
      </c>
      <c r="B9375" s="1149"/>
      <c r="C9375" s="1149" t="s">
        <v>150</v>
      </c>
      <c r="D9375" s="3" t="s">
        <v>4068</v>
      </c>
      <c r="E9375" s="1497">
        <v>10000</v>
      </c>
      <c r="F9375" s="1497"/>
      <c r="G9375" s="1149" t="s">
        <v>27</v>
      </c>
      <c r="H9375" s="3"/>
    </row>
    <row r="9376" spans="1:8">
      <c r="A9376" s="1148">
        <v>46043</v>
      </c>
      <c r="B9376" s="1149"/>
      <c r="C9376" s="1149" t="s">
        <v>150</v>
      </c>
      <c r="D9376" s="15" t="s">
        <v>4068</v>
      </c>
      <c r="E9376" s="1497"/>
      <c r="F9376" s="1497">
        <v>10000</v>
      </c>
      <c r="G9376" s="1149" t="s">
        <v>108</v>
      </c>
      <c r="H9376" s="3"/>
    </row>
    <row r="9377" spans="1:8">
      <c r="A9377" s="1148">
        <v>46043</v>
      </c>
      <c r="B9377" s="1149"/>
      <c r="C9377" s="1149" t="s">
        <v>77</v>
      </c>
      <c r="D9377" s="3" t="s">
        <v>4330</v>
      </c>
      <c r="E9377" s="1497"/>
      <c r="F9377" s="1497">
        <v>20000</v>
      </c>
      <c r="G9377" s="1149" t="s">
        <v>56</v>
      </c>
      <c r="H9377" s="3"/>
    </row>
    <row r="9378" spans="1:8">
      <c r="A9378" s="1148">
        <v>46043</v>
      </c>
      <c r="B9378" s="1149"/>
      <c r="C9378" s="1149" t="s">
        <v>79</v>
      </c>
      <c r="D9378" s="3" t="s">
        <v>79</v>
      </c>
      <c r="E9378" s="1497">
        <v>20000</v>
      </c>
      <c r="F9378" s="1497"/>
      <c r="G9378" s="1149" t="s">
        <v>56</v>
      </c>
      <c r="H9378" s="3"/>
    </row>
    <row r="9379" spans="1:8">
      <c r="A9379" s="1150">
        <v>46044</v>
      </c>
      <c r="B9379" s="1149"/>
      <c r="C9379" s="1149" t="s">
        <v>205</v>
      </c>
      <c r="D9379" s="3" t="s">
        <v>3143</v>
      </c>
      <c r="E9379" s="1497">
        <v>211750</v>
      </c>
      <c r="F9379" s="1497"/>
      <c r="G9379" s="1149" t="s">
        <v>27</v>
      </c>
      <c r="H9379" s="3"/>
    </row>
    <row r="9380" spans="1:8">
      <c r="A9380" s="1150">
        <v>46044</v>
      </c>
      <c r="B9380" s="1149"/>
      <c r="C9380" s="1151" t="s">
        <v>205</v>
      </c>
      <c r="D9380" s="3" t="s">
        <v>1852</v>
      </c>
      <c r="E9380" s="1497">
        <v>33100</v>
      </c>
      <c r="F9380" s="1497"/>
      <c r="G9380" s="1149" t="s">
        <v>56</v>
      </c>
      <c r="H9380" s="3"/>
    </row>
    <row r="9381" spans="1:8">
      <c r="A9381" s="1153">
        <v>46044</v>
      </c>
      <c r="B9381" s="1152"/>
      <c r="C9381" s="1152" t="s">
        <v>205</v>
      </c>
      <c r="D9381" s="3" t="s">
        <v>71</v>
      </c>
      <c r="E9381" s="1497">
        <v>103429.3</v>
      </c>
      <c r="F9381" s="1497"/>
      <c r="G9381" s="1152"/>
      <c r="H9381" s="3"/>
    </row>
    <row r="9382" spans="1:8">
      <c r="A9382" s="1153">
        <v>46045</v>
      </c>
      <c r="B9382" s="1152"/>
      <c r="C9382" s="1152" t="s">
        <v>537</v>
      </c>
      <c r="D9382" s="3" t="s">
        <v>144</v>
      </c>
      <c r="E9382" s="1497">
        <v>300000</v>
      </c>
      <c r="F9382" s="1497"/>
      <c r="G9382" s="1152" t="s">
        <v>27</v>
      </c>
      <c r="H9382" s="3"/>
    </row>
    <row r="9383" spans="1:8">
      <c r="A9383" s="1153">
        <v>46045</v>
      </c>
      <c r="B9383" s="1152"/>
      <c r="C9383" s="1152" t="s">
        <v>537</v>
      </c>
      <c r="D9383" s="3" t="s">
        <v>144</v>
      </c>
      <c r="E9383" s="1497">
        <v>140000</v>
      </c>
      <c r="F9383" s="1497"/>
      <c r="G9383" s="1152" t="s">
        <v>56</v>
      </c>
      <c r="H9383" s="3"/>
    </row>
    <row r="9384" spans="1:8">
      <c r="A9384" s="1153">
        <v>46045</v>
      </c>
      <c r="B9384" s="1152"/>
      <c r="C9384" s="1152" t="s">
        <v>537</v>
      </c>
      <c r="D9384" s="3" t="s">
        <v>208</v>
      </c>
      <c r="E9384" s="1497">
        <v>232000</v>
      </c>
      <c r="F9384" s="1497"/>
      <c r="G9384" s="1152" t="s">
        <v>56</v>
      </c>
      <c r="H9384" s="3"/>
    </row>
    <row r="9385" spans="1:8">
      <c r="A9385" s="1153">
        <v>46045</v>
      </c>
      <c r="B9385" s="1152"/>
      <c r="C9385" s="1152" t="s">
        <v>537</v>
      </c>
      <c r="D9385" s="3" t="s">
        <v>193</v>
      </c>
      <c r="E9385" s="1497">
        <v>160000</v>
      </c>
      <c r="F9385" s="1497"/>
      <c r="G9385" s="1152" t="s">
        <v>56</v>
      </c>
      <c r="H9385" s="3"/>
    </row>
    <row r="9386" spans="1:8" ht="15.75" thickBot="1">
      <c r="A9386" s="1153">
        <v>46045</v>
      </c>
      <c r="B9386" s="1152"/>
      <c r="C9386" s="1152" t="s">
        <v>55</v>
      </c>
      <c r="D9386" s="15" t="s">
        <v>4331</v>
      </c>
      <c r="E9386" s="1497">
        <v>78000</v>
      </c>
      <c r="F9386" s="1497"/>
      <c r="G9386" s="1152" t="s">
        <v>27</v>
      </c>
      <c r="H9386" s="3"/>
    </row>
    <row r="9387" spans="1:8" ht="15.75" thickBot="1">
      <c r="A9387" s="1155"/>
      <c r="B9387" s="1156"/>
      <c r="C9387" s="1156"/>
      <c r="D9387" s="15"/>
      <c r="E9387" s="1497"/>
      <c r="F9387" s="1497"/>
      <c r="G9387" s="1156"/>
      <c r="H9387" s="201">
        <v>46046</v>
      </c>
    </row>
    <row r="9388" spans="1:8">
      <c r="A9388" s="1155"/>
      <c r="B9388" s="1156"/>
      <c r="C9388" s="1156"/>
      <c r="D9388" s="15"/>
      <c r="E9388" s="1497"/>
      <c r="F9388" s="1497"/>
      <c r="G9388" s="1156"/>
      <c r="H9388" s="803" t="s">
        <v>876</v>
      </c>
    </row>
    <row r="9389" spans="1:8">
      <c r="A9389" s="1155"/>
      <c r="B9389" s="1156"/>
      <c r="C9389" s="1156"/>
      <c r="D9389" s="15"/>
      <c r="E9389" s="1497"/>
      <c r="F9389" s="1497"/>
      <c r="G9389" s="1156"/>
      <c r="H9389" s="199" t="s">
        <v>4207</v>
      </c>
    </row>
    <row r="9390" spans="1:8">
      <c r="A9390" s="1155"/>
      <c r="B9390" s="1156"/>
      <c r="C9390" s="1156"/>
      <c r="D9390" s="15"/>
      <c r="E9390" s="1497"/>
      <c r="F9390" s="1497"/>
      <c r="G9390" s="1156"/>
      <c r="H9390" s="137" t="s">
        <v>4320</v>
      </c>
    </row>
    <row r="9391" spans="1:8">
      <c r="A9391" s="1155"/>
      <c r="B9391" s="1156"/>
      <c r="C9391" s="1156"/>
      <c r="D9391" s="15"/>
      <c r="E9391" s="1497"/>
      <c r="F9391" s="1497"/>
      <c r="G9391" s="1156"/>
      <c r="H9391" s="138" t="s">
        <v>4306</v>
      </c>
    </row>
    <row r="9392" spans="1:8">
      <c r="A9392" s="1155"/>
      <c r="B9392" s="1156"/>
      <c r="C9392" s="1156"/>
      <c r="D9392" s="15"/>
      <c r="E9392" s="1497"/>
      <c r="F9392" s="1497"/>
      <c r="G9392" s="1156"/>
      <c r="H9392" s="138" t="s">
        <v>4324</v>
      </c>
    </row>
    <row r="9393" spans="1:8">
      <c r="A9393" s="1156"/>
      <c r="B9393" s="1156"/>
      <c r="C9393" s="1156"/>
      <c r="D9393" s="3"/>
      <c r="E9393" s="1497"/>
      <c r="F9393" s="1497"/>
      <c r="G9393" s="1156"/>
      <c r="H9393" s="138" t="s">
        <v>4333</v>
      </c>
    </row>
    <row r="9394" spans="1:8">
      <c r="A9394" s="1156"/>
      <c r="B9394" s="1156"/>
      <c r="C9394" s="1156"/>
      <c r="D9394" s="3"/>
      <c r="E9394" s="1497"/>
      <c r="F9394" s="1497"/>
      <c r="G9394" s="1156"/>
      <c r="H9394" s="138" t="s">
        <v>4334</v>
      </c>
    </row>
    <row r="9395" spans="1:8" ht="15.75" thickBot="1">
      <c r="A9395" s="1155">
        <v>46048</v>
      </c>
      <c r="B9395" s="1156"/>
      <c r="C9395" s="1156" t="s">
        <v>86</v>
      </c>
      <c r="D9395" s="3" t="s">
        <v>3749</v>
      </c>
      <c r="E9395" s="1497">
        <v>30630.86</v>
      </c>
      <c r="F9395" s="1497"/>
      <c r="G9395" s="1156" t="s">
        <v>27</v>
      </c>
      <c r="H9395" s="147" t="s">
        <v>4321</v>
      </c>
    </row>
    <row r="9396" spans="1:8">
      <c r="A9396" s="1155">
        <v>46048</v>
      </c>
      <c r="B9396" s="1156"/>
      <c r="C9396" s="1156" t="s">
        <v>79</v>
      </c>
      <c r="D9396" s="3" t="s">
        <v>79</v>
      </c>
      <c r="E9396" s="1497">
        <v>32498</v>
      </c>
      <c r="F9396" s="1497"/>
      <c r="G9396" s="1156" t="s">
        <v>27</v>
      </c>
      <c r="H9396" s="5"/>
    </row>
    <row r="9397" spans="1:8">
      <c r="A9397" s="1155">
        <v>46048</v>
      </c>
      <c r="B9397" s="1156"/>
      <c r="C9397" s="1156" t="s">
        <v>79</v>
      </c>
      <c r="D9397" s="3" t="s">
        <v>4283</v>
      </c>
      <c r="E9397" s="1497">
        <v>14347.81</v>
      </c>
      <c r="F9397" s="1497"/>
      <c r="G9397" s="1156" t="s">
        <v>27</v>
      </c>
      <c r="H9397" s="3"/>
    </row>
    <row r="9398" spans="1:8">
      <c r="A9398" s="1155">
        <v>46048</v>
      </c>
      <c r="B9398" s="1156"/>
      <c r="C9398" s="1156" t="s">
        <v>79</v>
      </c>
      <c r="D9398" s="3" t="s">
        <v>1546</v>
      </c>
      <c r="E9398" s="1497">
        <v>39000</v>
      </c>
      <c r="F9398" s="1497"/>
      <c r="G9398" s="1156" t="s">
        <v>27</v>
      </c>
      <c r="H9398" s="3"/>
    </row>
    <row r="9399" spans="1:8">
      <c r="A9399" s="1155">
        <v>46048</v>
      </c>
      <c r="B9399" s="1156"/>
      <c r="C9399" s="1156" t="s">
        <v>92</v>
      </c>
      <c r="D9399" s="3" t="s">
        <v>4332</v>
      </c>
      <c r="E9399" s="1497"/>
      <c r="F9399" s="1497">
        <v>112500</v>
      </c>
      <c r="G9399" s="1156" t="s">
        <v>27</v>
      </c>
      <c r="H9399" s="3"/>
    </row>
    <row r="9400" spans="1:8">
      <c r="A9400" s="1158">
        <v>46048</v>
      </c>
      <c r="B9400" s="1157"/>
      <c r="C9400" s="1157" t="s">
        <v>86</v>
      </c>
      <c r="D9400" s="3" t="s">
        <v>104</v>
      </c>
      <c r="E9400" s="1497">
        <v>30500</v>
      </c>
      <c r="F9400" s="1497"/>
      <c r="G9400" s="1157" t="s">
        <v>56</v>
      </c>
      <c r="H9400" s="3"/>
    </row>
    <row r="9401" spans="1:8">
      <c r="A9401" s="1158">
        <v>46049</v>
      </c>
      <c r="B9401" s="1157"/>
      <c r="C9401" s="1157" t="s">
        <v>55</v>
      </c>
      <c r="D9401" s="3" t="s">
        <v>369</v>
      </c>
      <c r="E9401" s="1497">
        <v>4200</v>
      </c>
      <c r="F9401" s="1497"/>
      <c r="G9401" s="1157" t="s">
        <v>56</v>
      </c>
      <c r="H9401" s="3"/>
    </row>
    <row r="9402" spans="1:8">
      <c r="A9402" s="1158">
        <v>46049</v>
      </c>
      <c r="B9402" s="1157"/>
      <c r="C9402" s="1157" t="s">
        <v>92</v>
      </c>
      <c r="D9402" s="15" t="s">
        <v>4335</v>
      </c>
      <c r="E9402" s="1497"/>
      <c r="F9402" s="1497">
        <v>74500</v>
      </c>
      <c r="G9402" s="1157" t="s">
        <v>56</v>
      </c>
      <c r="H9402" s="3"/>
    </row>
    <row r="9403" spans="1:8">
      <c r="A9403" s="1159">
        <v>46049</v>
      </c>
      <c r="B9403" s="1157"/>
      <c r="C9403" s="1157" t="s">
        <v>55</v>
      </c>
      <c r="D9403" s="3" t="s">
        <v>4336</v>
      </c>
      <c r="E9403" s="1497">
        <v>52500</v>
      </c>
      <c r="F9403" s="1497"/>
      <c r="G9403" s="1157" t="s">
        <v>27</v>
      </c>
      <c r="H9403" s="3"/>
    </row>
    <row r="9404" spans="1:8">
      <c r="A9404" s="1159">
        <v>46049</v>
      </c>
      <c r="B9404" s="1157"/>
      <c r="C9404" s="1160" t="s">
        <v>55</v>
      </c>
      <c r="D9404" s="3" t="s">
        <v>4337</v>
      </c>
      <c r="E9404" s="1497">
        <v>6000</v>
      </c>
      <c r="F9404" s="1497"/>
      <c r="G9404" s="1157" t="s">
        <v>56</v>
      </c>
      <c r="H9404" s="3"/>
    </row>
    <row r="9405" spans="1:8">
      <c r="A9405" s="1159">
        <v>46050</v>
      </c>
      <c r="B9405" s="1157"/>
      <c r="C9405" s="1160" t="s">
        <v>55</v>
      </c>
      <c r="D9405" s="3" t="s">
        <v>1805</v>
      </c>
      <c r="E9405" s="1497">
        <v>10000</v>
      </c>
      <c r="F9405" s="1497"/>
      <c r="G9405" s="1157" t="s">
        <v>56</v>
      </c>
      <c r="H9405" s="3"/>
    </row>
    <row r="9406" spans="1:8">
      <c r="A9406" s="1159">
        <v>46050</v>
      </c>
      <c r="B9406" s="1157"/>
      <c r="C9406" s="1157" t="s">
        <v>55</v>
      </c>
      <c r="D9406" s="3" t="s">
        <v>562</v>
      </c>
      <c r="E9406" s="1497">
        <v>1600</v>
      </c>
      <c r="F9406" s="1497"/>
      <c r="G9406" s="1157" t="s">
        <v>56</v>
      </c>
      <c r="H9406" s="3"/>
    </row>
    <row r="9407" spans="1:8">
      <c r="A9407" s="1159">
        <v>46050</v>
      </c>
      <c r="B9407" s="1160"/>
      <c r="C9407" s="1160" t="s">
        <v>77</v>
      </c>
      <c r="D9407" s="3" t="s">
        <v>4338</v>
      </c>
      <c r="E9407" s="1497"/>
      <c r="F9407" s="1497">
        <v>408000</v>
      </c>
      <c r="G9407" s="1160" t="s">
        <v>27</v>
      </c>
      <c r="H9407" s="3"/>
    </row>
    <row r="9408" spans="1:8">
      <c r="A9408" s="1162">
        <v>46051</v>
      </c>
      <c r="B9408" s="1160"/>
      <c r="C9408" s="1160" t="s">
        <v>55</v>
      </c>
      <c r="D9408" s="3" t="s">
        <v>562</v>
      </c>
      <c r="E9408" s="1497">
        <v>103000</v>
      </c>
      <c r="F9408" s="1497"/>
      <c r="G9408" s="1160" t="s">
        <v>56</v>
      </c>
      <c r="H9408" s="3"/>
    </row>
    <row r="9409" spans="1:8">
      <c r="A9409" s="1162">
        <v>46051</v>
      </c>
      <c r="B9409" s="1160"/>
      <c r="C9409" s="1160" t="s">
        <v>79</v>
      </c>
      <c r="D9409" s="3" t="s">
        <v>1218</v>
      </c>
      <c r="E9409" s="1497">
        <v>674200</v>
      </c>
      <c r="F9409" s="1497"/>
      <c r="G9409" s="1160" t="s">
        <v>27</v>
      </c>
      <c r="H9409" s="3"/>
    </row>
    <row r="9410" spans="1:8">
      <c r="A9410" s="1162">
        <v>46051</v>
      </c>
      <c r="B9410" s="1160"/>
      <c r="C9410" s="1160" t="s">
        <v>79</v>
      </c>
      <c r="D9410" s="3" t="s">
        <v>3889</v>
      </c>
      <c r="E9410" s="1497">
        <v>564356.24</v>
      </c>
      <c r="F9410" s="1497"/>
      <c r="G9410" s="1160" t="s">
        <v>27</v>
      </c>
      <c r="H9410" s="3"/>
    </row>
    <row r="9411" spans="1:8">
      <c r="A9411" s="1162">
        <v>46051</v>
      </c>
      <c r="B9411" s="1160"/>
      <c r="C9411" s="1160" t="s">
        <v>77</v>
      </c>
      <c r="D9411" s="3" t="s">
        <v>4339</v>
      </c>
      <c r="E9411" s="1497"/>
      <c r="F9411" s="1497">
        <v>845000</v>
      </c>
      <c r="G9411" s="1160" t="s">
        <v>56</v>
      </c>
      <c r="H9411" s="3"/>
    </row>
    <row r="9412" spans="1:8">
      <c r="A9412" s="1162">
        <v>46051</v>
      </c>
      <c r="B9412" s="1160"/>
      <c r="C9412" s="1160" t="s">
        <v>77</v>
      </c>
      <c r="D9412" s="3" t="s">
        <v>4339</v>
      </c>
      <c r="E9412" s="1497"/>
      <c r="F9412" s="1497">
        <v>350000</v>
      </c>
      <c r="G9412" s="1161" t="s">
        <v>56</v>
      </c>
      <c r="H9412" s="3"/>
    </row>
    <row r="9413" spans="1:8">
      <c r="A9413" s="1162">
        <v>46051</v>
      </c>
      <c r="B9413" s="1160"/>
      <c r="C9413" s="1160" t="s">
        <v>205</v>
      </c>
      <c r="D9413" s="3" t="s">
        <v>4340</v>
      </c>
      <c r="E9413" s="1497">
        <v>1190000</v>
      </c>
      <c r="F9413" s="1497"/>
      <c r="G9413" s="1160" t="s">
        <v>56</v>
      </c>
      <c r="H9413" s="3"/>
    </row>
    <row r="9414" spans="1:8">
      <c r="A9414" s="1162">
        <v>46051</v>
      </c>
      <c r="B9414" s="1161"/>
      <c r="C9414" s="1161" t="s">
        <v>205</v>
      </c>
      <c r="D9414" s="3" t="s">
        <v>2495</v>
      </c>
      <c r="E9414" s="1497">
        <v>76497</v>
      </c>
      <c r="F9414" s="1497"/>
      <c r="G9414" s="1161" t="s">
        <v>27</v>
      </c>
      <c r="H9414" s="3"/>
    </row>
    <row r="9415" spans="1:8">
      <c r="A9415" s="1162">
        <v>46051</v>
      </c>
      <c r="B9415" s="1161"/>
      <c r="C9415" s="1161" t="s">
        <v>205</v>
      </c>
      <c r="D9415" s="3" t="s">
        <v>2495</v>
      </c>
      <c r="E9415" s="1497">
        <v>177622</v>
      </c>
      <c r="F9415" s="1497"/>
      <c r="G9415" s="1161" t="s">
        <v>27</v>
      </c>
      <c r="H9415" s="3"/>
    </row>
    <row r="9416" spans="1:8">
      <c r="A9416" s="1162">
        <v>46051</v>
      </c>
      <c r="B9416" s="1161"/>
      <c r="C9416" s="1161" t="s">
        <v>205</v>
      </c>
      <c r="D9416" s="15" t="s">
        <v>2463</v>
      </c>
      <c r="E9416" s="1497">
        <v>20000</v>
      </c>
      <c r="F9416" s="1497"/>
      <c r="G9416" s="1161" t="s">
        <v>56</v>
      </c>
      <c r="H9416" s="3"/>
    </row>
    <row r="9417" spans="1:8">
      <c r="A9417" s="1162">
        <v>46051</v>
      </c>
      <c r="B9417" s="1161"/>
      <c r="C9417" s="1161" t="s">
        <v>205</v>
      </c>
      <c r="D9417" s="15" t="s">
        <v>1852</v>
      </c>
      <c r="E9417" s="1497">
        <v>30000</v>
      </c>
      <c r="F9417" s="1497"/>
      <c r="G9417" s="1161" t="s">
        <v>56</v>
      </c>
      <c r="H9417" s="3"/>
    </row>
    <row r="9418" spans="1:8">
      <c r="A9418" s="1162">
        <v>46051</v>
      </c>
      <c r="B9418" s="1161"/>
      <c r="C9418" s="1161" t="s">
        <v>537</v>
      </c>
      <c r="D9418" s="15" t="s">
        <v>144</v>
      </c>
      <c r="E9418" s="1497">
        <v>440000</v>
      </c>
      <c r="F9418" s="1497"/>
      <c r="G9418" s="1161" t="s">
        <v>27</v>
      </c>
      <c r="H9418" s="3"/>
    </row>
    <row r="9419" spans="1:8">
      <c r="A9419" s="1162">
        <v>46051</v>
      </c>
      <c r="B9419" s="1161"/>
      <c r="C9419" s="1161" t="s">
        <v>205</v>
      </c>
      <c r="D9419" s="3" t="s">
        <v>4341</v>
      </c>
      <c r="E9419" s="1497">
        <v>30000</v>
      </c>
      <c r="F9419" s="1497"/>
      <c r="G9419" s="1161" t="s">
        <v>56</v>
      </c>
      <c r="H9419" s="3"/>
    </row>
    <row r="9420" spans="1:8">
      <c r="A9420" s="1162">
        <v>46051</v>
      </c>
      <c r="B9420" s="1161"/>
      <c r="C9420" s="1161" t="s">
        <v>86</v>
      </c>
      <c r="D9420" s="3" t="s">
        <v>195</v>
      </c>
      <c r="E9420" s="1497">
        <v>85852.98</v>
      </c>
      <c r="F9420" s="1497"/>
      <c r="G9420" s="1161" t="s">
        <v>27</v>
      </c>
      <c r="H9420" s="3"/>
    </row>
    <row r="9421" spans="1:8">
      <c r="A9421" s="1169">
        <v>46051</v>
      </c>
      <c r="B9421" s="1161"/>
      <c r="C9421" s="1161" t="s">
        <v>77</v>
      </c>
      <c r="D9421" s="3" t="s">
        <v>4342</v>
      </c>
      <c r="E9421" s="1497"/>
      <c r="F9421" s="1497">
        <v>104400</v>
      </c>
      <c r="G9421" s="1161" t="s">
        <v>27</v>
      </c>
      <c r="H9421" s="3"/>
    </row>
    <row r="9422" spans="1:8">
      <c r="A9422" s="1170">
        <v>46052</v>
      </c>
      <c r="B9422" s="1161"/>
      <c r="C9422" s="1161" t="s">
        <v>537</v>
      </c>
      <c r="D9422" s="3" t="s">
        <v>208</v>
      </c>
      <c r="E9422" s="1497">
        <v>232000</v>
      </c>
      <c r="F9422" s="1497"/>
      <c r="G9422" s="1161" t="s">
        <v>27</v>
      </c>
      <c r="H9422" s="3"/>
    </row>
    <row r="9423" spans="1:8" ht="15.75" thickBot="1">
      <c r="A9423" s="1170">
        <v>46052</v>
      </c>
      <c r="B9423" s="1161"/>
      <c r="C9423" s="1161" t="s">
        <v>86</v>
      </c>
      <c r="D9423" s="3" t="s">
        <v>107</v>
      </c>
      <c r="E9423" s="1497">
        <v>30000</v>
      </c>
      <c r="F9423" s="1497"/>
      <c r="G9423" s="1161" t="s">
        <v>56</v>
      </c>
      <c r="H9423" s="3"/>
    </row>
    <row r="9424" spans="1:8" ht="15.75" thickBot="1">
      <c r="H9424" s="201">
        <v>46052</v>
      </c>
    </row>
    <row r="9425" spans="1:8">
      <c r="H9425" s="803" t="s">
        <v>876</v>
      </c>
    </row>
    <row r="9426" spans="1:8">
      <c r="H9426" s="199" t="s">
        <v>4207</v>
      </c>
    </row>
    <row r="9427" spans="1:8">
      <c r="H9427" s="137" t="s">
        <v>4347</v>
      </c>
    </row>
    <row r="9428" spans="1:8">
      <c r="H9428" s="138" t="s">
        <v>4306</v>
      </c>
    </row>
    <row r="9429" spans="1:8">
      <c r="H9429" s="138" t="s">
        <v>4346</v>
      </c>
    </row>
    <row r="9430" spans="1:8">
      <c r="H9430" s="138" t="s">
        <v>4345</v>
      </c>
    </row>
    <row r="9431" spans="1:8">
      <c r="H9431" s="138" t="s">
        <v>4344</v>
      </c>
    </row>
    <row r="9432" spans="1:8" ht="15.75" thickBot="1">
      <c r="H9432" s="147" t="s">
        <v>4343</v>
      </c>
    </row>
    <row r="9433" spans="1:8">
      <c r="A9433" s="1171">
        <v>46056</v>
      </c>
      <c r="B9433" s="1172"/>
      <c r="C9433" s="1172" t="s">
        <v>86</v>
      </c>
      <c r="D9433" s="3" t="s">
        <v>104</v>
      </c>
      <c r="E9433" s="1497">
        <v>31000</v>
      </c>
      <c r="F9433" s="1497"/>
      <c r="G9433" s="1172" t="s">
        <v>56</v>
      </c>
      <c r="H9433" s="1176" t="s">
        <v>4349</v>
      </c>
    </row>
    <row r="9434" spans="1:8">
      <c r="A9434" s="1171">
        <v>46056</v>
      </c>
      <c r="B9434" s="1172"/>
      <c r="C9434" s="1172" t="s">
        <v>94</v>
      </c>
      <c r="D9434" s="3" t="s">
        <v>4348</v>
      </c>
      <c r="E9434" s="1497">
        <v>43766.7</v>
      </c>
      <c r="F9434" s="1497"/>
      <c r="G9434" s="1172" t="s">
        <v>27</v>
      </c>
      <c r="H9434" s="3"/>
    </row>
    <row r="9435" spans="1:8">
      <c r="A9435" s="1171">
        <v>46056</v>
      </c>
      <c r="B9435" s="1172"/>
      <c r="C9435" s="1172" t="s">
        <v>65</v>
      </c>
      <c r="D9435" s="3" t="s">
        <v>1553</v>
      </c>
      <c r="E9435" s="1497">
        <v>18616.759999999998</v>
      </c>
      <c r="F9435" s="1497"/>
      <c r="G9435" s="1172" t="s">
        <v>27</v>
      </c>
      <c r="H9435" s="3"/>
    </row>
    <row r="9436" spans="1:8">
      <c r="A9436" s="1171">
        <v>46056</v>
      </c>
      <c r="B9436" s="1172"/>
      <c r="C9436" s="1172" t="s">
        <v>65</v>
      </c>
      <c r="D9436" s="3" t="s">
        <v>1553</v>
      </c>
      <c r="E9436" s="1497">
        <v>18616.759999999998</v>
      </c>
      <c r="F9436" s="1497"/>
      <c r="G9436" s="1172" t="s">
        <v>27</v>
      </c>
      <c r="H9436" s="3"/>
    </row>
    <row r="9437" spans="1:8">
      <c r="A9437" s="1171">
        <v>46056</v>
      </c>
      <c r="B9437" s="1172"/>
      <c r="C9437" s="1172" t="s">
        <v>79</v>
      </c>
      <c r="D9437" s="3" t="s">
        <v>1553</v>
      </c>
      <c r="E9437" s="1497">
        <v>47631.72</v>
      </c>
      <c r="F9437" s="1497"/>
      <c r="G9437" s="1172" t="s">
        <v>27</v>
      </c>
      <c r="H9437" s="3"/>
    </row>
    <row r="9438" spans="1:8">
      <c r="A9438" s="1171">
        <v>46056</v>
      </c>
      <c r="B9438" s="1172"/>
      <c r="C9438" s="1172" t="s">
        <v>730</v>
      </c>
      <c r="D9438" s="3" t="s">
        <v>9</v>
      </c>
      <c r="E9438" s="1497">
        <v>150000</v>
      </c>
      <c r="F9438" s="1497"/>
      <c r="G9438" s="1172" t="s">
        <v>27</v>
      </c>
      <c r="H9438" s="3"/>
    </row>
    <row r="9439" spans="1:8">
      <c r="A9439" s="1171">
        <v>46056</v>
      </c>
      <c r="B9439" s="1172"/>
      <c r="C9439" s="1172" t="s">
        <v>205</v>
      </c>
      <c r="D9439" s="15" t="s">
        <v>3296</v>
      </c>
      <c r="E9439" s="1497">
        <v>246776</v>
      </c>
      <c r="F9439" s="1497"/>
      <c r="G9439" s="1172" t="s">
        <v>27</v>
      </c>
      <c r="H9439" s="3"/>
    </row>
    <row r="9440" spans="1:8">
      <c r="A9440" s="1171">
        <v>46056</v>
      </c>
      <c r="B9440" s="1172"/>
      <c r="C9440" s="1172" t="s">
        <v>90</v>
      </c>
      <c r="D9440" s="3" t="s">
        <v>2463</v>
      </c>
      <c r="E9440" s="1497">
        <v>18000</v>
      </c>
      <c r="F9440" s="1497"/>
      <c r="G9440" s="1172" t="s">
        <v>56</v>
      </c>
      <c r="H9440" s="167" t="s">
        <v>4350</v>
      </c>
    </row>
    <row r="9441" spans="1:8">
      <c r="A9441" s="1171">
        <v>46056</v>
      </c>
      <c r="B9441" s="1172"/>
      <c r="C9441" s="1172" t="s">
        <v>537</v>
      </c>
      <c r="D9441" s="3" t="s">
        <v>219</v>
      </c>
      <c r="E9441" s="1497">
        <v>232000</v>
      </c>
      <c r="F9441" s="1497"/>
      <c r="G9441" s="1172" t="s">
        <v>56</v>
      </c>
      <c r="H9441" s="3"/>
    </row>
    <row r="9442" spans="1:8">
      <c r="A9442" s="1171">
        <v>46056</v>
      </c>
      <c r="B9442" s="1172"/>
      <c r="C9442" s="1172" t="s">
        <v>537</v>
      </c>
      <c r="D9442" s="3" t="s">
        <v>219</v>
      </c>
      <c r="E9442" s="1497">
        <v>232000</v>
      </c>
      <c r="F9442" s="1497"/>
      <c r="G9442" s="1172" t="s">
        <v>56</v>
      </c>
      <c r="H9442" s="167" t="s">
        <v>4351</v>
      </c>
    </row>
    <row r="9443" spans="1:8">
      <c r="A9443" s="1171">
        <v>46056</v>
      </c>
      <c r="B9443" s="1172"/>
      <c r="C9443" s="1172" t="s">
        <v>92</v>
      </c>
      <c r="D9443" s="3" t="s">
        <v>4352</v>
      </c>
      <c r="E9443" s="1497"/>
      <c r="F9443" s="1497">
        <v>960000</v>
      </c>
      <c r="G9443" s="1172" t="s">
        <v>56</v>
      </c>
      <c r="H9443" s="167" t="s">
        <v>4355</v>
      </c>
    </row>
    <row r="9444" spans="1:8">
      <c r="A9444" s="1177">
        <v>46058</v>
      </c>
      <c r="B9444" s="1173"/>
      <c r="C9444" s="1173" t="s">
        <v>79</v>
      </c>
      <c r="D9444" s="3" t="s">
        <v>13</v>
      </c>
      <c r="E9444" s="1497">
        <v>18812.43</v>
      </c>
      <c r="F9444" s="1497"/>
      <c r="G9444" s="1173" t="s">
        <v>27</v>
      </c>
      <c r="H9444" s="3"/>
    </row>
    <row r="9445" spans="1:8">
      <c r="A9445" s="1177">
        <v>46058</v>
      </c>
      <c r="B9445" s="1173"/>
      <c r="C9445" s="1173" t="s">
        <v>94</v>
      </c>
      <c r="D9445" s="3" t="s">
        <v>3545</v>
      </c>
      <c r="E9445" s="1497">
        <v>46000</v>
      </c>
      <c r="F9445" s="1497"/>
      <c r="G9445" s="1173" t="s">
        <v>27</v>
      </c>
      <c r="H9445" s="3"/>
    </row>
    <row r="9446" spans="1:8">
      <c r="A9446" s="630">
        <v>46058</v>
      </c>
      <c r="B9446" s="9"/>
      <c r="C9446" s="9" t="s">
        <v>205</v>
      </c>
      <c r="D9446" s="173" t="s">
        <v>38</v>
      </c>
      <c r="E9446" s="9">
        <v>700</v>
      </c>
      <c r="F9446" s="9"/>
      <c r="G9446" s="9" t="s">
        <v>56</v>
      </c>
      <c r="H9446" s="113"/>
    </row>
    <row r="9447" spans="1:8">
      <c r="A9447" s="1179">
        <v>46059</v>
      </c>
      <c r="B9447" s="1173"/>
      <c r="C9447" s="1173" t="s">
        <v>92</v>
      </c>
      <c r="D9447" s="3" t="s">
        <v>4354</v>
      </c>
      <c r="E9447" s="1497"/>
      <c r="F9447" s="1497">
        <v>205000</v>
      </c>
      <c r="G9447" s="1173" t="s">
        <v>27</v>
      </c>
      <c r="H9447" s="3"/>
    </row>
    <row r="9448" spans="1:8">
      <c r="A9448" s="1179">
        <v>46059</v>
      </c>
      <c r="B9448" s="1173"/>
      <c r="C9448" s="1173" t="s">
        <v>537</v>
      </c>
      <c r="D9448" s="3" t="s">
        <v>144</v>
      </c>
      <c r="E9448" s="1497">
        <v>400000</v>
      </c>
      <c r="F9448" s="1497"/>
      <c r="G9448" s="1173" t="s">
        <v>27</v>
      </c>
      <c r="H9448" s="3"/>
    </row>
    <row r="9449" spans="1:8">
      <c r="A9449" s="1179">
        <v>46059</v>
      </c>
      <c r="B9449" s="1173"/>
      <c r="C9449" s="1173" t="s">
        <v>92</v>
      </c>
      <c r="D9449" s="3" t="s">
        <v>1308</v>
      </c>
      <c r="E9449" s="1497"/>
      <c r="F9449" s="1497">
        <v>325200</v>
      </c>
      <c r="G9449" s="1173" t="s">
        <v>27</v>
      </c>
      <c r="H9449" s="3"/>
    </row>
    <row r="9450" spans="1:8">
      <c r="A9450" s="1179">
        <v>46059</v>
      </c>
      <c r="B9450" s="1178"/>
      <c r="C9450" s="1178" t="s">
        <v>537</v>
      </c>
      <c r="D9450" s="3" t="s">
        <v>208</v>
      </c>
      <c r="E9450" s="1497">
        <v>305000</v>
      </c>
      <c r="F9450" s="1497"/>
      <c r="G9450" s="1178" t="s">
        <v>27</v>
      </c>
      <c r="H9450" s="3"/>
    </row>
    <row r="9451" spans="1:8">
      <c r="A9451" s="1179">
        <v>46059</v>
      </c>
      <c r="B9451" s="1178"/>
      <c r="C9451" s="1178" t="s">
        <v>537</v>
      </c>
      <c r="D9451" s="3" t="s">
        <v>219</v>
      </c>
      <c r="E9451" s="1497">
        <v>305000</v>
      </c>
      <c r="F9451" s="1497"/>
      <c r="G9451" s="1178" t="s">
        <v>56</v>
      </c>
      <c r="H9451" s="3"/>
    </row>
    <row r="9452" spans="1:8">
      <c r="A9452" s="1179">
        <v>46059</v>
      </c>
      <c r="B9452" s="1178"/>
      <c r="C9452" s="1178" t="s">
        <v>92</v>
      </c>
      <c r="D9452" s="3" t="s">
        <v>46</v>
      </c>
      <c r="E9452" s="1497"/>
      <c r="F9452" s="1497">
        <v>195000</v>
      </c>
      <c r="G9452" s="1178" t="s">
        <v>27</v>
      </c>
      <c r="H9452" s="3"/>
    </row>
    <row r="9453" spans="1:8" ht="15.75" thickBot="1">
      <c r="A9453" s="1179">
        <v>46059</v>
      </c>
      <c r="B9453" s="1178"/>
      <c r="C9453" s="1178" t="s">
        <v>537</v>
      </c>
      <c r="D9453" s="3" t="s">
        <v>144</v>
      </c>
      <c r="E9453" s="1497">
        <v>190000</v>
      </c>
      <c r="F9453" s="1497"/>
      <c r="G9453" s="1178" t="s">
        <v>56</v>
      </c>
      <c r="H9453" s="3"/>
    </row>
    <row r="9454" spans="1:8" ht="15.75" thickBot="1">
      <c r="A9454" s="1178"/>
      <c r="B9454" s="1178"/>
      <c r="C9454" s="1178"/>
      <c r="D9454" s="3"/>
      <c r="E9454" s="1497"/>
      <c r="F9454" s="1497"/>
      <c r="G9454" s="1178"/>
      <c r="H9454" s="201">
        <v>46028</v>
      </c>
    </row>
    <row r="9455" spans="1:8">
      <c r="H9455" s="803" t="s">
        <v>876</v>
      </c>
    </row>
    <row r="9456" spans="1:8">
      <c r="H9456" s="199" t="s">
        <v>4207</v>
      </c>
    </row>
    <row r="9457" spans="1:8">
      <c r="H9457" s="137" t="s">
        <v>4356</v>
      </c>
    </row>
    <row r="9458" spans="1:8">
      <c r="H9458" s="138" t="s">
        <v>3313</v>
      </c>
    </row>
    <row r="9459" spans="1:8">
      <c r="H9459" s="138" t="s">
        <v>4357</v>
      </c>
    </row>
    <row r="9460" spans="1:8">
      <c r="H9460" s="138" t="s">
        <v>4345</v>
      </c>
    </row>
    <row r="9461" spans="1:8">
      <c r="H9461" s="138" t="s">
        <v>4344</v>
      </c>
    </row>
    <row r="9462" spans="1:8" ht="15.75" thickBot="1">
      <c r="H9462" s="147" t="s">
        <v>4343</v>
      </c>
    </row>
    <row r="9463" spans="1:8">
      <c r="A9463" s="1180">
        <v>46062</v>
      </c>
      <c r="B9463" s="1181"/>
      <c r="C9463" s="1181" t="s">
        <v>1495</v>
      </c>
      <c r="D9463" s="3" t="s">
        <v>4358</v>
      </c>
      <c r="E9463" s="1497">
        <v>120000</v>
      </c>
      <c r="F9463" s="1497"/>
      <c r="G9463" s="1181" t="s">
        <v>27</v>
      </c>
      <c r="H9463" s="5"/>
    </row>
    <row r="9464" spans="1:8">
      <c r="A9464" s="1180">
        <v>46062</v>
      </c>
      <c r="B9464" s="1181"/>
      <c r="C9464" s="1181" t="s">
        <v>3021</v>
      </c>
      <c r="D9464" s="3" t="s">
        <v>104</v>
      </c>
      <c r="E9464" s="1497">
        <v>30000</v>
      </c>
      <c r="F9464" s="1497"/>
      <c r="G9464" s="1181" t="s">
        <v>56</v>
      </c>
      <c r="H9464" s="3"/>
    </row>
    <row r="9465" spans="1:8">
      <c r="A9465" s="1183">
        <v>46062</v>
      </c>
      <c r="B9465" s="1181"/>
      <c r="C9465" s="1181" t="s">
        <v>79</v>
      </c>
      <c r="D9465" s="3" t="s">
        <v>79</v>
      </c>
      <c r="E9465" s="1497">
        <v>40000</v>
      </c>
      <c r="F9465" s="1497"/>
      <c r="G9465" s="1181" t="s">
        <v>27</v>
      </c>
      <c r="H9465" s="3"/>
    </row>
    <row r="9466" spans="1:8">
      <c r="A9466" s="1183">
        <v>46062</v>
      </c>
      <c r="B9466" s="1181"/>
      <c r="C9466" s="1181" t="s">
        <v>77</v>
      </c>
      <c r="D9466" s="3" t="s">
        <v>4359</v>
      </c>
      <c r="E9466" s="1497"/>
      <c r="F9466" s="1497">
        <v>52000</v>
      </c>
      <c r="G9466" s="1181" t="s">
        <v>56</v>
      </c>
      <c r="H9466" s="45" t="s">
        <v>4360</v>
      </c>
    </row>
    <row r="9467" spans="1:8">
      <c r="A9467" s="1183">
        <v>46063</v>
      </c>
      <c r="B9467" s="1182"/>
      <c r="C9467" s="1182" t="s">
        <v>55</v>
      </c>
      <c r="D9467" s="3" t="s">
        <v>514</v>
      </c>
      <c r="E9467" s="1497">
        <v>15000</v>
      </c>
      <c r="F9467" s="1497"/>
      <c r="G9467" s="1182" t="s">
        <v>27</v>
      </c>
      <c r="H9467" s="3"/>
    </row>
    <row r="9468" spans="1:8">
      <c r="A9468" s="1187">
        <v>46063</v>
      </c>
      <c r="B9468" s="1182"/>
      <c r="C9468" s="1182" t="s">
        <v>174</v>
      </c>
      <c r="D9468" s="3" t="s">
        <v>3040</v>
      </c>
      <c r="E9468" s="1497">
        <v>40281</v>
      </c>
      <c r="F9468" s="1497"/>
      <c r="G9468" s="1182" t="s">
        <v>27</v>
      </c>
      <c r="H9468" s="3"/>
    </row>
    <row r="9469" spans="1:8">
      <c r="A9469" s="1187">
        <v>46063</v>
      </c>
      <c r="B9469" s="1182"/>
      <c r="C9469" s="1182" t="s">
        <v>77</v>
      </c>
      <c r="D9469" s="3" t="s">
        <v>4361</v>
      </c>
      <c r="E9469" s="1497"/>
      <c r="F9469" s="1497">
        <v>76800</v>
      </c>
      <c r="G9469" s="1182" t="s">
        <v>27</v>
      </c>
      <c r="H9469" s="3"/>
    </row>
    <row r="9470" spans="1:8">
      <c r="A9470" s="1187">
        <v>46063</v>
      </c>
      <c r="B9470" s="1182"/>
      <c r="C9470" s="1182" t="s">
        <v>77</v>
      </c>
      <c r="D9470" s="3" t="s">
        <v>4361</v>
      </c>
      <c r="E9470" s="1497">
        <v>72618.759999999995</v>
      </c>
      <c r="F9470" s="1497"/>
      <c r="G9470" s="1182" t="s">
        <v>27</v>
      </c>
      <c r="H9470" s="3"/>
    </row>
    <row r="9471" spans="1:8">
      <c r="A9471" s="1184">
        <v>46063</v>
      </c>
      <c r="B9471" s="1182"/>
      <c r="C9471" s="1182" t="s">
        <v>103</v>
      </c>
      <c r="D9471" s="3" t="s">
        <v>4362</v>
      </c>
      <c r="E9471" s="8" t="s">
        <v>4353</v>
      </c>
      <c r="F9471" s="1497"/>
      <c r="G9471" s="1182" t="s">
        <v>27</v>
      </c>
      <c r="H9471" s="3"/>
    </row>
    <row r="9472" spans="1:8">
      <c r="A9472" s="1184">
        <v>46064</v>
      </c>
      <c r="B9472" s="1182"/>
      <c r="C9472" s="1182" t="s">
        <v>205</v>
      </c>
      <c r="D9472" s="1174" t="s">
        <v>71</v>
      </c>
      <c r="E9472" s="1497">
        <v>220000</v>
      </c>
      <c r="F9472" s="1497"/>
      <c r="G9472" s="1182" t="s">
        <v>27</v>
      </c>
      <c r="H9472" s="3"/>
    </row>
    <row r="9473" spans="1:8">
      <c r="A9473" s="1184">
        <v>46064</v>
      </c>
      <c r="B9473" s="1182"/>
      <c r="C9473" s="1182" t="s">
        <v>205</v>
      </c>
      <c r="D9473" s="3" t="s">
        <v>63</v>
      </c>
      <c r="E9473" s="1497">
        <v>5536.8</v>
      </c>
      <c r="F9473" s="1497"/>
      <c r="G9473" s="1182" t="s">
        <v>56</v>
      </c>
      <c r="H9473" s="3"/>
    </row>
    <row r="9474" spans="1:8">
      <c r="A9474" s="1184">
        <v>46064</v>
      </c>
      <c r="B9474" s="1182"/>
      <c r="C9474" s="1182" t="s">
        <v>55</v>
      </c>
      <c r="D9474" s="3" t="s">
        <v>70</v>
      </c>
      <c r="E9474" s="1497">
        <v>13000</v>
      </c>
      <c r="F9474" s="1497"/>
      <c r="G9474" s="1182" t="s">
        <v>56</v>
      </c>
      <c r="H9474" s="3"/>
    </row>
    <row r="9475" spans="1:8">
      <c r="A9475" s="1184">
        <v>46064</v>
      </c>
      <c r="B9475" s="1185"/>
      <c r="C9475" s="1185" t="s">
        <v>92</v>
      </c>
      <c r="D9475" s="15" t="s">
        <v>608</v>
      </c>
      <c r="E9475" s="1497"/>
      <c r="F9475" s="1497">
        <v>132000</v>
      </c>
      <c r="G9475" s="1185" t="s">
        <v>27</v>
      </c>
      <c r="H9475" s="3"/>
    </row>
    <row r="9476" spans="1:8">
      <c r="A9476" s="630">
        <v>46064</v>
      </c>
      <c r="B9476" s="9"/>
      <c r="C9476" s="9" t="s">
        <v>86</v>
      </c>
      <c r="D9476" s="173" t="s">
        <v>104</v>
      </c>
      <c r="E9476" s="9">
        <v>50000</v>
      </c>
      <c r="F9476" s="9"/>
      <c r="G9476" s="9" t="s">
        <v>56</v>
      </c>
      <c r="H9476" s="45" t="s">
        <v>2198</v>
      </c>
    </row>
    <row r="9477" spans="1:8">
      <c r="A9477" s="630">
        <v>46064</v>
      </c>
      <c r="B9477" s="9"/>
      <c r="C9477" s="9" t="s">
        <v>831</v>
      </c>
      <c r="D9477" s="173" t="s">
        <v>1876</v>
      </c>
      <c r="E9477" s="9">
        <v>43000</v>
      </c>
      <c r="F9477" s="9"/>
      <c r="G9477" s="9" t="s">
        <v>56</v>
      </c>
      <c r="H9477" s="45" t="s">
        <v>2198</v>
      </c>
    </row>
    <row r="9478" spans="1:8">
      <c r="A9478" s="1187">
        <v>46065</v>
      </c>
      <c r="B9478" s="1185"/>
      <c r="C9478" s="1185" t="s">
        <v>79</v>
      </c>
      <c r="D9478" s="3" t="s">
        <v>79</v>
      </c>
      <c r="E9478" s="1497">
        <v>93416</v>
      </c>
      <c r="F9478" s="1497"/>
      <c r="G9478" s="1185" t="s">
        <v>27</v>
      </c>
      <c r="H9478" s="3"/>
    </row>
    <row r="9479" spans="1:8">
      <c r="A9479" s="1187">
        <v>46065</v>
      </c>
      <c r="B9479" s="1186"/>
      <c r="C9479" s="1186" t="s">
        <v>327</v>
      </c>
      <c r="D9479" s="3" t="s">
        <v>17</v>
      </c>
      <c r="E9479" s="1497">
        <v>109442.79</v>
      </c>
      <c r="F9479" s="1497"/>
      <c r="G9479" s="1186" t="s">
        <v>27</v>
      </c>
      <c r="H9479" s="3"/>
    </row>
    <row r="9480" spans="1:8">
      <c r="A9480" s="1187">
        <v>46065</v>
      </c>
      <c r="B9480" s="1186"/>
      <c r="C9480" s="1186" t="s">
        <v>68</v>
      </c>
      <c r="D9480" s="3" t="s">
        <v>2594</v>
      </c>
      <c r="E9480" s="1497">
        <v>20000</v>
      </c>
      <c r="F9480" s="1497"/>
      <c r="G9480" s="1186" t="s">
        <v>56</v>
      </c>
      <c r="H9480" s="3"/>
    </row>
    <row r="9481" spans="1:8">
      <c r="A9481" s="1187">
        <v>46066</v>
      </c>
      <c r="B9481" s="1186"/>
      <c r="C9481" s="1186" t="s">
        <v>205</v>
      </c>
      <c r="D9481" s="3" t="s">
        <v>113</v>
      </c>
      <c r="E9481" s="1497">
        <v>182351</v>
      </c>
      <c r="F9481" s="1497"/>
      <c r="G9481" s="1186" t="s">
        <v>27</v>
      </c>
      <c r="H9481" s="3"/>
    </row>
    <row r="9482" spans="1:8">
      <c r="A9482" s="1188">
        <v>46066</v>
      </c>
      <c r="B9482" s="1189"/>
      <c r="C9482" s="1189" t="s">
        <v>77</v>
      </c>
      <c r="D9482" s="3" t="s">
        <v>4363</v>
      </c>
      <c r="E9482" s="1497"/>
      <c r="F9482" s="1497">
        <v>199000</v>
      </c>
      <c r="G9482" s="1189" t="s">
        <v>56</v>
      </c>
      <c r="H9482" s="45" t="s">
        <v>4364</v>
      </c>
    </row>
    <row r="9483" spans="1:8">
      <c r="A9483" s="1188">
        <v>46066</v>
      </c>
      <c r="B9483" s="1189"/>
      <c r="C9483" s="1189" t="s">
        <v>1385</v>
      </c>
      <c r="D9483" s="3" t="s">
        <v>4365</v>
      </c>
      <c r="E9483" s="1497"/>
      <c r="F9483" s="1497">
        <v>3525000</v>
      </c>
      <c r="G9483" s="1189" t="s">
        <v>56</v>
      </c>
      <c r="H9483" s="3"/>
    </row>
    <row r="9484" spans="1:8">
      <c r="A9484" s="1188">
        <v>46066</v>
      </c>
      <c r="B9484" s="1189"/>
      <c r="C9484" s="1189" t="s">
        <v>79</v>
      </c>
      <c r="D9484" s="3" t="s">
        <v>3016</v>
      </c>
      <c r="E9484" s="1497">
        <v>104380</v>
      </c>
      <c r="F9484" s="1497"/>
      <c r="G9484" s="1189" t="s">
        <v>27</v>
      </c>
      <c r="H9484" s="3"/>
    </row>
    <row r="9485" spans="1:8">
      <c r="A9485" s="1188">
        <v>46066</v>
      </c>
      <c r="B9485" s="1189"/>
      <c r="C9485" s="1189" t="s">
        <v>537</v>
      </c>
      <c r="D9485" s="3" t="s">
        <v>208</v>
      </c>
      <c r="E9485" s="1497">
        <v>305000</v>
      </c>
      <c r="F9485" s="1497"/>
      <c r="G9485" s="1189" t="s">
        <v>56</v>
      </c>
      <c r="H9485" s="3"/>
    </row>
    <row r="9486" spans="1:8">
      <c r="A9486" s="1188">
        <v>46066</v>
      </c>
      <c r="B9486" s="1189"/>
      <c r="C9486" s="1189" t="s">
        <v>537</v>
      </c>
      <c r="D9486" s="3" t="s">
        <v>4366</v>
      </c>
      <c r="E9486" s="1497">
        <v>305000</v>
      </c>
      <c r="F9486" s="1497"/>
      <c r="G9486" s="1189" t="s">
        <v>56</v>
      </c>
      <c r="H9486" s="3"/>
    </row>
    <row r="9487" spans="1:8">
      <c r="A9487" s="1188">
        <v>46066</v>
      </c>
      <c r="B9487" s="1189"/>
      <c r="C9487" s="1189" t="s">
        <v>537</v>
      </c>
      <c r="D9487" s="3" t="s">
        <v>193</v>
      </c>
      <c r="E9487" s="1497"/>
      <c r="F9487" s="1497"/>
      <c r="G9487" s="1189" t="s">
        <v>56</v>
      </c>
      <c r="H9487" s="3"/>
    </row>
    <row r="9488" spans="1:8">
      <c r="A9488" s="1188">
        <v>46066</v>
      </c>
      <c r="B9488" s="1189"/>
      <c r="C9488" s="1189" t="s">
        <v>3768</v>
      </c>
      <c r="D9488" s="3" t="s">
        <v>4367</v>
      </c>
      <c r="E9488" s="1497">
        <v>617654.94999999995</v>
      </c>
      <c r="F9488" s="1497"/>
      <c r="G9488" s="1189" t="s">
        <v>27</v>
      </c>
      <c r="H9488" s="3"/>
    </row>
    <row r="9489" spans="1:8">
      <c r="A9489" s="1188">
        <v>46066</v>
      </c>
      <c r="B9489" s="1189"/>
      <c r="C9489" s="1189" t="s">
        <v>3768</v>
      </c>
      <c r="D9489" s="3" t="s">
        <v>4367</v>
      </c>
      <c r="E9489" s="1497">
        <v>706639.14</v>
      </c>
      <c r="F9489" s="1497"/>
      <c r="G9489" s="1189" t="s">
        <v>27</v>
      </c>
      <c r="H9489" s="3"/>
    </row>
    <row r="9490" spans="1:8">
      <c r="A9490" s="1188">
        <v>46066</v>
      </c>
      <c r="B9490" s="1189"/>
      <c r="C9490" s="1189" t="s">
        <v>537</v>
      </c>
      <c r="D9490" s="3" t="s">
        <v>144</v>
      </c>
      <c r="E9490" s="1497">
        <v>50000</v>
      </c>
      <c r="F9490" s="1497"/>
      <c r="G9490" s="1189" t="s">
        <v>27</v>
      </c>
      <c r="H9490" s="3"/>
    </row>
    <row r="9491" spans="1:8">
      <c r="A9491" s="1188">
        <v>46066</v>
      </c>
      <c r="B9491" s="1189"/>
      <c r="C9491" s="1189" t="s">
        <v>537</v>
      </c>
      <c r="D9491" s="3" t="s">
        <v>144</v>
      </c>
      <c r="E9491" s="1497">
        <v>540000</v>
      </c>
      <c r="F9491" s="1497"/>
      <c r="G9491" s="1189" t="s">
        <v>56</v>
      </c>
      <c r="H9491" s="3"/>
    </row>
    <row r="9492" spans="1:8">
      <c r="A9492" s="1188">
        <v>46066</v>
      </c>
      <c r="B9492" s="1189"/>
      <c r="C9492" s="1189" t="s">
        <v>537</v>
      </c>
      <c r="D9492" s="3" t="s">
        <v>193</v>
      </c>
      <c r="E9492" s="1497">
        <v>170000</v>
      </c>
      <c r="F9492" s="1497"/>
      <c r="G9492" s="1189" t="s">
        <v>56</v>
      </c>
      <c r="H9492" s="3"/>
    </row>
    <row r="9493" spans="1:8">
      <c r="A9493" s="1188">
        <v>46066</v>
      </c>
      <c r="B9493" s="1189"/>
      <c r="C9493" s="1189" t="s">
        <v>150</v>
      </c>
      <c r="D9493" s="3" t="s">
        <v>108</v>
      </c>
      <c r="E9493" s="1497">
        <v>530000</v>
      </c>
      <c r="F9493" s="1497"/>
      <c r="G9493" s="1189" t="s">
        <v>108</v>
      </c>
      <c r="H9493" s="3"/>
    </row>
    <row r="9494" spans="1:8" ht="15.75" thickBot="1">
      <c r="A9494" s="1188">
        <v>46066</v>
      </c>
      <c r="B9494" s="1189"/>
      <c r="C9494" s="1189" t="s">
        <v>150</v>
      </c>
      <c r="D9494" s="3" t="s">
        <v>27</v>
      </c>
      <c r="E9494" s="1497">
        <v>970000</v>
      </c>
      <c r="F9494" s="1497"/>
      <c r="G9494" s="1189" t="s">
        <v>27</v>
      </c>
      <c r="H9494" s="85"/>
    </row>
    <row r="9495" spans="1:8" ht="15.75" thickBot="1">
      <c r="H9495" s="201">
        <v>46035</v>
      </c>
    </row>
    <row r="9496" spans="1:8">
      <c r="H9496" s="803" t="s">
        <v>876</v>
      </c>
    </row>
    <row r="9497" spans="1:8">
      <c r="H9497" s="199" t="s">
        <v>4207</v>
      </c>
    </row>
    <row r="9498" spans="1:8">
      <c r="H9498" s="137" t="s">
        <v>4373</v>
      </c>
    </row>
    <row r="9499" spans="1:8">
      <c r="H9499" s="138" t="s">
        <v>808</v>
      </c>
    </row>
    <row r="9500" spans="1:8">
      <c r="H9500" s="138" t="s">
        <v>4368</v>
      </c>
    </row>
    <row r="9501" spans="1:8">
      <c r="H9501" s="138" t="s">
        <v>4369</v>
      </c>
    </row>
    <row r="9502" spans="1:8">
      <c r="H9502" s="138" t="s">
        <v>4344</v>
      </c>
    </row>
    <row r="9503" spans="1:8" ht="15.75" thickBot="1">
      <c r="H9503" s="147" t="s">
        <v>4370</v>
      </c>
    </row>
    <row r="9504" spans="1:8">
      <c r="A9504" s="1191">
        <v>46071</v>
      </c>
      <c r="B9504" s="1190"/>
      <c r="C9504" s="1190" t="s">
        <v>156</v>
      </c>
      <c r="D9504" s="3" t="s">
        <v>4371</v>
      </c>
      <c r="E9504" s="1497">
        <v>182332.44</v>
      </c>
      <c r="F9504" s="1497"/>
      <c r="G9504" s="1190" t="s">
        <v>27</v>
      </c>
      <c r="H9504" s="5"/>
    </row>
    <row r="9505" spans="1:8">
      <c r="A9505" s="1191">
        <v>46071</v>
      </c>
      <c r="B9505" s="1190"/>
      <c r="C9505" s="1190" t="s">
        <v>156</v>
      </c>
      <c r="D9505" s="3" t="s">
        <v>4372</v>
      </c>
      <c r="E9505" s="1497">
        <v>5741.02</v>
      </c>
      <c r="F9505" s="1497"/>
      <c r="G9505" s="1190" t="s">
        <v>27</v>
      </c>
      <c r="H9505" s="3"/>
    </row>
    <row r="9506" spans="1:8">
      <c r="A9506" s="1191">
        <v>46071</v>
      </c>
      <c r="B9506" s="1190"/>
      <c r="C9506" s="1190" t="s">
        <v>3171</v>
      </c>
      <c r="D9506" s="3" t="s">
        <v>1419</v>
      </c>
      <c r="E9506" s="1497"/>
      <c r="F9506" s="1497">
        <v>1120000</v>
      </c>
      <c r="G9506" s="1190" t="s">
        <v>56</v>
      </c>
      <c r="H9506" s="3"/>
    </row>
    <row r="9507" spans="1:8">
      <c r="A9507" s="1213">
        <v>46071</v>
      </c>
      <c r="B9507" s="1214"/>
      <c r="C9507" s="1214" t="s">
        <v>77</v>
      </c>
      <c r="D9507" s="3" t="s">
        <v>4394</v>
      </c>
      <c r="E9507" s="1497"/>
      <c r="F9507" s="1497">
        <v>215000</v>
      </c>
      <c r="G9507" s="1214" t="s">
        <v>27</v>
      </c>
      <c r="H9507" s="3"/>
    </row>
    <row r="9508" spans="1:8">
      <c r="A9508" s="1191">
        <v>46072</v>
      </c>
      <c r="B9508" s="1190"/>
      <c r="C9508" s="1190" t="s">
        <v>205</v>
      </c>
      <c r="D9508" s="3" t="s">
        <v>2358</v>
      </c>
      <c r="E9508" s="1497">
        <v>88794</v>
      </c>
      <c r="F9508" s="1497"/>
      <c r="G9508" s="1190" t="s">
        <v>27</v>
      </c>
      <c r="H9508" s="3"/>
    </row>
    <row r="9509" spans="1:8">
      <c r="A9509" s="1194">
        <v>46072</v>
      </c>
      <c r="B9509" s="1190"/>
      <c r="C9509" s="1195" t="s">
        <v>205</v>
      </c>
      <c r="D9509" s="3" t="s">
        <v>3717</v>
      </c>
      <c r="E9509" s="1497">
        <v>176000</v>
      </c>
      <c r="F9509" s="1497"/>
      <c r="G9509" s="1190" t="s">
        <v>27</v>
      </c>
      <c r="H9509" s="3"/>
    </row>
    <row r="9510" spans="1:8">
      <c r="A9510" s="1194">
        <v>46072</v>
      </c>
      <c r="B9510" s="1190"/>
      <c r="C9510" s="1190" t="s">
        <v>4374</v>
      </c>
      <c r="D9510" s="3" t="s">
        <v>1571</v>
      </c>
      <c r="E9510" s="8">
        <v>146656.22</v>
      </c>
      <c r="F9510" s="1497"/>
      <c r="G9510" s="1190" t="s">
        <v>27</v>
      </c>
      <c r="H9510" s="3"/>
    </row>
    <row r="9511" spans="1:8">
      <c r="A9511" s="1194">
        <v>46072</v>
      </c>
      <c r="B9511" s="1190"/>
      <c r="C9511" s="1190" t="s">
        <v>86</v>
      </c>
      <c r="D9511" s="3" t="s">
        <v>104</v>
      </c>
      <c r="E9511" s="1497">
        <v>40000</v>
      </c>
      <c r="F9511" s="1497"/>
      <c r="G9511" s="1190" t="s">
        <v>56</v>
      </c>
      <c r="H9511" s="45" t="s">
        <v>4375</v>
      </c>
    </row>
    <row r="9512" spans="1:8">
      <c r="A9512" s="1194">
        <v>46072</v>
      </c>
      <c r="B9512" s="1190"/>
      <c r="C9512" s="1190" t="s">
        <v>55</v>
      </c>
      <c r="D9512" s="3" t="s">
        <v>4376</v>
      </c>
      <c r="E9512" s="1497">
        <v>16000</v>
      </c>
      <c r="F9512" s="1497"/>
      <c r="G9512" s="1190" t="s">
        <v>56</v>
      </c>
      <c r="H9512" s="45"/>
    </row>
    <row r="9513" spans="1:8">
      <c r="A9513" s="1204">
        <v>46073</v>
      </c>
      <c r="B9513" s="1190"/>
      <c r="C9513" s="1190" t="s">
        <v>77</v>
      </c>
      <c r="D9513" s="3" t="s">
        <v>4377</v>
      </c>
      <c r="E9513" s="1497"/>
      <c r="F9513" s="1497">
        <v>2480000</v>
      </c>
      <c r="G9513" s="1190" t="s">
        <v>27</v>
      </c>
      <c r="H9513" s="45" t="s">
        <v>4378</v>
      </c>
    </row>
    <row r="9514" spans="1:8">
      <c r="A9514" s="1204">
        <v>46073</v>
      </c>
      <c r="B9514" s="1196"/>
      <c r="C9514" s="1196" t="s">
        <v>68</v>
      </c>
      <c r="D9514" s="3" t="s">
        <v>2594</v>
      </c>
      <c r="E9514" s="1497">
        <v>20000</v>
      </c>
      <c r="F9514" s="1497"/>
      <c r="G9514" s="1196" t="s">
        <v>56</v>
      </c>
      <c r="H9514" s="3"/>
    </row>
    <row r="9515" spans="1:8">
      <c r="A9515" s="1204">
        <v>46073</v>
      </c>
      <c r="B9515" s="1196"/>
      <c r="C9515" s="1196" t="s">
        <v>537</v>
      </c>
      <c r="D9515" s="3" t="s">
        <v>208</v>
      </c>
      <c r="E9515" s="1497">
        <v>305000</v>
      </c>
      <c r="F9515" s="1497"/>
      <c r="G9515" s="1205" t="s">
        <v>56</v>
      </c>
      <c r="H9515" s="3"/>
    </row>
    <row r="9516" spans="1:8">
      <c r="A9516" s="1204">
        <v>46073</v>
      </c>
      <c r="B9516" s="1196"/>
      <c r="C9516" s="1205" t="s">
        <v>537</v>
      </c>
      <c r="D9516" s="3" t="s">
        <v>219</v>
      </c>
      <c r="E9516" s="1497">
        <v>305000</v>
      </c>
      <c r="F9516" s="1497"/>
      <c r="G9516" s="1205" t="s">
        <v>56</v>
      </c>
      <c r="H9516" s="3"/>
    </row>
    <row r="9517" spans="1:8">
      <c r="A9517" s="1204">
        <v>46073</v>
      </c>
      <c r="B9517" s="1205"/>
      <c r="C9517" s="1205" t="s">
        <v>537</v>
      </c>
      <c r="D9517" s="3" t="s">
        <v>193</v>
      </c>
      <c r="E9517" s="1497">
        <v>170000</v>
      </c>
      <c r="F9517" s="1497"/>
      <c r="G9517" s="1205" t="s">
        <v>56</v>
      </c>
      <c r="H9517" s="3"/>
    </row>
    <row r="9518" spans="1:8">
      <c r="A9518" s="1204">
        <v>46073</v>
      </c>
      <c r="B9518" s="1205"/>
      <c r="C9518" s="1205" t="s">
        <v>4380</v>
      </c>
      <c r="D9518" s="3" t="s">
        <v>4379</v>
      </c>
      <c r="E9518" s="1497">
        <v>25000</v>
      </c>
      <c r="F9518" s="1497"/>
      <c r="G9518" s="1205" t="s">
        <v>56</v>
      </c>
      <c r="H9518" s="3"/>
    </row>
    <row r="9519" spans="1:8">
      <c r="A9519" s="1204">
        <v>46073</v>
      </c>
      <c r="B9519" s="1205"/>
      <c r="C9519" s="1205" t="s">
        <v>537</v>
      </c>
      <c r="D9519" s="3" t="s">
        <v>144</v>
      </c>
      <c r="E9519" s="1497">
        <v>450000</v>
      </c>
      <c r="F9519" s="1497"/>
      <c r="G9519" s="1205" t="s">
        <v>27</v>
      </c>
      <c r="H9519" s="3"/>
    </row>
    <row r="9520" spans="1:8" ht="15.75" thickBot="1">
      <c r="A9520" s="1204">
        <v>46073</v>
      </c>
      <c r="B9520" s="1205"/>
      <c r="C9520" s="1205" t="s">
        <v>537</v>
      </c>
      <c r="D9520" s="3" t="s">
        <v>144</v>
      </c>
      <c r="E9520" s="1497">
        <v>140000</v>
      </c>
      <c r="F9520" s="1497"/>
      <c r="G9520" s="1205" t="s">
        <v>56</v>
      </c>
      <c r="H9520" s="3"/>
    </row>
    <row r="9521" spans="1:8" ht="15.75" thickBot="1">
      <c r="A9521" s="1205"/>
      <c r="B9521" s="1205"/>
      <c r="C9521" s="1205"/>
      <c r="D9521" s="3"/>
      <c r="E9521" s="1497"/>
      <c r="F9521" s="1497"/>
      <c r="G9521" s="1205"/>
      <c r="H9521" s="201">
        <v>46035</v>
      </c>
    </row>
    <row r="9522" spans="1:8">
      <c r="A9522" s="1205"/>
      <c r="B9522" s="1205"/>
      <c r="C9522" s="1205"/>
      <c r="D9522" s="3"/>
      <c r="E9522" s="1497"/>
      <c r="F9522" s="1497"/>
      <c r="G9522" s="1205"/>
      <c r="H9522" s="803" t="s">
        <v>876</v>
      </c>
    </row>
    <row r="9523" spans="1:8">
      <c r="A9523" s="1205"/>
      <c r="B9523" s="1205"/>
      <c r="C9523" s="1205"/>
      <c r="D9523" s="3"/>
      <c r="E9523" s="1497"/>
      <c r="F9523" s="1497"/>
      <c r="G9523" s="1205"/>
      <c r="H9523" s="199" t="s">
        <v>4207</v>
      </c>
    </row>
    <row r="9524" spans="1:8">
      <c r="A9524" s="1205"/>
      <c r="B9524" s="1205"/>
      <c r="C9524" s="1205"/>
      <c r="D9524" s="3"/>
      <c r="E9524" s="1497"/>
      <c r="F9524" s="1497"/>
      <c r="G9524" s="1205"/>
      <c r="H9524" s="137" t="s">
        <v>4381</v>
      </c>
    </row>
    <row r="9525" spans="1:8">
      <c r="H9525" s="138" t="s">
        <v>808</v>
      </c>
    </row>
    <row r="9526" spans="1:8">
      <c r="H9526" s="138" t="s">
        <v>4368</v>
      </c>
    </row>
    <row r="9527" spans="1:8">
      <c r="H9527" s="138" t="s">
        <v>4369</v>
      </c>
    </row>
    <row r="9528" spans="1:8">
      <c r="H9528" s="138" t="s">
        <v>4344</v>
      </c>
    </row>
    <row r="9529" spans="1:8" ht="15.75" thickBot="1">
      <c r="H9529" s="147" t="s">
        <v>4370</v>
      </c>
    </row>
    <row r="9530" spans="1:8">
      <c r="A9530" s="1207">
        <v>46076</v>
      </c>
      <c r="B9530" s="1206"/>
      <c r="C9530" s="1206" t="s">
        <v>79</v>
      </c>
      <c r="D9530" s="3" t="s">
        <v>4382</v>
      </c>
      <c r="E9530" s="1497">
        <v>60773</v>
      </c>
      <c r="F9530" s="1497"/>
      <c r="G9530" s="1206" t="s">
        <v>27</v>
      </c>
      <c r="H9530" s="5"/>
    </row>
    <row r="9531" spans="1:8">
      <c r="A9531" s="1207">
        <v>46076</v>
      </c>
      <c r="B9531" s="1206"/>
      <c r="C9531" s="1206" t="s">
        <v>86</v>
      </c>
      <c r="D9531" s="3" t="s">
        <v>534</v>
      </c>
      <c r="E9531" s="1497">
        <v>30000</v>
      </c>
      <c r="F9531" s="1497"/>
      <c r="G9531" s="1206" t="s">
        <v>27</v>
      </c>
      <c r="H9531" s="3"/>
    </row>
    <row r="9532" spans="1:8">
      <c r="A9532" s="1207">
        <v>46076</v>
      </c>
      <c r="B9532" s="1206"/>
      <c r="C9532" s="1206" t="s">
        <v>65</v>
      </c>
      <c r="D9532" s="3" t="s">
        <v>3929</v>
      </c>
      <c r="E9532" s="1497">
        <v>69608.05</v>
      </c>
      <c r="F9532" s="1497"/>
      <c r="G9532" s="1206" t="s">
        <v>27</v>
      </c>
      <c r="H9532" s="3"/>
    </row>
    <row r="9533" spans="1:8">
      <c r="A9533" s="1207">
        <v>46076</v>
      </c>
      <c r="B9533" s="1206"/>
      <c r="C9533" s="1206" t="s">
        <v>79</v>
      </c>
      <c r="D9533" s="3" t="s">
        <v>79</v>
      </c>
      <c r="E9533" s="1497">
        <v>38877.300000000003</v>
      </c>
      <c r="F9533" s="1497"/>
      <c r="G9533" s="1206" t="s">
        <v>27</v>
      </c>
      <c r="H9533" s="3"/>
    </row>
    <row r="9534" spans="1:8">
      <c r="A9534" s="1207">
        <v>46076</v>
      </c>
      <c r="B9534" s="1206"/>
      <c r="C9534" s="1206" t="s">
        <v>79</v>
      </c>
      <c r="D9534" s="3" t="s">
        <v>79</v>
      </c>
      <c r="E9534" s="1497">
        <v>27039.599999999999</v>
      </c>
      <c r="F9534" s="1497"/>
      <c r="G9534" s="1206" t="s">
        <v>27</v>
      </c>
      <c r="H9534" s="3"/>
    </row>
    <row r="9535" spans="1:8">
      <c r="A9535" s="1207">
        <v>46076</v>
      </c>
      <c r="B9535" s="1206"/>
      <c r="C9535" s="1206" t="s">
        <v>79</v>
      </c>
      <c r="D9535" s="3" t="s">
        <v>4149</v>
      </c>
      <c r="E9535" s="1497">
        <v>139798.21</v>
      </c>
      <c r="F9535" s="1497"/>
      <c r="G9535" s="1206" t="s">
        <v>27</v>
      </c>
      <c r="H9535" s="3"/>
    </row>
    <row r="9536" spans="1:8">
      <c r="A9536" s="1207">
        <v>46076</v>
      </c>
      <c r="B9536" s="1206"/>
      <c r="C9536" s="1206" t="s">
        <v>65</v>
      </c>
      <c r="D9536" s="3" t="s">
        <v>4383</v>
      </c>
      <c r="E9536" s="1497">
        <v>14908.6</v>
      </c>
      <c r="F9536" s="1497"/>
      <c r="G9536" s="1206" t="s">
        <v>27</v>
      </c>
      <c r="H9536" s="3"/>
    </row>
    <row r="9537" spans="1:8">
      <c r="A9537" s="1207">
        <v>46076</v>
      </c>
      <c r="B9537" s="1206"/>
      <c r="C9537" s="1206" t="s">
        <v>65</v>
      </c>
      <c r="D9537" s="3" t="s">
        <v>4384</v>
      </c>
      <c r="E9537" s="1497">
        <v>8166.9</v>
      </c>
      <c r="F9537" s="1497"/>
      <c r="G9537" s="1206" t="s">
        <v>27</v>
      </c>
      <c r="H9537" s="3"/>
    </row>
    <row r="9538" spans="1:8">
      <c r="A9538" s="1208">
        <v>46077</v>
      </c>
      <c r="B9538" s="1206"/>
      <c r="C9538" s="1206" t="s">
        <v>86</v>
      </c>
      <c r="D9538" s="3" t="s">
        <v>3749</v>
      </c>
      <c r="E9538" s="1497">
        <v>30012</v>
      </c>
      <c r="F9538" s="1497"/>
      <c r="G9538" s="1206" t="s">
        <v>27</v>
      </c>
      <c r="H9538" s="3"/>
    </row>
    <row r="9539" spans="1:8">
      <c r="A9539" s="1208">
        <v>46077</v>
      </c>
      <c r="B9539" s="1206"/>
      <c r="C9539" s="1206" t="s">
        <v>77</v>
      </c>
      <c r="D9539" s="3" t="s">
        <v>3710</v>
      </c>
      <c r="E9539" s="1497"/>
      <c r="F9539" s="1497">
        <v>2360000</v>
      </c>
      <c r="G9539" s="1206" t="s">
        <v>56</v>
      </c>
      <c r="H9539" s="3"/>
    </row>
    <row r="9540" spans="1:8">
      <c r="A9540" s="1208">
        <v>46077</v>
      </c>
      <c r="B9540" s="1206"/>
      <c r="C9540" s="1206" t="s">
        <v>205</v>
      </c>
      <c r="D9540" s="3" t="s">
        <v>11</v>
      </c>
      <c r="E9540" s="1497">
        <v>2989000</v>
      </c>
      <c r="F9540" s="1497"/>
      <c r="G9540" s="1206" t="s">
        <v>72</v>
      </c>
      <c r="H9540" s="3"/>
    </row>
    <row r="9541" spans="1:8">
      <c r="A9541" s="1208">
        <v>46077</v>
      </c>
      <c r="B9541" s="1209"/>
      <c r="C9541" s="1209" t="s">
        <v>205</v>
      </c>
      <c r="D9541" s="3" t="s">
        <v>71</v>
      </c>
      <c r="E9541" s="1497">
        <v>1610070.57</v>
      </c>
      <c r="F9541" s="1497"/>
      <c r="G9541" s="1209" t="s">
        <v>27</v>
      </c>
      <c r="H9541" s="3"/>
    </row>
    <row r="9542" spans="1:8">
      <c r="A9542" s="1211">
        <v>46078</v>
      </c>
      <c r="B9542" s="1209"/>
      <c r="C9542" s="1209" t="s">
        <v>79</v>
      </c>
      <c r="D9542" s="3" t="s">
        <v>4283</v>
      </c>
      <c r="E9542" s="1497">
        <v>14347.81</v>
      </c>
      <c r="F9542" s="1497"/>
      <c r="G9542" s="1210" t="s">
        <v>27</v>
      </c>
      <c r="H9542" s="3"/>
    </row>
    <row r="9543" spans="1:8">
      <c r="A9543" s="1211">
        <v>46078</v>
      </c>
      <c r="B9543" s="1209"/>
      <c r="C9543" s="1209" t="s">
        <v>77</v>
      </c>
      <c r="D9543" s="3" t="s">
        <v>3390</v>
      </c>
      <c r="E9543" s="1497"/>
      <c r="F9543" s="1497">
        <v>600000</v>
      </c>
      <c r="G9543" s="1209" t="s">
        <v>56</v>
      </c>
      <c r="H9543" s="45" t="s">
        <v>4386</v>
      </c>
    </row>
    <row r="9544" spans="1:8">
      <c r="A9544" s="1211">
        <v>46078</v>
      </c>
      <c r="B9544" s="1209"/>
      <c r="C9544" s="1209" t="s">
        <v>77</v>
      </c>
      <c r="D9544" s="3" t="s">
        <v>3390</v>
      </c>
      <c r="E9544" s="1497"/>
      <c r="F9544" s="1497">
        <v>1800000</v>
      </c>
      <c r="G9544" s="1209" t="s">
        <v>72</v>
      </c>
      <c r="H9544" s="45" t="s">
        <v>4385</v>
      </c>
    </row>
    <row r="9545" spans="1:8">
      <c r="A9545" s="1211">
        <v>46078</v>
      </c>
      <c r="B9545" s="1209"/>
      <c r="C9545" s="1209" t="s">
        <v>205</v>
      </c>
      <c r="D9545" s="3" t="s">
        <v>71</v>
      </c>
      <c r="E9545" s="1497">
        <v>1150000</v>
      </c>
      <c r="F9545" s="1497"/>
      <c r="G9545" s="1209" t="s">
        <v>56</v>
      </c>
      <c r="H9545" s="45"/>
    </row>
    <row r="9546" spans="1:8">
      <c r="A9546" s="1213">
        <v>46078</v>
      </c>
      <c r="B9546" s="1214"/>
      <c r="C9546" s="1214" t="s">
        <v>92</v>
      </c>
      <c r="D9546" s="3" t="s">
        <v>4177</v>
      </c>
      <c r="E9546" s="1497"/>
      <c r="F9546" s="1497">
        <v>891450</v>
      </c>
      <c r="G9546" s="1214" t="s">
        <v>996</v>
      </c>
      <c r="H9546" s="81" t="s">
        <v>4393</v>
      </c>
    </row>
    <row r="9547" spans="1:8">
      <c r="A9547" s="1213">
        <v>46078</v>
      </c>
      <c r="B9547" s="1214"/>
      <c r="C9547" s="1214" t="s">
        <v>785</v>
      </c>
      <c r="D9547" s="3" t="s">
        <v>4177</v>
      </c>
      <c r="E9547" s="1497">
        <v>13391.31</v>
      </c>
      <c r="F9547" s="1497"/>
      <c r="G9547" s="1214" t="s">
        <v>996</v>
      </c>
      <c r="H9547" s="45"/>
    </row>
    <row r="9548" spans="1:8">
      <c r="A9548" s="1213">
        <v>46078</v>
      </c>
      <c r="B9548" s="1214"/>
      <c r="C9548" s="1214" t="s">
        <v>92</v>
      </c>
      <c r="D9548" s="3" t="s">
        <v>4395</v>
      </c>
      <c r="E9548" s="1497"/>
      <c r="F9548" s="1497">
        <v>1188000</v>
      </c>
      <c r="G9548" s="1214" t="s">
        <v>996</v>
      </c>
      <c r="H9548" s="45" t="s">
        <v>4396</v>
      </c>
    </row>
    <row r="9549" spans="1:8">
      <c r="A9549" s="1213">
        <v>46078</v>
      </c>
      <c r="B9549" s="1214"/>
      <c r="C9549" s="1214" t="s">
        <v>785</v>
      </c>
      <c r="D9549" s="3" t="s">
        <v>4395</v>
      </c>
      <c r="E9549" s="1497">
        <v>18292.96</v>
      </c>
      <c r="F9549" s="1497"/>
      <c r="G9549" s="1214" t="s">
        <v>996</v>
      </c>
      <c r="H9549" s="3"/>
    </row>
    <row r="9550" spans="1:8">
      <c r="A9550" s="1213">
        <v>46079</v>
      </c>
      <c r="B9550" s="1209"/>
      <c r="C9550" s="1209" t="s">
        <v>79</v>
      </c>
      <c r="D9550" s="3" t="s">
        <v>166</v>
      </c>
      <c r="E9550" s="1497">
        <v>545600</v>
      </c>
      <c r="F9550" s="1497"/>
      <c r="G9550" s="1209" t="s">
        <v>27</v>
      </c>
      <c r="H9550" s="3"/>
    </row>
    <row r="9551" spans="1:8">
      <c r="A9551" s="1213">
        <v>46079</v>
      </c>
      <c r="B9551" s="1209"/>
      <c r="C9551" s="1209" t="s">
        <v>150</v>
      </c>
      <c r="D9551" s="3" t="s">
        <v>650</v>
      </c>
      <c r="E9551" s="1497">
        <v>39000</v>
      </c>
      <c r="F9551" s="1497"/>
      <c r="G9551" s="1214" t="s">
        <v>27</v>
      </c>
      <c r="H9551" s="3"/>
    </row>
    <row r="9552" spans="1:8">
      <c r="A9552" s="1213">
        <v>46079</v>
      </c>
      <c r="B9552" s="1209"/>
      <c r="C9552" s="1214" t="s">
        <v>150</v>
      </c>
      <c r="D9552" s="3" t="s">
        <v>3000</v>
      </c>
      <c r="E9552" s="1497">
        <v>10908.8</v>
      </c>
      <c r="F9552" s="1497"/>
      <c r="G9552" s="1214" t="s">
        <v>27</v>
      </c>
      <c r="H9552" s="3"/>
    </row>
    <row r="9553" spans="1:8">
      <c r="A9553" s="1213">
        <v>46079</v>
      </c>
      <c r="B9553" s="1214"/>
      <c r="C9553" s="1214" t="s">
        <v>79</v>
      </c>
      <c r="D9553" s="3" t="s">
        <v>345</v>
      </c>
      <c r="E9553" s="1497">
        <v>850000</v>
      </c>
      <c r="F9553" s="1497"/>
      <c r="G9553" s="1212" t="s">
        <v>56</v>
      </c>
      <c r="H9553" s="3"/>
    </row>
    <row r="9554" spans="1:8">
      <c r="A9554" s="1213">
        <v>46079</v>
      </c>
      <c r="B9554" s="1214"/>
      <c r="C9554" s="1214" t="s">
        <v>79</v>
      </c>
      <c r="D9554" s="3" t="s">
        <v>4387</v>
      </c>
      <c r="E9554" s="1497">
        <v>890000</v>
      </c>
      <c r="F9554" s="1497"/>
      <c r="G9554" s="1212" t="s">
        <v>56</v>
      </c>
      <c r="H9554" s="3"/>
    </row>
    <row r="9555" spans="1:8">
      <c r="A9555" s="1213">
        <v>46079</v>
      </c>
      <c r="B9555" s="1214"/>
      <c r="C9555" s="1214" t="s">
        <v>28</v>
      </c>
      <c r="D9555" s="3" t="s">
        <v>4388</v>
      </c>
      <c r="E9555" s="1497">
        <v>31000</v>
      </c>
      <c r="F9555" s="1497"/>
      <c r="G9555" s="1212" t="s">
        <v>4211</v>
      </c>
      <c r="H9555" s="3"/>
    </row>
    <row r="9556" spans="1:8">
      <c r="A9556" s="1213">
        <v>46079</v>
      </c>
      <c r="B9556" s="1214"/>
      <c r="C9556" s="1214" t="s">
        <v>1385</v>
      </c>
      <c r="D9556" s="3" t="s">
        <v>4389</v>
      </c>
      <c r="E9556" s="1497"/>
      <c r="F9556" s="1497">
        <v>2800000</v>
      </c>
      <c r="G9556" s="1212" t="s">
        <v>781</v>
      </c>
      <c r="H9556" s="3"/>
    </row>
    <row r="9557" spans="1:8">
      <c r="A9557" s="1213">
        <v>46079</v>
      </c>
      <c r="B9557" s="1214"/>
      <c r="C9557" s="1214" t="s">
        <v>68</v>
      </c>
      <c r="D9557" s="3" t="s">
        <v>4390</v>
      </c>
      <c r="E9557" s="1497">
        <v>40000</v>
      </c>
      <c r="F9557" s="1497"/>
      <c r="G9557" s="1212" t="s">
        <v>56</v>
      </c>
      <c r="H9557" s="3"/>
    </row>
    <row r="9558" spans="1:8">
      <c r="A9558" s="1213">
        <v>46079</v>
      </c>
      <c r="B9558" s="1214"/>
      <c r="C9558" s="1214" t="s">
        <v>92</v>
      </c>
      <c r="D9558" s="3" t="s">
        <v>4391</v>
      </c>
      <c r="E9558" s="1497"/>
      <c r="F9558" s="1497">
        <v>91500</v>
      </c>
      <c r="G9558" s="1214" t="s">
        <v>27</v>
      </c>
      <c r="H9558" s="3"/>
    </row>
    <row r="9559" spans="1:8">
      <c r="A9559" s="1213">
        <v>46079</v>
      </c>
      <c r="B9559" s="1214"/>
      <c r="C9559" s="1214" t="s">
        <v>77</v>
      </c>
      <c r="D9559" s="3" t="s">
        <v>4392</v>
      </c>
      <c r="E9559" s="1497"/>
      <c r="F9559" s="1497">
        <v>3360000</v>
      </c>
      <c r="G9559" s="1214" t="s">
        <v>27</v>
      </c>
      <c r="H9559" s="3"/>
    </row>
    <row r="9560" spans="1:8">
      <c r="A9560" s="1213">
        <v>46080</v>
      </c>
      <c r="B9560" s="1214"/>
      <c r="C9560" s="1214" t="s">
        <v>205</v>
      </c>
      <c r="D9560" s="3" t="s">
        <v>11</v>
      </c>
      <c r="E9560" s="1497">
        <v>180000</v>
      </c>
      <c r="F9560" s="1497"/>
      <c r="G9560" s="1214" t="s">
        <v>27</v>
      </c>
      <c r="H9560" s="85"/>
    </row>
    <row r="9561" spans="1:8">
      <c r="A9561" s="1213">
        <v>46080</v>
      </c>
      <c r="B9561" s="1214"/>
      <c r="C9561" s="1218" t="s">
        <v>205</v>
      </c>
      <c r="D9561" s="3" t="s">
        <v>859</v>
      </c>
      <c r="E9561" s="1497">
        <v>600000</v>
      </c>
      <c r="F9561" s="1497"/>
      <c r="G9561" s="1214" t="s">
        <v>996</v>
      </c>
      <c r="H9561" s="1222" t="s">
        <v>4397</v>
      </c>
    </row>
    <row r="9562" spans="1:8">
      <c r="A9562" s="1219">
        <v>46080</v>
      </c>
      <c r="B9562" s="1218"/>
      <c r="C9562" s="1218" t="s">
        <v>55</v>
      </c>
      <c r="D9562" s="3" t="s">
        <v>4398</v>
      </c>
      <c r="E9562" s="1497">
        <v>16000</v>
      </c>
      <c r="F9562" s="1497"/>
      <c r="G9562" s="1218" t="s">
        <v>56</v>
      </c>
      <c r="H9562" s="1222" t="s">
        <v>4399</v>
      </c>
    </row>
    <row r="9563" spans="1:8">
      <c r="A9563" s="1219">
        <v>46080</v>
      </c>
      <c r="B9563" s="1218"/>
      <c r="C9563" s="1218" t="s">
        <v>537</v>
      </c>
      <c r="D9563" s="3" t="s">
        <v>219</v>
      </c>
      <c r="E9563" s="1497">
        <v>305000</v>
      </c>
      <c r="F9563" s="1497"/>
      <c r="G9563" s="1218" t="s">
        <v>56</v>
      </c>
      <c r="H9563" s="85"/>
    </row>
    <row r="9564" spans="1:8">
      <c r="A9564" s="1219">
        <v>46080</v>
      </c>
      <c r="B9564" s="1218"/>
      <c r="C9564" s="1218" t="s">
        <v>537</v>
      </c>
      <c r="D9564" s="3" t="s">
        <v>208</v>
      </c>
      <c r="E9564" s="1497">
        <v>305000</v>
      </c>
      <c r="F9564" s="1497"/>
      <c r="G9564" s="1218" t="s">
        <v>27</v>
      </c>
      <c r="H9564" s="85"/>
    </row>
    <row r="9565" spans="1:8">
      <c r="A9565" s="1219">
        <v>46080</v>
      </c>
      <c r="B9565" s="1218"/>
      <c r="C9565" s="1218" t="s">
        <v>537</v>
      </c>
      <c r="D9565" s="3" t="s">
        <v>193</v>
      </c>
      <c r="E9565" s="1497">
        <v>170000</v>
      </c>
      <c r="F9565" s="1497"/>
      <c r="G9565" s="1218" t="s">
        <v>56</v>
      </c>
      <c r="H9565" s="3"/>
    </row>
    <row r="9566" spans="1:8">
      <c r="A9566" s="1219">
        <v>46080</v>
      </c>
      <c r="B9566" s="1218"/>
      <c r="C9566" s="1218" t="s">
        <v>537</v>
      </c>
      <c r="D9566" s="3" t="s">
        <v>2638</v>
      </c>
      <c r="E9566" s="1497">
        <v>585000</v>
      </c>
      <c r="F9566" s="1497"/>
      <c r="G9566" s="1218" t="s">
        <v>56</v>
      </c>
      <c r="H9566" s="3"/>
    </row>
    <row r="9567" spans="1:8" ht="15.75" thickBot="1">
      <c r="A9567" s="1220">
        <v>46080</v>
      </c>
      <c r="B9567" s="1221"/>
      <c r="C9567" s="1221" t="s">
        <v>150</v>
      </c>
      <c r="D9567" s="15" t="s">
        <v>252</v>
      </c>
      <c r="E9567" s="1497"/>
      <c r="F9567" s="1497">
        <v>1350000</v>
      </c>
      <c r="G9567" s="1221" t="s">
        <v>108</v>
      </c>
      <c r="H9567" s="85"/>
    </row>
    <row r="9568" spans="1:8">
      <c r="H9568" s="1226">
        <v>46080</v>
      </c>
    </row>
    <row r="9569" spans="1:8">
      <c r="H9569" s="136" t="s">
        <v>876</v>
      </c>
    </row>
    <row r="9570" spans="1:8">
      <c r="H9570" s="137" t="s">
        <v>4207</v>
      </c>
    </row>
    <row r="9571" spans="1:8">
      <c r="H9571" s="137" t="s">
        <v>4403</v>
      </c>
    </row>
    <row r="9572" spans="1:8">
      <c r="H9572" s="138" t="s">
        <v>4405</v>
      </c>
    </row>
    <row r="9573" spans="1:8">
      <c r="H9573" s="138" t="s">
        <v>4409</v>
      </c>
    </row>
    <row r="9574" spans="1:8">
      <c r="H9574" s="138" t="s">
        <v>4401</v>
      </c>
    </row>
    <row r="9575" spans="1:8">
      <c r="H9575" s="138" t="s">
        <v>4402</v>
      </c>
    </row>
    <row r="9576" spans="1:8" ht="15.75" thickBot="1">
      <c r="H9576" s="147" t="s">
        <v>4404</v>
      </c>
    </row>
    <row r="9577" spans="1:8">
      <c r="A9577" s="1220">
        <v>46083</v>
      </c>
      <c r="B9577" s="1221"/>
      <c r="C9577" s="1221" t="s">
        <v>79</v>
      </c>
      <c r="D9577" s="3" t="s">
        <v>79</v>
      </c>
      <c r="E9577" s="1497">
        <v>82260</v>
      </c>
      <c r="F9577" s="1497"/>
      <c r="G9577" s="1221" t="s">
        <v>27</v>
      </c>
      <c r="H9577" s="5"/>
    </row>
    <row r="9578" spans="1:8">
      <c r="A9578" s="1220">
        <v>46083</v>
      </c>
      <c r="B9578" s="1221"/>
      <c r="C9578" s="1221" t="s">
        <v>79</v>
      </c>
      <c r="D9578" s="3" t="s">
        <v>4406</v>
      </c>
      <c r="E9578" s="1497">
        <v>39000</v>
      </c>
      <c r="F9578" s="1497"/>
      <c r="G9578" s="1221" t="s">
        <v>27</v>
      </c>
      <c r="H9578" s="3"/>
    </row>
    <row r="9579" spans="1:8">
      <c r="A9579" s="1220">
        <v>46083</v>
      </c>
      <c r="B9579" s="1221"/>
      <c r="C9579" s="1221" t="s">
        <v>65</v>
      </c>
      <c r="D9579" s="3" t="s">
        <v>4408</v>
      </c>
      <c r="E9579" s="1497">
        <v>19399.990000000002</v>
      </c>
      <c r="F9579" s="1497"/>
      <c r="G9579" s="1221" t="s">
        <v>27</v>
      </c>
      <c r="H9579" s="3"/>
    </row>
    <row r="9580" spans="1:8">
      <c r="A9580" s="1220">
        <v>46083</v>
      </c>
      <c r="B9580" s="1221"/>
      <c r="C9580" s="1221" t="s">
        <v>65</v>
      </c>
      <c r="D9580" s="3" t="s">
        <v>4407</v>
      </c>
      <c r="E9580" s="1497">
        <v>19399.990000000002</v>
      </c>
      <c r="F9580" s="1497"/>
      <c r="G9580" s="1221" t="s">
        <v>27</v>
      </c>
      <c r="H9580" s="3"/>
    </row>
    <row r="9581" spans="1:8">
      <c r="A9581" s="1220">
        <v>46083</v>
      </c>
      <c r="B9581" s="1221"/>
      <c r="C9581" s="1221" t="s">
        <v>65</v>
      </c>
      <c r="D9581" s="3" t="s">
        <v>210</v>
      </c>
      <c r="E9581" s="1497">
        <v>48265.77</v>
      </c>
      <c r="F9581" s="1497"/>
      <c r="G9581" s="1221" t="s">
        <v>27</v>
      </c>
      <c r="H9581" s="3"/>
    </row>
    <row r="9582" spans="1:8">
      <c r="A9582" s="1220">
        <v>46083</v>
      </c>
      <c r="B9582" s="1221"/>
      <c r="C9582" s="1221" t="s">
        <v>205</v>
      </c>
      <c r="D9582" s="3" t="s">
        <v>38</v>
      </c>
      <c r="E9582" s="1497">
        <v>2500</v>
      </c>
      <c r="F9582" s="1497"/>
      <c r="G9582" s="1221" t="s">
        <v>56</v>
      </c>
      <c r="H9582" s="3"/>
    </row>
    <row r="9583" spans="1:8">
      <c r="A9583" s="1220">
        <v>46083</v>
      </c>
      <c r="B9583" s="1221"/>
      <c r="C9583" s="1221" t="s">
        <v>205</v>
      </c>
      <c r="D9583" s="3" t="s">
        <v>38</v>
      </c>
      <c r="E9583" s="1497">
        <v>1750</v>
      </c>
      <c r="F9583" s="1497"/>
      <c r="G9583" s="1221" t="s">
        <v>56</v>
      </c>
      <c r="H9583" s="3"/>
    </row>
    <row r="9584" spans="1:8">
      <c r="A9584" s="1220">
        <v>46083</v>
      </c>
      <c r="B9584" s="1221"/>
      <c r="C9584" s="1223" t="s">
        <v>55</v>
      </c>
      <c r="D9584" s="3" t="s">
        <v>4411</v>
      </c>
      <c r="E9584" s="1497">
        <v>10000</v>
      </c>
      <c r="F9584" s="1497"/>
      <c r="G9584" s="1221" t="s">
        <v>56</v>
      </c>
      <c r="H9584" s="3"/>
    </row>
    <row r="9585" spans="1:8">
      <c r="A9585" s="1224">
        <v>46084</v>
      </c>
      <c r="B9585" s="1223"/>
      <c r="C9585" s="1223" t="s">
        <v>205</v>
      </c>
      <c r="D9585" s="3" t="s">
        <v>859</v>
      </c>
      <c r="E9585" s="1497">
        <v>414682</v>
      </c>
      <c r="F9585" s="1497"/>
      <c r="G9585" s="1223"/>
      <c r="H9585" s="3"/>
    </row>
    <row r="9586" spans="1:8">
      <c r="A9586" s="1224">
        <v>46084</v>
      </c>
      <c r="B9586" s="1221"/>
      <c r="C9586" s="1221" t="s">
        <v>205</v>
      </c>
      <c r="D9586" s="3" t="s">
        <v>45</v>
      </c>
      <c r="E9586" s="1497">
        <v>88794</v>
      </c>
      <c r="F9586" s="1497"/>
      <c r="G9586" s="1221" t="s">
        <v>27</v>
      </c>
      <c r="H9586" s="3"/>
    </row>
    <row r="9587" spans="1:8">
      <c r="A9587" s="1224">
        <v>46084</v>
      </c>
      <c r="B9587" s="1221"/>
      <c r="C9587" s="1221" t="s">
        <v>205</v>
      </c>
      <c r="D9587" s="3" t="s">
        <v>3296</v>
      </c>
      <c r="E9587" s="1497">
        <v>246776</v>
      </c>
      <c r="F9587" s="1497"/>
      <c r="G9587" s="1223" t="s">
        <v>27</v>
      </c>
      <c r="H9587" s="3"/>
    </row>
    <row r="9588" spans="1:8">
      <c r="A9588" s="1224">
        <v>46084</v>
      </c>
      <c r="B9588" s="1221"/>
      <c r="C9588" s="1221" t="s">
        <v>79</v>
      </c>
      <c r="D9588" s="3" t="s">
        <v>4412</v>
      </c>
      <c r="E9588" s="1497">
        <v>100000</v>
      </c>
      <c r="F9588" s="1497"/>
      <c r="G9588" s="1223" t="s">
        <v>27</v>
      </c>
      <c r="H9588" s="3"/>
    </row>
    <row r="9589" spans="1:8">
      <c r="A9589" s="1224">
        <v>46084</v>
      </c>
      <c r="B9589" s="1223"/>
      <c r="C9589" s="1223" t="s">
        <v>77</v>
      </c>
      <c r="D9589" s="3" t="s">
        <v>4413</v>
      </c>
      <c r="E9589" s="1497"/>
      <c r="F9589" s="1497">
        <v>113600</v>
      </c>
      <c r="G9589" s="1223" t="s">
        <v>27</v>
      </c>
      <c r="H9589" s="45" t="s">
        <v>742</v>
      </c>
    </row>
    <row r="9590" spans="1:8">
      <c r="A9590" s="1224">
        <v>46084</v>
      </c>
      <c r="B9590" s="1223"/>
      <c r="C9590" s="1223" t="s">
        <v>205</v>
      </c>
      <c r="D9590" s="3" t="s">
        <v>48</v>
      </c>
      <c r="E9590" s="1497">
        <v>840000</v>
      </c>
      <c r="F9590" s="1497"/>
      <c r="G9590" s="1223" t="s">
        <v>1742</v>
      </c>
      <c r="H9590" s="45" t="s">
        <v>4414</v>
      </c>
    </row>
    <row r="9591" spans="1:8">
      <c r="A9591" s="1224">
        <v>46084</v>
      </c>
      <c r="B9591" s="1223"/>
      <c r="C9591" s="1223" t="s">
        <v>205</v>
      </c>
      <c r="D9591" s="3" t="s">
        <v>48</v>
      </c>
      <c r="E9591" s="1497">
        <v>569707.04</v>
      </c>
      <c r="F9591" s="1497"/>
      <c r="G9591" s="1223" t="s">
        <v>996</v>
      </c>
      <c r="H9591" s="45"/>
    </row>
    <row r="9592" spans="1:8">
      <c r="A9592" s="1224">
        <v>46084</v>
      </c>
      <c r="B9592" s="1223"/>
      <c r="C9592" s="1223" t="s">
        <v>205</v>
      </c>
      <c r="D9592" s="3" t="s">
        <v>2358</v>
      </c>
      <c r="E9592" s="1497">
        <v>221000</v>
      </c>
      <c r="F9592" s="1497"/>
      <c r="G9592" s="1223" t="s">
        <v>1742</v>
      </c>
      <c r="H9592" s="45" t="s">
        <v>4415</v>
      </c>
    </row>
    <row r="9593" spans="1:8">
      <c r="A9593" s="1225">
        <v>46084</v>
      </c>
      <c r="B9593" s="1223"/>
      <c r="C9593" s="1223" t="s">
        <v>77</v>
      </c>
      <c r="D9593" s="3" t="s">
        <v>4416</v>
      </c>
      <c r="E9593" s="1497"/>
      <c r="F9593" s="1497">
        <v>4000000</v>
      </c>
      <c r="G9593" s="1223" t="s">
        <v>27</v>
      </c>
      <c r="H9593" s="45" t="s">
        <v>4417</v>
      </c>
    </row>
    <row r="9594" spans="1:8">
      <c r="A9594" s="1228">
        <v>46084</v>
      </c>
      <c r="B9594" s="1229"/>
      <c r="C9594" s="1229" t="s">
        <v>86</v>
      </c>
      <c r="D9594" s="3" t="s">
        <v>104</v>
      </c>
      <c r="E9594" s="1497">
        <v>30000</v>
      </c>
      <c r="F9594" s="1497"/>
      <c r="G9594" s="1229" t="s">
        <v>27</v>
      </c>
      <c r="H9594" s="45"/>
    </row>
    <row r="9595" spans="1:8">
      <c r="A9595" s="1225">
        <v>46085</v>
      </c>
      <c r="B9595" s="1223"/>
      <c r="C9595" s="1223" t="s">
        <v>55</v>
      </c>
      <c r="D9595" s="3" t="s">
        <v>225</v>
      </c>
      <c r="E9595" s="1497">
        <v>6000</v>
      </c>
      <c r="F9595" s="1497"/>
      <c r="G9595" s="1223" t="s">
        <v>56</v>
      </c>
      <c r="H9595" s="3"/>
    </row>
    <row r="9596" spans="1:8">
      <c r="A9596" s="1225">
        <v>46085</v>
      </c>
      <c r="B9596" s="1223"/>
      <c r="C9596" s="1223" t="s">
        <v>92</v>
      </c>
      <c r="D9596" s="3" t="s">
        <v>1996</v>
      </c>
      <c r="E9596" s="1497"/>
      <c r="F9596" s="1497">
        <v>43000</v>
      </c>
      <c r="G9596" s="1223" t="s">
        <v>56</v>
      </c>
      <c r="H9596" s="3"/>
    </row>
    <row r="9597" spans="1:8">
      <c r="A9597" s="1225">
        <v>46085</v>
      </c>
      <c r="B9597" s="1223"/>
      <c r="C9597" s="1223" t="s">
        <v>205</v>
      </c>
      <c r="D9597" s="3" t="s">
        <v>4418</v>
      </c>
      <c r="E9597" s="1497">
        <v>172824.42</v>
      </c>
      <c r="F9597" s="1497"/>
      <c r="G9597" s="1223" t="s">
        <v>27</v>
      </c>
      <c r="H9597" s="3"/>
    </row>
    <row r="9598" spans="1:8">
      <c r="A9598" s="1227">
        <v>46085</v>
      </c>
      <c r="B9598" s="1223"/>
      <c r="C9598" s="1223" t="s">
        <v>77</v>
      </c>
      <c r="D9598" s="3" t="s">
        <v>4419</v>
      </c>
      <c r="E9598" s="1497"/>
      <c r="F9598" s="1497">
        <v>184000</v>
      </c>
      <c r="G9598" s="1223" t="s">
        <v>56</v>
      </c>
      <c r="H9598" s="3"/>
    </row>
    <row r="9599" spans="1:8">
      <c r="A9599" s="1228">
        <v>46086</v>
      </c>
      <c r="B9599" s="1223"/>
      <c r="C9599" s="1223" t="s">
        <v>79</v>
      </c>
      <c r="D9599" s="3" t="s">
        <v>79</v>
      </c>
      <c r="E9599" s="1497">
        <v>20000</v>
      </c>
      <c r="F9599" s="1497"/>
      <c r="G9599" s="1223" t="s">
        <v>56</v>
      </c>
      <c r="H9599" s="3"/>
    </row>
    <row r="9600" spans="1:8">
      <c r="A9600" s="1228">
        <v>46086</v>
      </c>
      <c r="B9600" s="1229"/>
      <c r="C9600" s="1229" t="s">
        <v>409</v>
      </c>
      <c r="D9600" s="3" t="s">
        <v>4420</v>
      </c>
      <c r="E9600" s="1497"/>
      <c r="F9600" s="1497">
        <v>202500</v>
      </c>
      <c r="G9600" s="1229" t="s">
        <v>56</v>
      </c>
      <c r="H9600" s="45" t="s">
        <v>859</v>
      </c>
    </row>
    <row r="9601" spans="1:8">
      <c r="A9601" s="1228">
        <v>46086</v>
      </c>
      <c r="B9601" s="1229"/>
      <c r="C9601" s="1229" t="s">
        <v>90</v>
      </c>
      <c r="D9601" s="3" t="s">
        <v>1951</v>
      </c>
      <c r="E9601" s="1497">
        <v>20000</v>
      </c>
      <c r="F9601" s="1497"/>
      <c r="G9601" s="1229" t="s">
        <v>56</v>
      </c>
      <c r="H9601" s="3"/>
    </row>
    <row r="9602" spans="1:8">
      <c r="A9602" s="1228">
        <v>46086</v>
      </c>
      <c r="B9602" s="1229"/>
      <c r="C9602" s="1229" t="s">
        <v>205</v>
      </c>
      <c r="D9602" s="3" t="s">
        <v>38</v>
      </c>
      <c r="E9602" s="1497">
        <v>15763.5</v>
      </c>
      <c r="F9602" s="1497"/>
      <c r="G9602" s="1229" t="s">
        <v>56</v>
      </c>
      <c r="H9602" s="3"/>
    </row>
    <row r="9603" spans="1:8">
      <c r="A9603" s="1228">
        <v>46086</v>
      </c>
      <c r="B9603" s="1229"/>
      <c r="C9603" s="1229" t="s">
        <v>205</v>
      </c>
      <c r="D9603" s="3" t="s">
        <v>38</v>
      </c>
      <c r="E9603" s="1497">
        <v>3600</v>
      </c>
      <c r="F9603" s="1497"/>
      <c r="G9603" s="1229" t="s">
        <v>56</v>
      </c>
      <c r="H9603" s="3"/>
    </row>
    <row r="9604" spans="1:8">
      <c r="A9604" s="1228">
        <v>46086</v>
      </c>
      <c r="B9604" s="1229"/>
      <c r="C9604" s="1229" t="s">
        <v>94</v>
      </c>
      <c r="D9604" s="15" t="s">
        <v>3545</v>
      </c>
      <c r="E9604" s="1497">
        <v>46000</v>
      </c>
      <c r="F9604" s="1497"/>
      <c r="G9604" s="1229" t="s">
        <v>27</v>
      </c>
      <c r="H9604" s="3"/>
    </row>
    <row r="9605" spans="1:8">
      <c r="A9605" s="1228">
        <v>46086</v>
      </c>
      <c r="B9605" s="1229"/>
      <c r="C9605" s="1229" t="s">
        <v>199</v>
      </c>
      <c r="D9605" s="15" t="s">
        <v>48</v>
      </c>
      <c r="E9605" s="1497">
        <v>144328.79999999999</v>
      </c>
      <c r="F9605" s="1497"/>
      <c r="G9605" s="1229" t="s">
        <v>27</v>
      </c>
      <c r="H9605" s="3"/>
    </row>
    <row r="9606" spans="1:8">
      <c r="A9606" s="1228">
        <v>46086</v>
      </c>
      <c r="B9606" s="1229"/>
      <c r="C9606" s="1229" t="s">
        <v>65</v>
      </c>
      <c r="D9606" s="3" t="s">
        <v>787</v>
      </c>
      <c r="E9606" s="1497">
        <v>8100</v>
      </c>
      <c r="F9606" s="1497"/>
      <c r="G9606" s="1229" t="s">
        <v>56</v>
      </c>
      <c r="H9606" s="3"/>
    </row>
    <row r="9607" spans="1:8">
      <c r="A9607" s="1231">
        <v>46086</v>
      </c>
      <c r="B9607" s="1229"/>
      <c r="C9607" s="1229" t="s">
        <v>205</v>
      </c>
      <c r="D9607" s="3" t="s">
        <v>48</v>
      </c>
      <c r="E9607" s="1497">
        <v>414682</v>
      </c>
      <c r="F9607" s="1497"/>
      <c r="G9607" s="1229" t="s">
        <v>27</v>
      </c>
      <c r="H9607" s="3"/>
    </row>
    <row r="9608" spans="1:8">
      <c r="A9608" s="1231">
        <v>46087</v>
      </c>
      <c r="B9608" s="1229"/>
      <c r="C9608" s="1229" t="s">
        <v>92</v>
      </c>
      <c r="D9608" s="3" t="s">
        <v>4421</v>
      </c>
      <c r="E9608" s="1497"/>
      <c r="F9608" s="1497">
        <v>330000</v>
      </c>
      <c r="G9608" s="1229" t="s">
        <v>56</v>
      </c>
      <c r="H9608" s="3"/>
    </row>
    <row r="9609" spans="1:8">
      <c r="A9609" s="1231">
        <v>46087</v>
      </c>
      <c r="B9609" s="1229"/>
      <c r="C9609" s="1229" t="s">
        <v>77</v>
      </c>
      <c r="D9609" s="3" t="s">
        <v>4422</v>
      </c>
      <c r="E9609" s="1497"/>
      <c r="F9609" s="1497">
        <v>3933600</v>
      </c>
      <c r="G9609" s="1229" t="s">
        <v>56</v>
      </c>
      <c r="H9609" s="3"/>
    </row>
    <row r="9610" spans="1:8">
      <c r="A9610" s="1231">
        <v>46087</v>
      </c>
      <c r="B9610" s="1229"/>
      <c r="C9610" s="1229" t="s">
        <v>77</v>
      </c>
      <c r="D9610" s="3" t="s">
        <v>4423</v>
      </c>
      <c r="E9610" s="1497"/>
      <c r="F9610" s="1497">
        <v>1200000</v>
      </c>
      <c r="G9610" s="1229" t="s">
        <v>27</v>
      </c>
      <c r="H9610" s="3"/>
    </row>
    <row r="9611" spans="1:8">
      <c r="A9611" s="1231">
        <v>46087</v>
      </c>
      <c r="B9611" s="1229"/>
      <c r="C9611" s="1229" t="s">
        <v>77</v>
      </c>
      <c r="D9611" s="3" t="s">
        <v>4424</v>
      </c>
      <c r="E9611" s="1497"/>
      <c r="F9611" s="1497">
        <v>36000</v>
      </c>
      <c r="G9611" s="1229" t="s">
        <v>1866</v>
      </c>
      <c r="H9611" s="3"/>
    </row>
    <row r="9612" spans="1:8">
      <c r="A9612" s="1231">
        <v>46087</v>
      </c>
      <c r="B9612" s="1230"/>
      <c r="C9612" s="1230" t="s">
        <v>537</v>
      </c>
      <c r="D9612" s="3" t="s">
        <v>208</v>
      </c>
      <c r="E9612" s="1497">
        <v>305000</v>
      </c>
      <c r="F9612" s="1497"/>
      <c r="G9612" s="1230" t="s">
        <v>27</v>
      </c>
      <c r="H9612" s="3"/>
    </row>
    <row r="9613" spans="1:8">
      <c r="A9613" s="1231">
        <v>46087</v>
      </c>
      <c r="B9613" s="1230"/>
      <c r="C9613" s="1230" t="s">
        <v>537</v>
      </c>
      <c r="D9613" s="3" t="s">
        <v>219</v>
      </c>
      <c r="E9613" s="1497">
        <v>305000</v>
      </c>
      <c r="F9613" s="1497"/>
      <c r="G9613" s="1230" t="s">
        <v>56</v>
      </c>
      <c r="H9613" s="3"/>
    </row>
    <row r="9614" spans="1:8">
      <c r="A9614" s="1231">
        <v>46087</v>
      </c>
      <c r="B9614" s="1230"/>
      <c r="C9614" s="1230" t="s">
        <v>537</v>
      </c>
      <c r="D9614" s="3" t="s">
        <v>144</v>
      </c>
      <c r="E9614" s="1497">
        <v>590000</v>
      </c>
      <c r="F9614" s="1497"/>
      <c r="G9614" s="1230" t="s">
        <v>56</v>
      </c>
      <c r="H9614" s="3"/>
    </row>
    <row r="9615" spans="1:8">
      <c r="A9615" s="1231">
        <v>46087</v>
      </c>
      <c r="B9615" s="1230"/>
      <c r="C9615" s="1230" t="s">
        <v>537</v>
      </c>
      <c r="D9615" s="3" t="s">
        <v>193</v>
      </c>
      <c r="E9615" s="1497">
        <v>170000</v>
      </c>
      <c r="F9615" s="1497"/>
      <c r="G9615" s="1230" t="s">
        <v>56</v>
      </c>
      <c r="H9615" s="3"/>
    </row>
    <row r="9616" spans="1:8" ht="15.75" thickBot="1">
      <c r="A9616" s="1231">
        <v>46087</v>
      </c>
      <c r="B9616" s="1239"/>
      <c r="C9616" s="1241" t="s">
        <v>77</v>
      </c>
      <c r="D9616" s="3" t="s">
        <v>4428</v>
      </c>
      <c r="E9616" s="1497"/>
      <c r="F9616" s="1497">
        <v>126000</v>
      </c>
      <c r="G9616" s="1241" t="s">
        <v>27</v>
      </c>
      <c r="H9616" s="3" t="s">
        <v>3884</v>
      </c>
    </row>
    <row r="9617" spans="1:8" ht="15.75" thickBot="1">
      <c r="H9617" s="201">
        <v>46087</v>
      </c>
    </row>
    <row r="9618" spans="1:8">
      <c r="H9618" s="803" t="s">
        <v>876</v>
      </c>
    </row>
    <row r="9619" spans="1:8">
      <c r="H9619" s="137" t="s">
        <v>4207</v>
      </c>
    </row>
    <row r="9620" spans="1:8">
      <c r="H9620" s="137" t="s">
        <v>4427</v>
      </c>
    </row>
    <row r="9621" spans="1:8">
      <c r="H9621" s="138" t="s">
        <v>4426</v>
      </c>
    </row>
    <row r="9622" spans="1:8">
      <c r="H9622" s="138" t="s">
        <v>4425</v>
      </c>
    </row>
    <row r="9623" spans="1:8">
      <c r="H9623" s="138" t="s">
        <v>4401</v>
      </c>
    </row>
    <row r="9624" spans="1:8">
      <c r="H9624" s="138" t="s">
        <v>4344</v>
      </c>
    </row>
    <row r="9625" spans="1:8" ht="15.75" thickBot="1">
      <c r="H9625" s="147" t="s">
        <v>4404</v>
      </c>
    </row>
    <row r="9626" spans="1:8">
      <c r="A9626" s="1240">
        <v>46090</v>
      </c>
      <c r="B9626" s="1241"/>
      <c r="C9626" s="1241" t="s">
        <v>55</v>
      </c>
      <c r="D9626" s="3" t="s">
        <v>70</v>
      </c>
      <c r="E9626" s="1497">
        <v>35958.339999999997</v>
      </c>
      <c r="F9626" s="1497"/>
      <c r="G9626" s="1241" t="s">
        <v>27</v>
      </c>
      <c r="H9626" s="5"/>
    </row>
    <row r="9627" spans="1:8">
      <c r="A9627" s="1240">
        <v>46090</v>
      </c>
      <c r="B9627" s="1241"/>
      <c r="C9627" s="1241" t="s">
        <v>3449</v>
      </c>
      <c r="D9627" s="3" t="s">
        <v>48</v>
      </c>
      <c r="E9627" s="1497">
        <v>2100000</v>
      </c>
      <c r="F9627" s="1497"/>
      <c r="G9627" s="1241" t="s">
        <v>27</v>
      </c>
      <c r="H9627" s="3"/>
    </row>
    <row r="9628" spans="1:8">
      <c r="A9628" s="1240">
        <v>46090</v>
      </c>
      <c r="B9628" s="1241"/>
      <c r="C9628" s="1243" t="s">
        <v>55</v>
      </c>
      <c r="D9628" s="3" t="s">
        <v>70</v>
      </c>
      <c r="E9628" s="1497">
        <v>9569</v>
      </c>
      <c r="F9628" s="1497"/>
      <c r="G9628" s="1241" t="s">
        <v>56</v>
      </c>
      <c r="H9628" s="3"/>
    </row>
    <row r="9629" spans="1:8">
      <c r="A9629" s="1242">
        <v>46091</v>
      </c>
      <c r="B9629" s="1241"/>
      <c r="C9629" s="1243" t="s">
        <v>55</v>
      </c>
      <c r="D9629" s="3" t="s">
        <v>4429</v>
      </c>
      <c r="E9629" s="1497">
        <v>40281</v>
      </c>
      <c r="F9629" s="1497"/>
      <c r="G9629" s="1241" t="s">
        <v>27</v>
      </c>
      <c r="H9629" s="3"/>
    </row>
    <row r="9630" spans="1:8" ht="18.75" customHeight="1">
      <c r="A9630" s="1242">
        <v>46091</v>
      </c>
      <c r="B9630" s="1243"/>
      <c r="C9630" s="1243" t="s">
        <v>28</v>
      </c>
      <c r="D9630" s="3" t="s">
        <v>4430</v>
      </c>
      <c r="E9630" s="1497">
        <v>245254</v>
      </c>
      <c r="F9630" s="1514"/>
      <c r="G9630" s="1243" t="s">
        <v>27</v>
      </c>
      <c r="H9630" s="3"/>
    </row>
    <row r="9631" spans="1:8">
      <c r="A9631" s="1242">
        <v>46091</v>
      </c>
      <c r="B9631" s="1241"/>
      <c r="C9631" s="1241" t="s">
        <v>79</v>
      </c>
      <c r="D9631" s="3" t="s">
        <v>4432</v>
      </c>
      <c r="E9631" s="1497">
        <v>51719</v>
      </c>
      <c r="F9631" s="1497"/>
      <c r="G9631" s="1243" t="s">
        <v>27</v>
      </c>
      <c r="H9631" s="3"/>
    </row>
    <row r="9632" spans="1:8">
      <c r="A9632" s="1242">
        <v>46091</v>
      </c>
      <c r="B9632" s="1241"/>
      <c r="C9632" s="1241" t="s">
        <v>65</v>
      </c>
      <c r="D9632" s="3" t="s">
        <v>4433</v>
      </c>
      <c r="E9632" s="1497">
        <v>94411.4</v>
      </c>
      <c r="F9632" s="1497"/>
      <c r="G9632" s="1243" t="s">
        <v>27</v>
      </c>
      <c r="H9632" s="3"/>
    </row>
    <row r="9633" spans="1:8">
      <c r="A9633" s="1242">
        <v>46091</v>
      </c>
      <c r="B9633" s="1241"/>
      <c r="C9633" s="1241" t="s">
        <v>2482</v>
      </c>
      <c r="D9633" s="3" t="s">
        <v>2056</v>
      </c>
      <c r="E9633" s="1497">
        <v>342814.3</v>
      </c>
      <c r="F9633" s="1497"/>
      <c r="G9633" s="1243" t="s">
        <v>27</v>
      </c>
      <c r="H9633" s="3"/>
    </row>
    <row r="9634" spans="1:8">
      <c r="A9634" s="1242">
        <v>46091</v>
      </c>
      <c r="B9634" s="1241"/>
      <c r="C9634" s="1241" t="s">
        <v>155</v>
      </c>
      <c r="D9634" s="3" t="s">
        <v>155</v>
      </c>
      <c r="E9634" s="1497">
        <v>73812.08</v>
      </c>
      <c r="F9634" s="1497"/>
      <c r="G9634" s="1243" t="s">
        <v>27</v>
      </c>
      <c r="H9634" s="3"/>
    </row>
    <row r="9635" spans="1:8">
      <c r="A9635" s="1242">
        <v>46091</v>
      </c>
      <c r="B9635" s="1241"/>
      <c r="C9635" s="1241" t="s">
        <v>103</v>
      </c>
      <c r="D9635" s="3" t="s">
        <v>4434</v>
      </c>
      <c r="E9635" s="1497">
        <v>2719.08</v>
      </c>
      <c r="F9635" s="1497"/>
      <c r="G9635" s="1243" t="s">
        <v>27</v>
      </c>
      <c r="H9635" s="3"/>
    </row>
    <row r="9636" spans="1:8">
      <c r="A9636" s="1242">
        <v>46091</v>
      </c>
      <c r="B9636" s="1241"/>
      <c r="C9636" s="1243" t="s">
        <v>103</v>
      </c>
      <c r="D9636" s="3" t="s">
        <v>4435</v>
      </c>
      <c r="E9636" s="1497">
        <v>8671.82</v>
      </c>
      <c r="F9636" s="1497"/>
      <c r="G9636" s="1243" t="s">
        <v>27</v>
      </c>
      <c r="H9636" s="3"/>
    </row>
    <row r="9637" spans="1:8">
      <c r="A9637" s="1245">
        <v>46091</v>
      </c>
      <c r="B9637" s="1246"/>
      <c r="C9637" s="1246" t="s">
        <v>77</v>
      </c>
      <c r="D9637" s="3" t="s">
        <v>4444</v>
      </c>
      <c r="E9637" s="1497"/>
      <c r="F9637" s="1497">
        <v>1600</v>
      </c>
      <c r="G9637" s="1246" t="s">
        <v>781</v>
      </c>
      <c r="H9637" s="3"/>
    </row>
    <row r="9638" spans="1:8">
      <c r="A9638" s="1242">
        <v>46091</v>
      </c>
      <c r="B9638" s="1241"/>
      <c r="C9638" s="1241" t="s">
        <v>3449</v>
      </c>
      <c r="D9638" s="3" t="s">
        <v>4436</v>
      </c>
      <c r="E9638" s="1497">
        <v>42000</v>
      </c>
      <c r="F9638" s="1497"/>
      <c r="G9638" s="1241" t="s">
        <v>27</v>
      </c>
      <c r="H9638" s="3"/>
    </row>
    <row r="9639" spans="1:8">
      <c r="A9639" s="1244">
        <v>46092</v>
      </c>
      <c r="B9639" s="1241"/>
      <c r="C9639" s="1241" t="s">
        <v>86</v>
      </c>
      <c r="D9639" s="3" t="s">
        <v>195</v>
      </c>
      <c r="E9639" s="1497">
        <v>78032</v>
      </c>
      <c r="F9639" s="1497"/>
      <c r="G9639" s="1241" t="s">
        <v>27</v>
      </c>
      <c r="H9639" s="3"/>
    </row>
    <row r="9640" spans="1:8">
      <c r="A9640" s="1244">
        <v>46092</v>
      </c>
      <c r="B9640" s="1241"/>
      <c r="C9640" s="1241" t="s">
        <v>77</v>
      </c>
      <c r="D9640" s="3" t="s">
        <v>4437</v>
      </c>
      <c r="E9640" s="1497"/>
      <c r="F9640" s="1497">
        <v>607000</v>
      </c>
      <c r="G9640" s="1241" t="s">
        <v>56</v>
      </c>
      <c r="H9640" s="3"/>
    </row>
    <row r="9641" spans="1:8">
      <c r="A9641" s="1245">
        <v>46093</v>
      </c>
      <c r="B9641" s="1241"/>
      <c r="C9641" s="1241" t="s">
        <v>92</v>
      </c>
      <c r="D9641" s="3" t="s">
        <v>4438</v>
      </c>
      <c r="E9641" s="1497"/>
      <c r="F9641" s="1497">
        <v>175000</v>
      </c>
      <c r="G9641" s="1241" t="s">
        <v>27</v>
      </c>
      <c r="H9641" s="3"/>
    </row>
    <row r="9642" spans="1:8">
      <c r="A9642" s="1245">
        <v>46093</v>
      </c>
      <c r="B9642" s="1241"/>
      <c r="C9642" s="1241" t="s">
        <v>103</v>
      </c>
      <c r="D9642" s="3" t="s">
        <v>22</v>
      </c>
      <c r="E9642" s="1497" t="s">
        <v>4439</v>
      </c>
      <c r="F9642" s="1497"/>
      <c r="G9642" s="1241" t="s">
        <v>27</v>
      </c>
      <c r="H9642" s="3"/>
    </row>
    <row r="9643" spans="1:8">
      <c r="A9643" s="1245">
        <v>46093</v>
      </c>
      <c r="B9643" s="1241"/>
      <c r="C9643" s="1241" t="s">
        <v>86</v>
      </c>
      <c r="D9643" s="3" t="s">
        <v>3749</v>
      </c>
      <c r="E9643" s="1497">
        <v>30000</v>
      </c>
      <c r="F9643" s="1497"/>
      <c r="G9643" s="1241" t="s">
        <v>27</v>
      </c>
      <c r="H9643" s="3"/>
    </row>
    <row r="9644" spans="1:8">
      <c r="A9644" s="1245">
        <v>46093</v>
      </c>
      <c r="B9644" s="1243"/>
      <c r="C9644" s="1243" t="s">
        <v>94</v>
      </c>
      <c r="D9644" s="3" t="s">
        <v>17</v>
      </c>
      <c r="E9644" s="1497">
        <v>110976.14</v>
      </c>
      <c r="F9644" s="1497"/>
      <c r="G9644" s="1243" t="s">
        <v>27</v>
      </c>
      <c r="H9644" s="3"/>
    </row>
    <row r="9645" spans="1:8">
      <c r="A9645" s="1245">
        <v>46093</v>
      </c>
      <c r="B9645" s="1243"/>
      <c r="C9645" s="1243" t="s">
        <v>94</v>
      </c>
      <c r="D9645" s="3" t="s">
        <v>4440</v>
      </c>
      <c r="E9645" s="1497">
        <v>227974.68</v>
      </c>
      <c r="F9645" s="1497"/>
      <c r="G9645" s="1243" t="s">
        <v>27</v>
      </c>
      <c r="H9645" s="3"/>
    </row>
    <row r="9646" spans="1:8">
      <c r="A9646" s="1245">
        <v>46093</v>
      </c>
      <c r="B9646" s="1246"/>
      <c r="C9646" s="1246" t="s">
        <v>205</v>
      </c>
      <c r="D9646" s="3" t="s">
        <v>48</v>
      </c>
      <c r="E9646" s="1497">
        <v>350000</v>
      </c>
      <c r="F9646" s="1497"/>
      <c r="G9646" s="1246" t="s">
        <v>27</v>
      </c>
      <c r="H9646" s="3"/>
    </row>
    <row r="9647" spans="1:8">
      <c r="A9647" s="1248">
        <v>46093</v>
      </c>
      <c r="B9647" s="1246"/>
      <c r="C9647" s="1246" t="s">
        <v>205</v>
      </c>
      <c r="D9647" s="3" t="s">
        <v>48</v>
      </c>
      <c r="E9647" s="1497">
        <v>696575</v>
      </c>
      <c r="F9647" s="1497"/>
      <c r="G9647" s="1246" t="s">
        <v>996</v>
      </c>
      <c r="H9647" s="3" t="s">
        <v>4441</v>
      </c>
    </row>
    <row r="9648" spans="1:8">
      <c r="A9648" s="1248">
        <v>46093</v>
      </c>
      <c r="B9648" s="1246"/>
      <c r="C9648" s="1246" t="s">
        <v>205</v>
      </c>
      <c r="D9648" s="3" t="s">
        <v>48</v>
      </c>
      <c r="E9648" s="1497">
        <v>1383000</v>
      </c>
      <c r="F9648" s="1497"/>
      <c r="G9648" s="1246" t="s">
        <v>1742</v>
      </c>
      <c r="H9648" s="3" t="s">
        <v>4442</v>
      </c>
    </row>
    <row r="9649" spans="1:8">
      <c r="A9649" s="1248">
        <v>46065</v>
      </c>
      <c r="B9649" s="1246"/>
      <c r="C9649" s="1246" t="s">
        <v>77</v>
      </c>
      <c r="D9649" s="3" t="s">
        <v>4444</v>
      </c>
      <c r="E9649" s="1497"/>
      <c r="F9649" s="1497">
        <v>200000</v>
      </c>
      <c r="G9649" s="1246"/>
      <c r="H9649" s="3"/>
    </row>
    <row r="9650" spans="1:8">
      <c r="A9650" s="1248">
        <v>46093</v>
      </c>
      <c r="B9650" s="1246"/>
      <c r="C9650" s="1246" t="s">
        <v>205</v>
      </c>
      <c r="D9650" s="3" t="s">
        <v>71</v>
      </c>
      <c r="E9650" s="1497">
        <v>250000</v>
      </c>
      <c r="F9650" s="1497"/>
      <c r="G9650" s="1246" t="s">
        <v>56</v>
      </c>
      <c r="H9650" s="3"/>
    </row>
    <row r="9651" spans="1:8">
      <c r="A9651" s="1248">
        <v>46093</v>
      </c>
      <c r="B9651" s="1246"/>
      <c r="C9651" s="1246" t="s">
        <v>4443</v>
      </c>
      <c r="D9651" s="15" t="s">
        <v>2355</v>
      </c>
      <c r="E9651" s="1497">
        <v>80000</v>
      </c>
      <c r="F9651" s="1497"/>
      <c r="G9651" s="1246" t="s">
        <v>56</v>
      </c>
      <c r="H9651" s="3"/>
    </row>
    <row r="9652" spans="1:8">
      <c r="A9652" s="1248">
        <v>46093</v>
      </c>
      <c r="B9652" s="1246"/>
      <c r="C9652" s="1246" t="s">
        <v>79</v>
      </c>
      <c r="D9652" s="15" t="s">
        <v>3889</v>
      </c>
      <c r="E9652" s="1497">
        <v>91000</v>
      </c>
      <c r="F9652" s="1497"/>
      <c r="G9652" s="1247" t="s">
        <v>56</v>
      </c>
      <c r="H9652" s="3"/>
    </row>
    <row r="9653" spans="1:8">
      <c r="A9653" s="1249">
        <v>46093</v>
      </c>
      <c r="B9653" s="1250"/>
      <c r="C9653" s="1250" t="s">
        <v>79</v>
      </c>
      <c r="D9653" s="15" t="s">
        <v>3889</v>
      </c>
      <c r="E9653" s="1497">
        <v>40155</v>
      </c>
      <c r="F9653" s="1497"/>
      <c r="G9653" s="1250" t="s">
        <v>108</v>
      </c>
      <c r="H9653" s="3"/>
    </row>
    <row r="9654" spans="1:8">
      <c r="A9654" s="1248">
        <v>46093</v>
      </c>
      <c r="B9654" s="1246"/>
      <c r="C9654" s="1246" t="s">
        <v>150</v>
      </c>
      <c r="D9654" s="15" t="s">
        <v>252</v>
      </c>
      <c r="E9654" s="1497">
        <v>400000</v>
      </c>
      <c r="F9654" s="1497"/>
      <c r="G9654" s="1247" t="s">
        <v>56</v>
      </c>
      <c r="H9654" s="3"/>
    </row>
    <row r="9655" spans="1:8">
      <c r="A9655" s="1248">
        <v>46094</v>
      </c>
      <c r="B9655" s="1246"/>
      <c r="C9655" s="1246" t="s">
        <v>79</v>
      </c>
      <c r="D9655" s="15" t="s">
        <v>1926</v>
      </c>
      <c r="E9655" s="1497">
        <v>5000</v>
      </c>
      <c r="F9655" s="1497"/>
      <c r="G9655" s="1246" t="s">
        <v>56</v>
      </c>
      <c r="H9655" s="3"/>
    </row>
    <row r="9656" spans="1:8">
      <c r="A9656" s="1248">
        <v>46094</v>
      </c>
      <c r="B9656" s="1246"/>
      <c r="C9656" s="1246" t="s">
        <v>79</v>
      </c>
      <c r="D9656" s="3" t="s">
        <v>3905</v>
      </c>
      <c r="E9656" s="1497">
        <v>7000</v>
      </c>
      <c r="F9656" s="1497"/>
      <c r="G9656" s="1246" t="s">
        <v>56</v>
      </c>
      <c r="H9656" s="3"/>
    </row>
    <row r="9657" spans="1:8">
      <c r="A9657" s="1248">
        <v>46094</v>
      </c>
      <c r="B9657" s="1246"/>
      <c r="C9657" s="1246" t="s">
        <v>205</v>
      </c>
      <c r="D9657" s="3" t="s">
        <v>113</v>
      </c>
      <c r="E9657" s="1497">
        <v>182351</v>
      </c>
      <c r="F9657" s="1497"/>
      <c r="G9657" s="1246" t="s">
        <v>56</v>
      </c>
      <c r="H9657" s="3"/>
    </row>
    <row r="9658" spans="1:8">
      <c r="A9658" s="1248">
        <v>46094</v>
      </c>
      <c r="B9658" s="1247"/>
      <c r="C9658" s="1247" t="s">
        <v>92</v>
      </c>
      <c r="D9658" s="3" t="s">
        <v>4445</v>
      </c>
      <c r="E9658" s="1497"/>
      <c r="F9658" s="1497">
        <v>1078000</v>
      </c>
      <c r="G9658" s="1247" t="s">
        <v>27</v>
      </c>
      <c r="H9658" s="3"/>
    </row>
    <row r="9659" spans="1:8">
      <c r="A9659" s="1248">
        <v>46094</v>
      </c>
      <c r="B9659" s="1247"/>
      <c r="C9659" s="1247" t="s">
        <v>537</v>
      </c>
      <c r="D9659" s="3" t="s">
        <v>208</v>
      </c>
      <c r="E9659" s="1497">
        <v>305000</v>
      </c>
      <c r="F9659" s="1497"/>
      <c r="G9659" s="1247" t="s">
        <v>56</v>
      </c>
      <c r="H9659" s="3"/>
    </row>
    <row r="9660" spans="1:8">
      <c r="A9660" s="1248">
        <v>46094</v>
      </c>
      <c r="B9660" s="1247"/>
      <c r="C9660" s="1247" t="s">
        <v>537</v>
      </c>
      <c r="D9660" s="3" t="s">
        <v>219</v>
      </c>
      <c r="E9660" s="1497">
        <v>305000</v>
      </c>
      <c r="F9660" s="1497"/>
      <c r="G9660" s="1247" t="s">
        <v>27</v>
      </c>
      <c r="H9660" s="3"/>
    </row>
    <row r="9661" spans="1:8">
      <c r="A9661" s="1248">
        <v>46094</v>
      </c>
      <c r="B9661" s="1247"/>
      <c r="C9661" s="1247" t="s">
        <v>537</v>
      </c>
      <c r="D9661" s="3" t="s">
        <v>144</v>
      </c>
      <c r="E9661" s="1497">
        <v>190000</v>
      </c>
      <c r="F9661" s="1497"/>
      <c r="G9661" s="1247" t="s">
        <v>56</v>
      </c>
      <c r="H9661" s="3"/>
    </row>
    <row r="9662" spans="1:8">
      <c r="A9662" s="1248">
        <v>46094</v>
      </c>
      <c r="B9662" s="1247"/>
      <c r="C9662" s="1247" t="s">
        <v>537</v>
      </c>
      <c r="D9662" s="15" t="s">
        <v>144</v>
      </c>
      <c r="E9662" s="1497">
        <v>300000</v>
      </c>
      <c r="F9662" s="1497"/>
      <c r="G9662" s="1247" t="s">
        <v>56</v>
      </c>
      <c r="H9662" s="3"/>
    </row>
    <row r="9663" spans="1:8">
      <c r="A9663" s="1248">
        <v>46094</v>
      </c>
      <c r="B9663" s="1247"/>
      <c r="C9663" s="1247" t="s">
        <v>537</v>
      </c>
      <c r="D9663" s="15" t="s">
        <v>193</v>
      </c>
      <c r="E9663" s="1497">
        <v>170000</v>
      </c>
      <c r="F9663" s="1497"/>
      <c r="G9663" s="1247" t="s">
        <v>56</v>
      </c>
      <c r="H9663" s="3"/>
    </row>
    <row r="9664" spans="1:8">
      <c r="A9664" s="1248">
        <v>46094</v>
      </c>
      <c r="B9664" s="1247"/>
      <c r="C9664" s="1247" t="s">
        <v>150</v>
      </c>
      <c r="D9664" s="3" t="s">
        <v>4450</v>
      </c>
      <c r="E9664" s="1497"/>
      <c r="F9664" s="1497">
        <v>20000</v>
      </c>
      <c r="G9664" s="1247" t="s">
        <v>27</v>
      </c>
      <c r="H9664" s="3"/>
    </row>
    <row r="9665" spans="1:8">
      <c r="A9665" s="1248">
        <v>46094</v>
      </c>
      <c r="B9665" s="1247"/>
      <c r="C9665" s="1247" t="s">
        <v>150</v>
      </c>
      <c r="D9665" s="3" t="s">
        <v>4451</v>
      </c>
      <c r="E9665" s="1497">
        <v>20000</v>
      </c>
      <c r="F9665" s="1497"/>
      <c r="G9665" s="1247" t="s">
        <v>108</v>
      </c>
      <c r="H9665" s="3"/>
    </row>
    <row r="9666" spans="1:8" ht="15.75" thickBot="1">
      <c r="A9666" s="1248">
        <v>46094</v>
      </c>
      <c r="B9666" s="1247"/>
      <c r="C9666" s="1247"/>
      <c r="D9666" s="3" t="s">
        <v>61</v>
      </c>
      <c r="E9666" s="1497">
        <v>6000</v>
      </c>
      <c r="F9666" s="1497"/>
      <c r="G9666" s="1247"/>
      <c r="H9666" s="3"/>
    </row>
    <row r="9667" spans="1:8" ht="15.75" thickBot="1">
      <c r="H9667" s="201">
        <v>46087</v>
      </c>
    </row>
    <row r="9668" spans="1:8">
      <c r="H9668" s="803" t="s">
        <v>876</v>
      </c>
    </row>
    <row r="9669" spans="1:8">
      <c r="H9669" s="137" t="s">
        <v>4207</v>
      </c>
    </row>
    <row r="9670" spans="1:8">
      <c r="H9670" s="137" t="s">
        <v>4452</v>
      </c>
    </row>
    <row r="9671" spans="1:8">
      <c r="H9671" s="138" t="s">
        <v>4447</v>
      </c>
    </row>
    <row r="9672" spans="1:8">
      <c r="H9672" s="138" t="s">
        <v>4446</v>
      </c>
    </row>
    <row r="9673" spans="1:8">
      <c r="H9673" s="138" t="s">
        <v>4448</v>
      </c>
    </row>
    <row r="9674" spans="1:8">
      <c r="H9674" s="138" t="s">
        <v>4449</v>
      </c>
    </row>
    <row r="9675" spans="1:8">
      <c r="H9675" s="139" t="s">
        <v>4404</v>
      </c>
    </row>
    <row r="9676" spans="1:8">
      <c r="A9676" s="1249">
        <v>46097</v>
      </c>
      <c r="B9676" s="1250"/>
      <c r="C9676" s="1250" t="s">
        <v>55</v>
      </c>
      <c r="D9676" s="3" t="s">
        <v>514</v>
      </c>
      <c r="E9676" s="1497">
        <v>15000</v>
      </c>
      <c r="F9676" s="1497"/>
      <c r="G9676" s="1250" t="s">
        <v>27</v>
      </c>
      <c r="H9676" s="3"/>
    </row>
    <row r="9677" spans="1:8">
      <c r="A9677" s="1249">
        <v>46097</v>
      </c>
      <c r="B9677" s="1250"/>
      <c r="C9677" s="1250" t="s">
        <v>156</v>
      </c>
      <c r="D9677" s="3" t="s">
        <v>4453</v>
      </c>
      <c r="E9677" s="1497">
        <v>182332.44</v>
      </c>
      <c r="F9677" s="1497"/>
      <c r="G9677" s="1250" t="s">
        <v>27</v>
      </c>
      <c r="H9677" s="3"/>
    </row>
    <row r="9678" spans="1:8">
      <c r="A9678" s="1249">
        <v>46097</v>
      </c>
      <c r="B9678" s="1250"/>
      <c r="C9678" s="1250" t="s">
        <v>156</v>
      </c>
      <c r="D9678" s="3" t="s">
        <v>4454</v>
      </c>
      <c r="E9678" s="1497">
        <v>5633.45</v>
      </c>
      <c r="F9678" s="1497"/>
      <c r="G9678" s="1250" t="s">
        <v>27</v>
      </c>
      <c r="H9678" s="3"/>
    </row>
    <row r="9679" spans="1:8">
      <c r="A9679" s="1249">
        <v>46097</v>
      </c>
      <c r="B9679" s="1250"/>
      <c r="C9679" s="1250" t="s">
        <v>92</v>
      </c>
      <c r="D9679" s="3" t="s">
        <v>3950</v>
      </c>
      <c r="E9679" s="1497"/>
      <c r="F9679" s="1497">
        <v>400000</v>
      </c>
      <c r="G9679" s="1250" t="s">
        <v>996</v>
      </c>
      <c r="H9679" s="3"/>
    </row>
    <row r="9680" spans="1:8">
      <c r="A9680" s="1249">
        <v>46097</v>
      </c>
      <c r="B9680" s="1250"/>
      <c r="C9680" s="1250" t="s">
        <v>55</v>
      </c>
      <c r="D9680" s="3" t="s">
        <v>70</v>
      </c>
      <c r="E9680" s="1497">
        <v>9400</v>
      </c>
      <c r="F9680" s="1497"/>
      <c r="G9680" s="1250" t="s">
        <v>56</v>
      </c>
      <c r="H9680" s="3"/>
    </row>
    <row r="9681" spans="1:8">
      <c r="A9681" s="1249">
        <v>46097</v>
      </c>
      <c r="B9681" s="1250"/>
      <c r="C9681" s="1250" t="s">
        <v>327</v>
      </c>
      <c r="D9681" s="3" t="s">
        <v>4420</v>
      </c>
      <c r="E9681" s="1497"/>
      <c r="F9681" s="1497">
        <v>287600</v>
      </c>
      <c r="G9681" s="1250" t="s">
        <v>27</v>
      </c>
      <c r="H9681" s="3"/>
    </row>
    <row r="9682" spans="1:8">
      <c r="A9682" s="1252">
        <v>46097</v>
      </c>
      <c r="B9682" s="1250"/>
      <c r="C9682" s="1250" t="s">
        <v>4236</v>
      </c>
      <c r="D9682" s="3" t="s">
        <v>4455</v>
      </c>
      <c r="E9682" s="1497"/>
      <c r="F9682" s="1497">
        <v>2224000</v>
      </c>
      <c r="G9682" s="1250" t="s">
        <v>56</v>
      </c>
      <c r="H9682" s="3"/>
    </row>
    <row r="9683" spans="1:8">
      <c r="A9683" s="1252">
        <v>46097</v>
      </c>
      <c r="B9683" s="1250"/>
      <c r="C9683" s="1250" t="s">
        <v>77</v>
      </c>
      <c r="D9683" s="3" t="s">
        <v>4456</v>
      </c>
      <c r="E9683" s="1497"/>
      <c r="F9683" s="1497">
        <v>94000</v>
      </c>
      <c r="G9683" s="1250" t="s">
        <v>56</v>
      </c>
      <c r="H9683" s="3"/>
    </row>
    <row r="9684" spans="1:8">
      <c r="A9684" s="1252">
        <v>46097</v>
      </c>
      <c r="B9684" s="1251"/>
      <c r="C9684" s="1251" t="s">
        <v>77</v>
      </c>
      <c r="D9684" s="3" t="s">
        <v>49</v>
      </c>
      <c r="E9684" s="1497"/>
      <c r="F9684" s="1497">
        <v>1426000</v>
      </c>
      <c r="G9684" s="1251" t="s">
        <v>56</v>
      </c>
      <c r="H9684" s="3"/>
    </row>
    <row r="9685" spans="1:8">
      <c r="A9685" s="1252">
        <v>46097</v>
      </c>
      <c r="B9685" s="1251"/>
      <c r="C9685" s="1251" t="s">
        <v>205</v>
      </c>
      <c r="D9685" s="3" t="s">
        <v>49</v>
      </c>
      <c r="E9685" s="1497">
        <v>1426000</v>
      </c>
      <c r="F9685" s="1497"/>
      <c r="G9685" s="1251" t="s">
        <v>56</v>
      </c>
      <c r="H9685" s="3"/>
    </row>
    <row r="9686" spans="1:8">
      <c r="A9686" s="1252">
        <v>46098</v>
      </c>
      <c r="B9686" s="1250"/>
      <c r="C9686" s="1250" t="s">
        <v>730</v>
      </c>
      <c r="D9686" s="3" t="s">
        <v>3855</v>
      </c>
      <c r="E9686" s="1497">
        <v>250000</v>
      </c>
      <c r="F9686" s="1497"/>
      <c r="G9686" s="1250" t="s">
        <v>27</v>
      </c>
      <c r="H9686" s="3"/>
    </row>
    <row r="9687" spans="1:8">
      <c r="A9687" s="1252">
        <v>46098</v>
      </c>
      <c r="B9687" s="1250"/>
      <c r="C9687" s="1250" t="s">
        <v>205</v>
      </c>
      <c r="D9687" s="3" t="s">
        <v>48</v>
      </c>
      <c r="E9687" s="1497">
        <v>1600000</v>
      </c>
      <c r="F9687" s="1497"/>
      <c r="G9687" s="1250" t="s">
        <v>27</v>
      </c>
      <c r="H9687" s="3"/>
    </row>
    <row r="9688" spans="1:8">
      <c r="A9688" s="1252">
        <v>46098</v>
      </c>
      <c r="B9688" s="1250"/>
      <c r="C9688" s="1251" t="s">
        <v>205</v>
      </c>
      <c r="D9688" s="3" t="s">
        <v>48</v>
      </c>
      <c r="E9688" s="1497">
        <v>2000000</v>
      </c>
      <c r="F9688" s="1497"/>
      <c r="G9688" s="1250" t="s">
        <v>56</v>
      </c>
      <c r="H9688" s="3"/>
    </row>
    <row r="9689" spans="1:8">
      <c r="A9689" s="1252">
        <v>46098</v>
      </c>
      <c r="B9689" s="1251"/>
      <c r="C9689" s="1251" t="s">
        <v>205</v>
      </c>
      <c r="D9689" s="3" t="s">
        <v>48</v>
      </c>
      <c r="E9689" s="1497">
        <v>1800000</v>
      </c>
      <c r="F9689" s="1497"/>
      <c r="G9689" s="1251" t="s">
        <v>72</v>
      </c>
      <c r="H9689" s="3"/>
    </row>
    <row r="9690" spans="1:8">
      <c r="A9690" s="1252">
        <v>46098</v>
      </c>
      <c r="B9690" s="1251"/>
      <c r="C9690" s="1251" t="s">
        <v>205</v>
      </c>
      <c r="D9690" s="3" t="s">
        <v>48</v>
      </c>
      <c r="E9690" s="1497">
        <v>2073375</v>
      </c>
      <c r="F9690" s="1497"/>
      <c r="G9690" s="1251" t="s">
        <v>996</v>
      </c>
      <c r="H9690" s="3"/>
    </row>
    <row r="9691" spans="1:8">
      <c r="A9691" s="1252">
        <v>46098</v>
      </c>
      <c r="B9691" s="1251"/>
      <c r="C9691" s="1251" t="s">
        <v>205</v>
      </c>
      <c r="D9691" s="3" t="s">
        <v>48</v>
      </c>
      <c r="E9691" s="1497">
        <v>6395040</v>
      </c>
      <c r="F9691" s="1497"/>
      <c r="G9691" s="1251" t="s">
        <v>1742</v>
      </c>
      <c r="H9691" s="3"/>
    </row>
    <row r="9692" spans="1:8">
      <c r="A9692" s="1252">
        <v>46098</v>
      </c>
      <c r="B9692" s="1251"/>
      <c r="C9692" s="1251" t="s">
        <v>77</v>
      </c>
      <c r="D9692" s="3" t="s">
        <v>4458</v>
      </c>
      <c r="E9692" s="1497"/>
      <c r="F9692" s="1497">
        <v>770000</v>
      </c>
      <c r="G9692" s="1251" t="s">
        <v>27</v>
      </c>
      <c r="H9692" s="3"/>
    </row>
    <row r="9693" spans="1:8">
      <c r="A9693" s="1252">
        <v>46098</v>
      </c>
      <c r="B9693" s="1251"/>
      <c r="C9693" s="1251" t="s">
        <v>90</v>
      </c>
      <c r="D9693" s="3" t="s">
        <v>4457</v>
      </c>
      <c r="E9693" s="1497">
        <v>69196.42</v>
      </c>
      <c r="F9693" s="1497"/>
      <c r="G9693" s="1251" t="s">
        <v>27</v>
      </c>
      <c r="H9693" s="3"/>
    </row>
    <row r="9694" spans="1:8">
      <c r="A9694" s="1252">
        <v>46098</v>
      </c>
      <c r="B9694" s="1251"/>
      <c r="C9694" s="1251" t="s">
        <v>199</v>
      </c>
      <c r="D9694" s="3" t="s">
        <v>48</v>
      </c>
      <c r="E9694" s="1497">
        <v>215000</v>
      </c>
      <c r="F9694" s="1497"/>
      <c r="G9694" s="1251" t="s">
        <v>27</v>
      </c>
      <c r="H9694" s="3"/>
    </row>
    <row r="9695" spans="1:8">
      <c r="A9695" s="1252">
        <v>46098</v>
      </c>
      <c r="C9695" s="1251" t="s">
        <v>77</v>
      </c>
      <c r="D9695" s="3" t="s">
        <v>3816</v>
      </c>
      <c r="E9695" s="1497"/>
      <c r="F9695" s="1497">
        <v>842500</v>
      </c>
      <c r="G9695" s="1251" t="s">
        <v>56</v>
      </c>
      <c r="H9695" s="3"/>
    </row>
    <row r="9696" spans="1:8">
      <c r="A9696" s="119">
        <v>46098</v>
      </c>
      <c r="C9696" s="57" t="s">
        <v>205</v>
      </c>
      <c r="D9696" s="85" t="s">
        <v>38</v>
      </c>
      <c r="E9696" s="57">
        <v>2300</v>
      </c>
      <c r="F9696" s="57"/>
      <c r="G9696" s="57" t="s">
        <v>56</v>
      </c>
      <c r="H9696" s="85"/>
    </row>
    <row r="9697" spans="1:8">
      <c r="A9697" s="1253">
        <v>46098</v>
      </c>
      <c r="B9697" s="1251"/>
      <c r="C9697" s="1251" t="s">
        <v>55</v>
      </c>
      <c r="D9697" s="3" t="s">
        <v>478</v>
      </c>
      <c r="E9697" s="1497">
        <v>22500</v>
      </c>
      <c r="F9697" s="1497"/>
      <c r="G9697" s="1251" t="s">
        <v>56</v>
      </c>
      <c r="H9697" s="3"/>
    </row>
    <row r="9698" spans="1:8">
      <c r="A9698" s="1254">
        <v>46098</v>
      </c>
      <c r="B9698" s="1251"/>
      <c r="C9698" s="1251" t="s">
        <v>205</v>
      </c>
      <c r="D9698" s="3" t="s">
        <v>3717</v>
      </c>
      <c r="E9698" s="1497">
        <v>176000</v>
      </c>
      <c r="F9698" s="1497"/>
      <c r="G9698" s="1251" t="s">
        <v>27</v>
      </c>
      <c r="H9698" s="3"/>
    </row>
    <row r="9699" spans="1:8">
      <c r="A9699" s="1254">
        <v>46100</v>
      </c>
      <c r="B9699" s="1251"/>
      <c r="C9699" s="1251" t="s">
        <v>55</v>
      </c>
      <c r="D9699" s="3" t="s">
        <v>4459</v>
      </c>
      <c r="E9699" s="1497">
        <v>14081.86</v>
      </c>
      <c r="F9699" s="1497"/>
      <c r="G9699" s="1251" t="s">
        <v>56</v>
      </c>
      <c r="H9699" s="3"/>
    </row>
    <row r="9700" spans="1:8">
      <c r="A9700" s="1256">
        <v>46100</v>
      </c>
      <c r="B9700" s="1255"/>
      <c r="C9700" s="1255" t="s">
        <v>79</v>
      </c>
      <c r="D9700" s="3" t="s">
        <v>166</v>
      </c>
      <c r="E9700" s="1497">
        <v>577300</v>
      </c>
      <c r="F9700" s="1497"/>
      <c r="G9700" s="1255" t="s">
        <v>27</v>
      </c>
      <c r="H9700" s="3"/>
    </row>
    <row r="9701" spans="1:8">
      <c r="A9701" s="1256">
        <v>46100</v>
      </c>
      <c r="B9701" s="1255"/>
      <c r="C9701" s="1255" t="s">
        <v>327</v>
      </c>
      <c r="D9701" s="3" t="s">
        <v>3670</v>
      </c>
      <c r="E9701" s="1497"/>
      <c r="F9701" s="1497">
        <v>393000</v>
      </c>
      <c r="G9701" s="1255" t="s">
        <v>56</v>
      </c>
      <c r="H9701" s="3"/>
    </row>
    <row r="9702" spans="1:8">
      <c r="A9702" s="1256">
        <v>46100</v>
      </c>
      <c r="B9702" s="1255"/>
      <c r="C9702" s="1255" t="s">
        <v>77</v>
      </c>
      <c r="D9702" s="3" t="s">
        <v>4460</v>
      </c>
      <c r="E9702" s="1497"/>
      <c r="F9702" s="1497">
        <v>290000</v>
      </c>
      <c r="G9702" s="1255" t="s">
        <v>56</v>
      </c>
      <c r="H9702" s="3"/>
    </row>
    <row r="9703" spans="1:8">
      <c r="A9703" s="1256">
        <v>46100</v>
      </c>
      <c r="B9703" s="1255"/>
      <c r="C9703" s="1255" t="s">
        <v>77</v>
      </c>
      <c r="D9703" s="3" t="s">
        <v>4461</v>
      </c>
      <c r="E9703" s="1497"/>
      <c r="F9703" s="1497">
        <v>1386000</v>
      </c>
      <c r="G9703" s="1255" t="s">
        <v>56</v>
      </c>
      <c r="H9703" s="3"/>
    </row>
    <row r="9704" spans="1:8">
      <c r="A9704" s="112">
        <v>46100</v>
      </c>
      <c r="B9704" s="70"/>
      <c r="C9704" s="70"/>
      <c r="D9704" s="113" t="s">
        <v>136</v>
      </c>
      <c r="E9704" s="70">
        <v>33000</v>
      </c>
      <c r="F9704" s="70"/>
      <c r="G9704" s="70" t="s">
        <v>56</v>
      </c>
      <c r="H9704" s="113"/>
    </row>
    <row r="9705" spans="1:8">
      <c r="A9705" s="1256">
        <v>46101</v>
      </c>
      <c r="B9705" s="1255"/>
      <c r="C9705" s="1255" t="s">
        <v>92</v>
      </c>
      <c r="D9705" s="15" t="s">
        <v>46</v>
      </c>
      <c r="E9705" s="1497"/>
      <c r="F9705" s="1497">
        <v>85500</v>
      </c>
      <c r="G9705" s="1255" t="s">
        <v>27</v>
      </c>
      <c r="H9705" s="3"/>
    </row>
    <row r="9706" spans="1:8">
      <c r="A9706" s="1256">
        <v>46101</v>
      </c>
      <c r="B9706" s="1255"/>
      <c r="C9706" s="1255" t="s">
        <v>537</v>
      </c>
      <c r="D9706" s="3" t="s">
        <v>208</v>
      </c>
      <c r="E9706" s="1497">
        <v>305000</v>
      </c>
      <c r="F9706" s="1497"/>
      <c r="G9706" s="1255" t="s">
        <v>56</v>
      </c>
      <c r="H9706" s="3"/>
    </row>
    <row r="9707" spans="1:8">
      <c r="A9707" s="1256">
        <v>46101</v>
      </c>
      <c r="B9707" s="1255"/>
      <c r="C9707" s="1255" t="s">
        <v>537</v>
      </c>
      <c r="D9707" s="3" t="s">
        <v>219</v>
      </c>
      <c r="E9707" s="1497">
        <v>305000</v>
      </c>
      <c r="F9707" s="1497"/>
      <c r="G9707" s="1255" t="s">
        <v>56</v>
      </c>
      <c r="H9707" s="3"/>
    </row>
    <row r="9708" spans="1:8">
      <c r="A9708" s="1256">
        <v>46101</v>
      </c>
      <c r="B9708" s="1255"/>
      <c r="C9708" s="1255" t="s">
        <v>537</v>
      </c>
      <c r="D9708" s="15" t="s">
        <v>144</v>
      </c>
      <c r="E9708" s="1497">
        <v>285000</v>
      </c>
      <c r="F9708" s="1497"/>
      <c r="G9708" s="1255" t="s">
        <v>56</v>
      </c>
      <c r="H9708" s="3"/>
    </row>
    <row r="9709" spans="1:8">
      <c r="A9709" s="1256">
        <v>46101</v>
      </c>
      <c r="B9709" s="1255"/>
      <c r="C9709" s="1255" t="s">
        <v>537</v>
      </c>
      <c r="D9709" s="15" t="s">
        <v>144</v>
      </c>
      <c r="E9709" s="1497">
        <v>300000</v>
      </c>
      <c r="F9709" s="1497"/>
      <c r="G9709" s="1255" t="s">
        <v>27</v>
      </c>
      <c r="H9709" s="3"/>
    </row>
    <row r="9710" spans="1:8">
      <c r="A9710" s="1256">
        <v>46101</v>
      </c>
      <c r="B9710" s="1255"/>
      <c r="C9710" s="1255" t="s">
        <v>537</v>
      </c>
      <c r="D9710" s="15" t="s">
        <v>193</v>
      </c>
      <c r="E9710" s="1497">
        <v>170000</v>
      </c>
      <c r="F9710" s="1497"/>
      <c r="G9710" s="1255" t="s">
        <v>56</v>
      </c>
      <c r="H9710" s="3"/>
    </row>
    <row r="9711" spans="1:8">
      <c r="A9711" s="1256">
        <v>46101</v>
      </c>
      <c r="B9711" s="1255"/>
      <c r="C9711" s="1255" t="s">
        <v>79</v>
      </c>
      <c r="D9711" s="3" t="s">
        <v>79</v>
      </c>
      <c r="E9711" s="1497">
        <v>1000000</v>
      </c>
      <c r="F9711" s="1497"/>
      <c r="G9711" s="1255" t="s">
        <v>56</v>
      </c>
      <c r="H9711" s="3"/>
    </row>
    <row r="9712" spans="1:8">
      <c r="A9712" s="1256">
        <v>46101</v>
      </c>
      <c r="B9712" s="1255"/>
      <c r="C9712" s="1255" t="s">
        <v>1495</v>
      </c>
      <c r="D9712" s="3" t="s">
        <v>1484</v>
      </c>
      <c r="E9712" s="1497">
        <v>75000</v>
      </c>
      <c r="F9712" s="1497"/>
      <c r="G9712" s="1255" t="s">
        <v>27</v>
      </c>
      <c r="H9712" s="3"/>
    </row>
    <row r="9713" spans="1:8">
      <c r="A9713" s="1255"/>
      <c r="B9713" s="1255"/>
      <c r="C9713" s="1255"/>
      <c r="D9713" s="3"/>
      <c r="E9713" s="1497"/>
      <c r="F9713" s="1497"/>
      <c r="G9713" s="1255"/>
      <c r="H9713" s="3"/>
    </row>
    <row r="9714" spans="1:8">
      <c r="A9714" s="1255"/>
      <c r="B9714" s="1255"/>
      <c r="C9714" s="1255"/>
      <c r="D9714" s="3"/>
      <c r="E9714" s="1497"/>
      <c r="F9714" s="1497"/>
      <c r="G9714" s="1255"/>
      <c r="H9714" s="3"/>
    </row>
    <row r="9715" spans="1:8">
      <c r="H9715" s="1259">
        <v>46101</v>
      </c>
    </row>
    <row r="9716" spans="1:8">
      <c r="H9716" s="133" t="s">
        <v>876</v>
      </c>
    </row>
    <row r="9717" spans="1:8">
      <c r="H9717" s="132" t="s">
        <v>4207</v>
      </c>
    </row>
    <row r="9718" spans="1:8">
      <c r="H9718" s="132" t="s">
        <v>4452</v>
      </c>
    </row>
    <row r="9719" spans="1:8">
      <c r="H9719" s="117" t="s">
        <v>4447</v>
      </c>
    </row>
    <row r="9720" spans="1:8">
      <c r="H9720" s="117" t="s">
        <v>4462</v>
      </c>
    </row>
    <row r="9721" spans="1:8">
      <c r="H9721" s="117" t="s">
        <v>4448</v>
      </c>
    </row>
    <row r="9722" spans="1:8">
      <c r="H9722" s="117" t="s">
        <v>4449</v>
      </c>
    </row>
    <row r="9723" spans="1:8">
      <c r="H9723" s="118" t="s">
        <v>4404</v>
      </c>
    </row>
    <row r="9724" spans="1:8">
      <c r="A9724" s="1257">
        <v>46106</v>
      </c>
      <c r="B9724" s="1258"/>
      <c r="C9724" s="1258" t="s">
        <v>79</v>
      </c>
      <c r="D9724" s="3" t="s">
        <v>4466</v>
      </c>
      <c r="E9724" s="1497">
        <v>245066.94</v>
      </c>
      <c r="F9724" s="1497"/>
      <c r="G9724" s="1258" t="s">
        <v>27</v>
      </c>
      <c r="H9724" s="3"/>
    </row>
    <row r="9725" spans="1:8">
      <c r="A9725" s="1257">
        <v>46106</v>
      </c>
      <c r="B9725" s="1258"/>
      <c r="C9725" s="1258" t="s">
        <v>79</v>
      </c>
      <c r="D9725" s="3" t="s">
        <v>4468</v>
      </c>
      <c r="E9725" s="1497">
        <v>203700</v>
      </c>
      <c r="F9725" s="1497"/>
      <c r="G9725" s="1258" t="s">
        <v>27</v>
      </c>
      <c r="H9725" s="3"/>
    </row>
    <row r="9726" spans="1:8">
      <c r="A9726" s="1257">
        <v>46106</v>
      </c>
      <c r="B9726" s="1258"/>
      <c r="C9726" s="1258" t="s">
        <v>79</v>
      </c>
      <c r="D9726" s="3" t="s">
        <v>4467</v>
      </c>
      <c r="E9726" s="1497">
        <v>76217</v>
      </c>
      <c r="F9726" s="1497"/>
      <c r="G9726" s="1258" t="s">
        <v>27</v>
      </c>
      <c r="H9726" s="3"/>
    </row>
    <row r="9727" spans="1:8">
      <c r="A9727" s="1257">
        <v>46106</v>
      </c>
      <c r="B9727" s="1258"/>
      <c r="C9727" s="1258" t="s">
        <v>174</v>
      </c>
      <c r="D9727" s="3" t="s">
        <v>3770</v>
      </c>
      <c r="E9727" s="1497">
        <v>69618</v>
      </c>
      <c r="F9727" s="1497"/>
      <c r="G9727" s="1258" t="s">
        <v>27</v>
      </c>
      <c r="H9727" s="3"/>
    </row>
    <row r="9728" spans="1:8">
      <c r="A9728" s="1257">
        <v>46106</v>
      </c>
      <c r="B9728" s="1258"/>
      <c r="C9728" s="1258" t="s">
        <v>79</v>
      </c>
      <c r="D9728" s="3" t="s">
        <v>3456</v>
      </c>
      <c r="E9728" s="1497">
        <v>14347.81</v>
      </c>
      <c r="F9728" s="1497"/>
      <c r="G9728" s="1258" t="s">
        <v>27</v>
      </c>
      <c r="H9728" s="3"/>
    </row>
    <row r="9729" spans="1:8">
      <c r="A9729" s="1257">
        <v>46106</v>
      </c>
      <c r="B9729" s="1258"/>
      <c r="C9729" s="1258" t="s">
        <v>205</v>
      </c>
      <c r="D9729" s="3" t="s">
        <v>2358</v>
      </c>
      <c r="E9729" s="1497">
        <v>75000</v>
      </c>
      <c r="F9729" s="1497"/>
      <c r="G9729" s="1258" t="s">
        <v>27</v>
      </c>
      <c r="H9729" s="3"/>
    </row>
    <row r="9730" spans="1:8">
      <c r="A9730" s="1257">
        <v>46107</v>
      </c>
      <c r="B9730" s="1258"/>
      <c r="C9730" s="1258" t="s">
        <v>92</v>
      </c>
      <c r="D9730" s="3" t="s">
        <v>4463</v>
      </c>
      <c r="E9730" s="1497"/>
      <c r="F9730" s="1497">
        <v>450000</v>
      </c>
      <c r="G9730" s="1258" t="s">
        <v>27</v>
      </c>
      <c r="H9730" s="3"/>
    </row>
    <row r="9731" spans="1:8">
      <c r="A9731" s="1257">
        <v>46107</v>
      </c>
      <c r="B9731" s="1258"/>
      <c r="C9731" s="1258" t="s">
        <v>199</v>
      </c>
      <c r="D9731" s="3" t="s">
        <v>4464</v>
      </c>
      <c r="E9731" s="1497"/>
      <c r="F9731" s="1497">
        <v>1280400</v>
      </c>
      <c r="G9731" s="1258" t="s">
        <v>996</v>
      </c>
      <c r="H9731" s="3"/>
    </row>
    <row r="9732" spans="1:8">
      <c r="A9732" s="1257">
        <v>46107</v>
      </c>
      <c r="B9732" s="1258"/>
      <c r="C9732" s="1258" t="s">
        <v>199</v>
      </c>
      <c r="D9732" s="3" t="s">
        <v>4465</v>
      </c>
      <c r="E9732" s="1497"/>
      <c r="F9732" s="1497">
        <v>698000</v>
      </c>
      <c r="G9732" s="1258" t="s">
        <v>996</v>
      </c>
      <c r="H9732" s="3"/>
    </row>
    <row r="9733" spans="1:8">
      <c r="A9733" s="1257">
        <v>46107</v>
      </c>
      <c r="B9733" s="1258"/>
      <c r="C9733" s="1258" t="s">
        <v>79</v>
      </c>
      <c r="D9733" s="15" t="s">
        <v>4469</v>
      </c>
      <c r="E9733" s="1497"/>
      <c r="F9733" s="1497">
        <v>110000</v>
      </c>
      <c r="G9733" s="1258" t="s">
        <v>56</v>
      </c>
      <c r="H9733" s="75" t="s">
        <v>4470</v>
      </c>
    </row>
    <row r="9734" spans="1:8">
      <c r="A9734" s="1257">
        <v>46107</v>
      </c>
      <c r="B9734" s="1258"/>
      <c r="C9734" s="1258" t="s">
        <v>79</v>
      </c>
      <c r="D9734" s="3" t="s">
        <v>4471</v>
      </c>
      <c r="E9734" s="1497">
        <v>180000</v>
      </c>
      <c r="F9734" s="1497"/>
      <c r="G9734" s="1258" t="s">
        <v>56</v>
      </c>
      <c r="H9734" s="3"/>
    </row>
    <row r="9735" spans="1:8">
      <c r="A9735" s="1257">
        <v>46107</v>
      </c>
      <c r="B9735" s="1258"/>
      <c r="C9735" s="1258" t="s">
        <v>79</v>
      </c>
      <c r="D9735" s="3" t="s">
        <v>3409</v>
      </c>
      <c r="E9735" s="1497">
        <v>220000</v>
      </c>
      <c r="F9735" s="1497"/>
      <c r="G9735" s="1258" t="s">
        <v>56</v>
      </c>
      <c r="H9735" s="113" t="s">
        <v>4472</v>
      </c>
    </row>
    <row r="9736" spans="1:8">
      <c r="A9736" s="1261">
        <v>46107</v>
      </c>
      <c r="B9736" s="1260"/>
      <c r="C9736" s="1260" t="s">
        <v>92</v>
      </c>
      <c r="D9736" s="3" t="s">
        <v>1308</v>
      </c>
      <c r="E9736" s="1497"/>
      <c r="F9736" s="1497">
        <v>315200</v>
      </c>
      <c r="G9736" s="1260" t="s">
        <v>27</v>
      </c>
      <c r="H9736" s="3"/>
    </row>
    <row r="9737" spans="1:8">
      <c r="A9737" s="1261">
        <v>46107</v>
      </c>
      <c r="B9737" s="1260"/>
      <c r="C9737" s="1260" t="s">
        <v>205</v>
      </c>
      <c r="D9737" s="3" t="s">
        <v>53</v>
      </c>
      <c r="E9737" s="1497">
        <v>95000</v>
      </c>
      <c r="F9737" s="1497"/>
      <c r="G9737" s="1260" t="s">
        <v>27</v>
      </c>
      <c r="H9737" s="3"/>
    </row>
    <row r="9738" spans="1:8">
      <c r="A9738" s="1261">
        <v>46107</v>
      </c>
      <c r="B9738" s="1260"/>
      <c r="C9738" s="1260" t="s">
        <v>205</v>
      </c>
      <c r="D9738" s="3" t="s">
        <v>238</v>
      </c>
      <c r="E9738" s="1497">
        <v>116720.01</v>
      </c>
      <c r="F9738" s="1497"/>
      <c r="G9738" s="1260" t="s">
        <v>27</v>
      </c>
      <c r="H9738" s="3"/>
    </row>
    <row r="9739" spans="1:8">
      <c r="A9739" s="1261">
        <v>46107</v>
      </c>
      <c r="B9739" s="1260"/>
      <c r="C9739" s="1260" t="s">
        <v>90</v>
      </c>
      <c r="D9739" s="15" t="s">
        <v>1951</v>
      </c>
      <c r="E9739" s="1497">
        <v>20000</v>
      </c>
      <c r="F9739" s="1497"/>
      <c r="G9739" s="1260" t="s">
        <v>56</v>
      </c>
      <c r="H9739" s="3"/>
    </row>
    <row r="9740" spans="1:8">
      <c r="A9740" s="1261">
        <v>46107</v>
      </c>
      <c r="B9740" s="1260"/>
      <c r="C9740" s="1260" t="s">
        <v>205</v>
      </c>
      <c r="D9740" s="3" t="s">
        <v>63</v>
      </c>
      <c r="E9740" s="1497">
        <v>3300</v>
      </c>
      <c r="F9740" s="1497"/>
      <c r="G9740" s="1260" t="s">
        <v>56</v>
      </c>
      <c r="H9740" s="3"/>
    </row>
    <row r="9741" spans="1:8">
      <c r="A9741" s="1261">
        <v>46107</v>
      </c>
      <c r="B9741" s="1260"/>
      <c r="C9741" s="1260" t="s">
        <v>205</v>
      </c>
      <c r="D9741" s="3" t="s">
        <v>1852</v>
      </c>
      <c r="E9741" s="1497">
        <v>20000</v>
      </c>
      <c r="F9741" s="1497"/>
      <c r="G9741" s="1260" t="s">
        <v>56</v>
      </c>
      <c r="H9741" s="3"/>
    </row>
    <row r="9742" spans="1:8">
      <c r="A9742" s="1261">
        <v>46107</v>
      </c>
      <c r="B9742" s="1260"/>
      <c r="C9742" s="1260" t="s">
        <v>205</v>
      </c>
      <c r="D9742" s="3" t="s">
        <v>38</v>
      </c>
      <c r="E9742" s="1497">
        <v>6755</v>
      </c>
      <c r="F9742" s="1497"/>
      <c r="G9742" s="1260" t="s">
        <v>56</v>
      </c>
      <c r="H9742" s="3"/>
    </row>
    <row r="9743" spans="1:8">
      <c r="A9743" s="1261">
        <v>46107</v>
      </c>
      <c r="B9743" s="1260"/>
      <c r="C9743" s="1260" t="s">
        <v>79</v>
      </c>
      <c r="D9743" s="3" t="s">
        <v>3016</v>
      </c>
      <c r="E9743" s="1497">
        <v>630382.93000000005</v>
      </c>
      <c r="F9743" s="1497"/>
      <c r="G9743" s="1260" t="s">
        <v>27</v>
      </c>
      <c r="H9743" s="3"/>
    </row>
    <row r="9744" spans="1:8">
      <c r="A9744" s="1261">
        <v>46107</v>
      </c>
      <c r="B9744" s="1260"/>
      <c r="C9744" s="1260" t="s">
        <v>90</v>
      </c>
      <c r="D9744" s="3" t="s">
        <v>2355</v>
      </c>
      <c r="E9744" s="1497">
        <v>6300000</v>
      </c>
      <c r="F9744" s="1497"/>
      <c r="G9744" s="1260" t="s">
        <v>56</v>
      </c>
      <c r="H9744" s="3"/>
    </row>
    <row r="9745" spans="1:8">
      <c r="A9745" s="1261">
        <v>46107</v>
      </c>
      <c r="B9745" s="1260"/>
      <c r="C9745" s="1260" t="s">
        <v>79</v>
      </c>
      <c r="D9745" s="3" t="s">
        <v>1218</v>
      </c>
      <c r="E9745" s="1497">
        <v>696000</v>
      </c>
      <c r="F9745" s="1497"/>
      <c r="G9745" s="1260" t="s">
        <v>56</v>
      </c>
      <c r="H9745" s="3"/>
    </row>
    <row r="9746" spans="1:8">
      <c r="A9746" s="1261">
        <v>46108</v>
      </c>
      <c r="B9746" s="1260"/>
      <c r="C9746" s="1260" t="s">
        <v>537</v>
      </c>
      <c r="D9746" s="3" t="s">
        <v>219</v>
      </c>
      <c r="E9746" s="1497">
        <v>305000</v>
      </c>
      <c r="F9746" s="1497"/>
      <c r="G9746" s="1264" t="s">
        <v>56</v>
      </c>
      <c r="H9746" s="3"/>
    </row>
    <row r="9747" spans="1:8">
      <c r="A9747" s="1263">
        <v>46108</v>
      </c>
      <c r="B9747" s="1260"/>
      <c r="C9747" s="1264" t="s">
        <v>537</v>
      </c>
      <c r="D9747" s="3" t="s">
        <v>208</v>
      </c>
      <c r="E9747" s="1497">
        <v>305000</v>
      </c>
      <c r="F9747" s="1497"/>
      <c r="G9747" s="1264" t="s">
        <v>56</v>
      </c>
      <c r="H9747" s="3"/>
    </row>
    <row r="9748" spans="1:8">
      <c r="A9748" s="1263">
        <v>46108</v>
      </c>
      <c r="B9748" s="1260"/>
      <c r="C9748" s="1264" t="s">
        <v>537</v>
      </c>
      <c r="D9748" s="3" t="s">
        <v>144</v>
      </c>
      <c r="E9748" s="1497">
        <v>585000</v>
      </c>
      <c r="F9748" s="1497"/>
      <c r="G9748" s="1264" t="s">
        <v>56</v>
      </c>
      <c r="H9748" s="3"/>
    </row>
    <row r="9749" spans="1:8">
      <c r="A9749" s="1263">
        <v>46108</v>
      </c>
      <c r="B9749" s="1260"/>
      <c r="C9749" s="1264" t="s">
        <v>537</v>
      </c>
      <c r="D9749" s="3" t="s">
        <v>193</v>
      </c>
      <c r="E9749" s="1497">
        <v>170000</v>
      </c>
      <c r="F9749" s="1497"/>
      <c r="G9749" s="1264" t="s">
        <v>56</v>
      </c>
      <c r="H9749" s="3"/>
    </row>
    <row r="9750" spans="1:8">
      <c r="A9750" s="1263">
        <v>46108</v>
      </c>
      <c r="B9750" s="1264"/>
      <c r="C9750" s="1264" t="s">
        <v>90</v>
      </c>
      <c r="D9750" s="3" t="s">
        <v>4473</v>
      </c>
      <c r="E9750" s="1497">
        <v>80000</v>
      </c>
      <c r="F9750" s="1497"/>
      <c r="G9750" s="1264" t="s">
        <v>56</v>
      </c>
      <c r="H9750" s="3"/>
    </row>
    <row r="9751" spans="1:8" ht="15.75" thickBot="1">
      <c r="A9751" s="1263">
        <v>46108</v>
      </c>
      <c r="B9751" s="1264"/>
      <c r="C9751" s="1264" t="s">
        <v>205</v>
      </c>
      <c r="D9751" s="3" t="s">
        <v>859</v>
      </c>
      <c r="E9751" s="1497">
        <v>250000</v>
      </c>
      <c r="F9751" s="1497"/>
      <c r="G9751" s="1264" t="s">
        <v>56</v>
      </c>
      <c r="H9751" s="85"/>
    </row>
    <row r="9752" spans="1:8">
      <c r="A9752" s="1264"/>
      <c r="B9752" s="1264"/>
      <c r="C9752" s="1264"/>
      <c r="D9752" s="3"/>
      <c r="E9752" s="1497"/>
      <c r="F9752" s="1497"/>
      <c r="G9752" s="1262"/>
      <c r="H9752" s="1226">
        <v>46108</v>
      </c>
    </row>
    <row r="9753" spans="1:8">
      <c r="A9753" s="1264"/>
      <c r="B9753" s="1264"/>
      <c r="C9753" s="1264"/>
      <c r="D9753" s="3"/>
      <c r="E9753" s="1497"/>
      <c r="F9753" s="1497"/>
      <c r="G9753" s="1262"/>
      <c r="H9753" s="136" t="s">
        <v>876</v>
      </c>
    </row>
    <row r="9754" spans="1:8">
      <c r="A9754" s="1264"/>
      <c r="B9754" s="1264"/>
      <c r="C9754" s="1264"/>
      <c r="D9754" s="3"/>
      <c r="E9754" s="1497"/>
      <c r="F9754" s="1497"/>
      <c r="G9754" s="1262"/>
      <c r="H9754" s="137" t="s">
        <v>4207</v>
      </c>
    </row>
    <row r="9755" spans="1:8">
      <c r="H9755" s="137" t="s">
        <v>4476</v>
      </c>
    </row>
    <row r="9756" spans="1:8">
      <c r="H9756" s="138" t="s">
        <v>4474</v>
      </c>
    </row>
    <row r="9757" spans="1:8">
      <c r="H9757" s="138" t="s">
        <v>4477</v>
      </c>
    </row>
    <row r="9758" spans="1:8">
      <c r="H9758" s="138" t="s">
        <v>4475</v>
      </c>
    </row>
    <row r="9759" spans="1:8">
      <c r="H9759" s="138" t="s">
        <v>4334</v>
      </c>
    </row>
    <row r="9760" spans="1:8">
      <c r="H9760" s="139" t="s">
        <v>3933</v>
      </c>
    </row>
    <row r="9761" spans="1:8">
      <c r="A9761" s="1266">
        <v>46111</v>
      </c>
      <c r="B9761" s="1265"/>
      <c r="C9761" s="1265" t="s">
        <v>86</v>
      </c>
      <c r="D9761" s="3" t="s">
        <v>104</v>
      </c>
      <c r="E9761" s="1497">
        <v>20000</v>
      </c>
      <c r="F9761" s="1497"/>
      <c r="G9761" s="1265" t="s">
        <v>56</v>
      </c>
      <c r="H9761" s="117"/>
    </row>
    <row r="9762" spans="1:8">
      <c r="A9762" s="1266">
        <v>46111</v>
      </c>
      <c r="B9762" s="1265"/>
      <c r="C9762" s="1265" t="s">
        <v>433</v>
      </c>
      <c r="D9762" s="3" t="s">
        <v>4478</v>
      </c>
      <c r="E9762" s="1497">
        <v>39000</v>
      </c>
      <c r="F9762" s="1497"/>
      <c r="G9762" s="1265" t="s">
        <v>27</v>
      </c>
      <c r="H9762" s="3"/>
    </row>
    <row r="9763" spans="1:8">
      <c r="A9763" s="1266">
        <v>46111</v>
      </c>
      <c r="B9763" s="1265"/>
      <c r="C9763" s="1265" t="s">
        <v>433</v>
      </c>
      <c r="D9763" s="3" t="s">
        <v>155</v>
      </c>
      <c r="E9763" s="1497">
        <v>8190</v>
      </c>
      <c r="F9763" s="1497"/>
      <c r="G9763" s="1265" t="s">
        <v>27</v>
      </c>
      <c r="H9763" s="3"/>
    </row>
    <row r="9764" spans="1:8">
      <c r="A9764" s="1266">
        <v>46111</v>
      </c>
      <c r="B9764" s="1265"/>
      <c r="C9764" s="1265" t="s">
        <v>77</v>
      </c>
      <c r="D9764" s="3" t="s">
        <v>4479</v>
      </c>
      <c r="E9764" s="1497"/>
      <c r="F9764" s="1497">
        <v>48000</v>
      </c>
      <c r="G9764" s="1265" t="s">
        <v>56</v>
      </c>
      <c r="H9764" s="3"/>
    </row>
    <row r="9765" spans="1:8">
      <c r="A9765" s="1266">
        <v>46111</v>
      </c>
      <c r="B9765" s="1265"/>
      <c r="C9765" s="1265" t="s">
        <v>86</v>
      </c>
      <c r="D9765" s="3" t="s">
        <v>104</v>
      </c>
      <c r="E9765" s="1497">
        <v>30000</v>
      </c>
      <c r="F9765" s="1497"/>
      <c r="G9765" s="1265" t="s">
        <v>56</v>
      </c>
      <c r="H9765" s="3"/>
    </row>
    <row r="9766" spans="1:8">
      <c r="A9766" s="1266">
        <v>46111</v>
      </c>
      <c r="B9766" s="1265"/>
      <c r="C9766" s="1265" t="s">
        <v>86</v>
      </c>
      <c r="D9766" s="3" t="s">
        <v>107</v>
      </c>
      <c r="E9766" s="1497">
        <v>20000</v>
      </c>
      <c r="F9766" s="1497"/>
      <c r="G9766" s="1265" t="s">
        <v>56</v>
      </c>
      <c r="H9766" s="3"/>
    </row>
    <row r="9767" spans="1:8">
      <c r="A9767" s="1267">
        <v>46112</v>
      </c>
      <c r="B9767" s="1265"/>
      <c r="C9767" s="1265" t="s">
        <v>77</v>
      </c>
      <c r="D9767" s="3" t="s">
        <v>4480</v>
      </c>
      <c r="E9767" s="1497"/>
      <c r="F9767" s="1497">
        <v>1760000</v>
      </c>
      <c r="G9767" s="1265" t="s">
        <v>56</v>
      </c>
      <c r="H9767" s="3"/>
    </row>
    <row r="9768" spans="1:8">
      <c r="A9768" s="1267">
        <v>46112</v>
      </c>
      <c r="B9768" s="1265"/>
      <c r="C9768" s="1265" t="s">
        <v>3021</v>
      </c>
      <c r="D9768" s="3" t="s">
        <v>104</v>
      </c>
      <c r="E9768" s="1497">
        <v>30000</v>
      </c>
      <c r="F9768" s="1497"/>
      <c r="G9768" s="1265" t="s">
        <v>56</v>
      </c>
      <c r="H9768" s="3" t="s">
        <v>4481</v>
      </c>
    </row>
    <row r="9769" spans="1:8">
      <c r="A9769" s="1272">
        <v>46112</v>
      </c>
      <c r="B9769" s="70"/>
      <c r="C9769" s="1268" t="s">
        <v>55</v>
      </c>
      <c r="D9769" s="89" t="s">
        <v>38</v>
      </c>
      <c r="E9769" s="12">
        <v>2100</v>
      </c>
      <c r="F9769" s="12"/>
      <c r="G9769" s="12" t="s">
        <v>56</v>
      </c>
      <c r="H9769" s="3"/>
    </row>
    <row r="9770" spans="1:8">
      <c r="A9770" s="1267">
        <v>46112</v>
      </c>
      <c r="B9770" s="1265"/>
      <c r="C9770" s="1265" t="s">
        <v>55</v>
      </c>
      <c r="D9770" s="3" t="s">
        <v>38</v>
      </c>
      <c r="E9770" s="1497">
        <v>1600</v>
      </c>
      <c r="F9770" s="1497"/>
      <c r="G9770" s="1265" t="s">
        <v>56</v>
      </c>
      <c r="H9770" s="3"/>
    </row>
    <row r="9771" spans="1:8">
      <c r="A9771" s="1267">
        <v>46112</v>
      </c>
      <c r="B9771" s="1265"/>
      <c r="C9771" s="1265" t="s">
        <v>86</v>
      </c>
      <c r="D9771" s="3" t="s">
        <v>3964</v>
      </c>
      <c r="E9771" s="1497">
        <v>30000</v>
      </c>
      <c r="F9771" s="1497"/>
      <c r="G9771" s="1265" t="s">
        <v>27</v>
      </c>
      <c r="H9771" s="3"/>
    </row>
    <row r="9772" spans="1:8">
      <c r="A9772" s="1267">
        <v>46112</v>
      </c>
      <c r="B9772" s="1268"/>
      <c r="C9772" s="1268" t="s">
        <v>92</v>
      </c>
      <c r="D9772" s="3" t="s">
        <v>4482</v>
      </c>
      <c r="E9772" s="1497"/>
      <c r="F9772" s="1497">
        <v>970000</v>
      </c>
      <c r="G9772" s="1268" t="s">
        <v>56</v>
      </c>
      <c r="H9772" s="3"/>
    </row>
    <row r="9773" spans="1:8">
      <c r="A9773" s="1267">
        <v>46112</v>
      </c>
      <c r="B9773" s="1268"/>
      <c r="C9773" s="1268" t="s">
        <v>1495</v>
      </c>
      <c r="D9773" s="3" t="s">
        <v>4483</v>
      </c>
      <c r="E9773" s="1497">
        <v>75000</v>
      </c>
      <c r="F9773" s="1497"/>
      <c r="G9773" s="1268" t="s">
        <v>56</v>
      </c>
      <c r="H9773" s="3"/>
    </row>
    <row r="9774" spans="1:8" ht="15.75" thickBot="1">
      <c r="A9774" s="1267">
        <v>46112</v>
      </c>
      <c r="B9774" s="1268"/>
      <c r="C9774" s="1268" t="s">
        <v>1770</v>
      </c>
      <c r="D9774" s="3" t="s">
        <v>4484</v>
      </c>
      <c r="E9774" s="1497">
        <v>63748.800000000003</v>
      </c>
      <c r="F9774" s="1497"/>
      <c r="G9774" s="1268" t="s">
        <v>27</v>
      </c>
      <c r="H9774" s="3"/>
    </row>
    <row r="9775" spans="1:8">
      <c r="A9775" s="1270">
        <v>46112</v>
      </c>
      <c r="B9775" s="1269"/>
      <c r="C9775" s="1269" t="s">
        <v>90</v>
      </c>
      <c r="D9775" s="3" t="s">
        <v>4485</v>
      </c>
      <c r="E9775" s="1497">
        <v>100000</v>
      </c>
      <c r="F9775" s="1497"/>
      <c r="G9775" s="1271" t="s">
        <v>27</v>
      </c>
      <c r="H9775" s="1226">
        <v>46112</v>
      </c>
    </row>
    <row r="9776" spans="1:8">
      <c r="A9776" s="1270">
        <v>46112</v>
      </c>
      <c r="B9776" s="1269"/>
      <c r="C9776" s="1269" t="s">
        <v>90</v>
      </c>
      <c r="D9776" s="3" t="s">
        <v>4487</v>
      </c>
      <c r="E9776" s="1497">
        <v>433831.35</v>
      </c>
      <c r="F9776" s="1497"/>
      <c r="G9776" s="1271" t="s">
        <v>56</v>
      </c>
      <c r="H9776" s="136" t="s">
        <v>876</v>
      </c>
    </row>
    <row r="9777" spans="1:8">
      <c r="H9777" s="137" t="s">
        <v>4207</v>
      </c>
    </row>
    <row r="9778" spans="1:8">
      <c r="H9778" s="137" t="s">
        <v>4476</v>
      </c>
    </row>
    <row r="9779" spans="1:8">
      <c r="H9779" s="138" t="s">
        <v>4474</v>
      </c>
    </row>
    <row r="9780" spans="1:8">
      <c r="H9780" s="138" t="s">
        <v>4477</v>
      </c>
    </row>
    <row r="9781" spans="1:8">
      <c r="H9781" s="138" t="s">
        <v>4486</v>
      </c>
    </row>
    <row r="9782" spans="1:8">
      <c r="H9782" s="138" t="s">
        <v>4334</v>
      </c>
    </row>
    <row r="9783" spans="1:8">
      <c r="H9783" s="139" t="s">
        <v>3933</v>
      </c>
    </row>
    <row r="9784" spans="1:8">
      <c r="A9784" s="1270">
        <v>46113</v>
      </c>
      <c r="B9784" s="1269"/>
      <c r="C9784" s="1269" t="s">
        <v>77</v>
      </c>
      <c r="D9784" s="3" t="s">
        <v>4489</v>
      </c>
      <c r="E9784" s="1497">
        <v>795000</v>
      </c>
      <c r="F9784" s="1497"/>
      <c r="G9784" s="1269" t="s">
        <v>56</v>
      </c>
      <c r="H9784" s="45" t="s">
        <v>4490</v>
      </c>
    </row>
    <row r="9785" spans="1:8">
      <c r="A9785" s="1270">
        <v>46113</v>
      </c>
      <c r="B9785" s="1269"/>
      <c r="C9785" s="1269" t="s">
        <v>77</v>
      </c>
      <c r="D9785" s="3" t="s">
        <v>3662</v>
      </c>
      <c r="E9785" s="1497"/>
      <c r="F9785" s="1497">
        <v>4008000</v>
      </c>
      <c r="G9785" s="1269" t="s">
        <v>996</v>
      </c>
      <c r="H9785" s="45" t="s">
        <v>4490</v>
      </c>
    </row>
    <row r="9786" spans="1:8">
      <c r="A9786" s="1270">
        <v>46113</v>
      </c>
      <c r="B9786" s="1269"/>
      <c r="C9786" s="1269" t="s">
        <v>537</v>
      </c>
      <c r="D9786" s="3" t="s">
        <v>4493</v>
      </c>
      <c r="E9786" s="1497">
        <v>120000</v>
      </c>
      <c r="F9786" s="1497"/>
      <c r="G9786" s="1269" t="s">
        <v>56</v>
      </c>
      <c r="H9786" s="3"/>
    </row>
    <row r="9787" spans="1:8">
      <c r="A9787" s="1270">
        <v>46113</v>
      </c>
      <c r="B9787" s="1269"/>
      <c r="C9787" s="1269" t="s">
        <v>537</v>
      </c>
      <c r="D9787" s="3" t="s">
        <v>4492</v>
      </c>
      <c r="E9787" s="1497">
        <v>250000</v>
      </c>
      <c r="F9787" s="1497"/>
      <c r="G9787" s="1269" t="s">
        <v>56</v>
      </c>
      <c r="H9787" s="3"/>
    </row>
    <row r="9788" spans="1:8">
      <c r="A9788" s="1270">
        <v>46113</v>
      </c>
      <c r="B9788" s="1269"/>
      <c r="C9788" s="1269" t="s">
        <v>537</v>
      </c>
      <c r="D9788" s="3" t="s">
        <v>219</v>
      </c>
      <c r="E9788" s="1497">
        <v>330000</v>
      </c>
      <c r="F9788" s="1497"/>
      <c r="G9788" s="1269" t="s">
        <v>56</v>
      </c>
      <c r="H9788" s="3"/>
    </row>
    <row r="9789" spans="1:8">
      <c r="A9789" s="1270">
        <v>46113</v>
      </c>
      <c r="B9789" s="1269"/>
      <c r="C9789" s="1269" t="s">
        <v>537</v>
      </c>
      <c r="D9789" s="3" t="s">
        <v>4494</v>
      </c>
      <c r="E9789" s="1497">
        <v>22900</v>
      </c>
      <c r="F9789" s="1497"/>
      <c r="G9789" s="1269" t="s">
        <v>56</v>
      </c>
      <c r="H9789" s="3"/>
    </row>
    <row r="9790" spans="1:8">
      <c r="A9790" s="1270">
        <v>46113</v>
      </c>
      <c r="B9790" s="1269"/>
      <c r="C9790" s="1269" t="s">
        <v>537</v>
      </c>
      <c r="D9790" s="3" t="s">
        <v>144</v>
      </c>
      <c r="E9790" s="1497">
        <v>100000</v>
      </c>
      <c r="F9790" s="1497"/>
      <c r="G9790" s="1269" t="s">
        <v>27</v>
      </c>
      <c r="H9790" s="3"/>
    </row>
    <row r="9791" spans="1:8">
      <c r="A9791" s="1270">
        <v>46113</v>
      </c>
      <c r="B9791" s="1269"/>
      <c r="C9791" s="1269" t="s">
        <v>537</v>
      </c>
      <c r="D9791" s="3" t="s">
        <v>144</v>
      </c>
      <c r="E9791" s="1497">
        <v>490000</v>
      </c>
      <c r="F9791" s="1497"/>
      <c r="G9791" s="1269" t="s">
        <v>56</v>
      </c>
      <c r="H9791" s="3"/>
    </row>
    <row r="9792" spans="1:8">
      <c r="A9792" s="1270">
        <v>46113</v>
      </c>
      <c r="B9792" s="1269"/>
      <c r="C9792" s="1269" t="s">
        <v>537</v>
      </c>
      <c r="D9792" s="3" t="s">
        <v>193</v>
      </c>
      <c r="E9792" s="1497">
        <v>170000</v>
      </c>
      <c r="F9792" s="1497"/>
      <c r="G9792" s="1269" t="s">
        <v>56</v>
      </c>
      <c r="H9792" s="3"/>
    </row>
    <row r="9793" spans="1:8">
      <c r="A9793" s="1270">
        <v>46113</v>
      </c>
      <c r="B9793" s="1269"/>
      <c r="C9793" s="1269" t="s">
        <v>77</v>
      </c>
      <c r="D9793" s="3" t="s">
        <v>4496</v>
      </c>
      <c r="E9793" s="1497"/>
      <c r="F9793" s="1497">
        <v>208000</v>
      </c>
      <c r="G9793" s="1269" t="s">
        <v>27</v>
      </c>
      <c r="H9793" s="3"/>
    </row>
    <row r="9794" spans="1:8">
      <c r="A9794" s="1270">
        <v>46113</v>
      </c>
      <c r="B9794" s="1269"/>
      <c r="C9794" s="1269" t="s">
        <v>3768</v>
      </c>
      <c r="D9794" s="15" t="s">
        <v>4495</v>
      </c>
      <c r="E9794" s="1497">
        <v>611037.77</v>
      </c>
      <c r="F9794" s="1497"/>
      <c r="G9794" s="1269" t="s">
        <v>27</v>
      </c>
      <c r="H9794" s="3"/>
    </row>
    <row r="9795" spans="1:8" ht="15.75" thickBot="1">
      <c r="A9795" s="1270">
        <v>46113</v>
      </c>
      <c r="B9795" s="1269"/>
      <c r="C9795" s="1269" t="s">
        <v>3768</v>
      </c>
      <c r="D9795" s="15" t="s">
        <v>4495</v>
      </c>
      <c r="E9795" s="1497">
        <v>699068.65</v>
      </c>
      <c r="F9795" s="1497"/>
      <c r="G9795" s="1269" t="s">
        <v>27</v>
      </c>
      <c r="H9795" s="3"/>
    </row>
    <row r="9796" spans="1:8">
      <c r="A9796" s="1269"/>
      <c r="B9796" s="1269"/>
      <c r="C9796" s="1269"/>
      <c r="D9796" s="3"/>
      <c r="E9796" s="1497"/>
      <c r="F9796" s="1497"/>
      <c r="G9796" s="1269"/>
      <c r="H9796" s="1226">
        <v>46113</v>
      </c>
    </row>
    <row r="9797" spans="1:8">
      <c r="A9797" s="1269"/>
      <c r="B9797" s="1269"/>
      <c r="C9797" s="1269"/>
      <c r="D9797" s="3"/>
      <c r="E9797" s="1497"/>
      <c r="F9797" s="1497"/>
      <c r="G9797" s="1269"/>
      <c r="H9797" s="136" t="s">
        <v>876</v>
      </c>
    </row>
    <row r="9798" spans="1:8">
      <c r="A9798" s="1269"/>
      <c r="B9798" s="1269"/>
      <c r="C9798" s="1269"/>
      <c r="D9798" s="3"/>
      <c r="E9798" s="1497"/>
      <c r="F9798" s="1497"/>
      <c r="G9798" s="1269"/>
      <c r="H9798" s="137" t="s">
        <v>4207</v>
      </c>
    </row>
    <row r="9799" spans="1:8">
      <c r="A9799" s="1269"/>
      <c r="B9799" s="1269"/>
      <c r="C9799" s="1269"/>
      <c r="D9799" s="3"/>
      <c r="E9799" s="1497"/>
      <c r="F9799" s="1497"/>
      <c r="G9799" s="1269"/>
      <c r="H9799" s="137" t="s">
        <v>4497</v>
      </c>
    </row>
    <row r="9800" spans="1:8">
      <c r="A9800" s="1269"/>
      <c r="B9800" s="1269"/>
      <c r="C9800" s="1269"/>
      <c r="D9800" s="3"/>
      <c r="E9800" s="1497"/>
      <c r="F9800" s="1497"/>
      <c r="G9800" s="1269"/>
      <c r="H9800" s="138" t="s">
        <v>4499</v>
      </c>
    </row>
    <row r="9801" spans="1:8">
      <c r="H9801" s="138" t="s">
        <v>4500</v>
      </c>
    </row>
    <row r="9802" spans="1:8">
      <c r="H9802" s="138" t="s">
        <v>4486</v>
      </c>
    </row>
    <row r="9803" spans="1:8">
      <c r="H9803" s="138" t="s">
        <v>4498</v>
      </c>
    </row>
    <row r="9804" spans="1:8" ht="15.75" thickBot="1">
      <c r="H9804" s="147" t="s">
        <v>3933</v>
      </c>
    </row>
    <row r="9805" spans="1:8">
      <c r="A9805" s="1273">
        <v>46118</v>
      </c>
      <c r="B9805" s="1274"/>
      <c r="C9805" s="1274" t="s">
        <v>730</v>
      </c>
      <c r="D9805" s="3" t="s">
        <v>9</v>
      </c>
      <c r="E9805" s="1497">
        <v>250000</v>
      </c>
      <c r="F9805" s="1497"/>
      <c r="G9805" s="1274" t="s">
        <v>27</v>
      </c>
      <c r="H9805" s="5"/>
    </row>
    <row r="9806" spans="1:8">
      <c r="A9806" s="1273">
        <v>46118</v>
      </c>
      <c r="B9806" s="1274"/>
      <c r="C9806" s="1274" t="s">
        <v>205</v>
      </c>
      <c r="D9806" s="3" t="s">
        <v>48</v>
      </c>
      <c r="E9806" s="1497">
        <v>414682</v>
      </c>
      <c r="F9806" s="1497"/>
      <c r="G9806" s="1274" t="s">
        <v>27</v>
      </c>
      <c r="H9806" s="3"/>
    </row>
    <row r="9807" spans="1:8">
      <c r="A9807" s="1273">
        <v>46118</v>
      </c>
      <c r="B9807" s="1274"/>
      <c r="C9807" s="1274" t="s">
        <v>79</v>
      </c>
      <c r="D9807" s="3" t="s">
        <v>79</v>
      </c>
      <c r="E9807" s="1497">
        <v>51176</v>
      </c>
      <c r="F9807" s="1497"/>
      <c r="G9807" s="1274" t="s">
        <v>27</v>
      </c>
      <c r="H9807" s="3"/>
    </row>
    <row r="9808" spans="1:8">
      <c r="A9808" s="1273">
        <v>46118</v>
      </c>
      <c r="B9808" s="1274"/>
      <c r="C9808" s="1274" t="s">
        <v>79</v>
      </c>
      <c r="D9808" s="3" t="s">
        <v>79</v>
      </c>
      <c r="E9808" s="1497">
        <v>40000</v>
      </c>
      <c r="F9808" s="1497"/>
      <c r="G9808" s="1274" t="s">
        <v>27</v>
      </c>
      <c r="H9808" s="3"/>
    </row>
    <row r="9809" spans="1:8">
      <c r="A9809" s="1273">
        <v>46118</v>
      </c>
      <c r="B9809" s="1274"/>
      <c r="C9809" s="1274" t="s">
        <v>65</v>
      </c>
      <c r="D9809" s="3" t="s">
        <v>661</v>
      </c>
      <c r="E9809" s="1497">
        <v>19399.990000000002</v>
      </c>
      <c r="F9809" s="1515"/>
      <c r="G9809" s="1274" t="s">
        <v>27</v>
      </c>
      <c r="H9809" s="3"/>
    </row>
    <row r="9810" spans="1:8">
      <c r="A9810" s="1273">
        <v>46118</v>
      </c>
      <c r="B9810" s="1274"/>
      <c r="C9810" s="1274" t="s">
        <v>65</v>
      </c>
      <c r="D9810" s="3" t="s">
        <v>662</v>
      </c>
      <c r="E9810" s="1497">
        <v>19399.990000000002</v>
      </c>
      <c r="F9810" s="1497"/>
      <c r="G9810" s="1274" t="s">
        <v>27</v>
      </c>
      <c r="H9810" s="3"/>
    </row>
    <row r="9811" spans="1:8">
      <c r="A9811" s="1273">
        <v>46118</v>
      </c>
      <c r="B9811" s="1274"/>
      <c r="C9811" s="1274" t="s">
        <v>79</v>
      </c>
      <c r="D9811" s="3" t="s">
        <v>663</v>
      </c>
      <c r="E9811" s="1497">
        <v>48124.959999999999</v>
      </c>
      <c r="F9811" s="1497"/>
      <c r="G9811" s="1274" t="s">
        <v>27</v>
      </c>
      <c r="H9811" s="3"/>
    </row>
    <row r="9812" spans="1:8">
      <c r="A9812" s="1273">
        <v>46118</v>
      </c>
      <c r="B9812" s="1274"/>
      <c r="C9812" s="1274" t="s">
        <v>77</v>
      </c>
      <c r="D9812" s="3" t="s">
        <v>4480</v>
      </c>
      <c r="E9812" s="1497"/>
      <c r="F9812" s="1497">
        <v>1761000</v>
      </c>
      <c r="G9812" s="1274" t="s">
        <v>72</v>
      </c>
      <c r="H9812" s="3"/>
    </row>
    <row r="9813" spans="1:8">
      <c r="A9813" s="1273">
        <v>46118</v>
      </c>
      <c r="B9813" s="1274"/>
      <c r="C9813" s="1274" t="s">
        <v>205</v>
      </c>
      <c r="D9813" s="3" t="s">
        <v>48</v>
      </c>
      <c r="E9813" s="1497">
        <v>3000000</v>
      </c>
      <c r="F9813" s="1497"/>
      <c r="G9813" s="1274" t="s">
        <v>996</v>
      </c>
      <c r="H9813" s="3"/>
    </row>
    <row r="9814" spans="1:8">
      <c r="A9814" s="1295">
        <v>46119</v>
      </c>
      <c r="B9814" s="1274"/>
      <c r="C9814" s="1294" t="s">
        <v>205</v>
      </c>
      <c r="D9814" s="3" t="s">
        <v>2358</v>
      </c>
      <c r="E9814" s="1497">
        <v>88793</v>
      </c>
      <c r="F9814" s="1497"/>
      <c r="G9814" s="1274" t="s">
        <v>27</v>
      </c>
      <c r="H9814" s="3"/>
    </row>
    <row r="9815" spans="1:8">
      <c r="A9815" s="1295">
        <v>46119</v>
      </c>
      <c r="B9815" s="1274"/>
      <c r="C9815" s="1294" t="s">
        <v>205</v>
      </c>
      <c r="D9815" s="3" t="s">
        <v>48</v>
      </c>
      <c r="E9815" s="1497">
        <v>414682</v>
      </c>
      <c r="F9815" s="1497"/>
      <c r="G9815" s="1294" t="s">
        <v>27</v>
      </c>
      <c r="H9815" s="3"/>
    </row>
    <row r="9816" spans="1:8">
      <c r="A9816" s="1295">
        <v>46119</v>
      </c>
      <c r="B9816" s="1274"/>
      <c r="C9816" s="1294" t="s">
        <v>205</v>
      </c>
      <c r="D9816" s="3" t="s">
        <v>2358</v>
      </c>
      <c r="E9816" s="1497">
        <v>73000</v>
      </c>
      <c r="F9816" s="1497"/>
      <c r="G9816" s="1294" t="s">
        <v>27</v>
      </c>
      <c r="H9816" s="3"/>
    </row>
    <row r="9817" spans="1:8">
      <c r="A9817" s="1295">
        <v>46119</v>
      </c>
      <c r="B9817" s="1274"/>
      <c r="C9817" s="1274" t="s">
        <v>77</v>
      </c>
      <c r="D9817" s="3" t="s">
        <v>4501</v>
      </c>
      <c r="E9817" s="1497"/>
      <c r="F9817" s="1497">
        <v>31250</v>
      </c>
      <c r="G9817" s="1274" t="s">
        <v>27</v>
      </c>
      <c r="H9817" s="3"/>
    </row>
    <row r="9818" spans="1:8">
      <c r="A9818" s="1295">
        <v>46119</v>
      </c>
      <c r="B9818" s="1274"/>
      <c r="C9818" s="1274" t="s">
        <v>205</v>
      </c>
      <c r="D9818" s="3" t="s">
        <v>48</v>
      </c>
      <c r="E9818" s="1497">
        <v>800000</v>
      </c>
      <c r="F9818" s="1497"/>
      <c r="G9818" s="1274" t="s">
        <v>56</v>
      </c>
      <c r="H9818" s="3"/>
    </row>
    <row r="9819" spans="1:8">
      <c r="A9819" s="1295">
        <v>46119</v>
      </c>
      <c r="B9819" s="1294"/>
      <c r="C9819" s="1294" t="s">
        <v>2482</v>
      </c>
      <c r="D9819" s="15" t="s">
        <v>252</v>
      </c>
      <c r="E9819" s="1497">
        <v>500000</v>
      </c>
      <c r="F9819" s="1497"/>
      <c r="G9819" s="1294" t="s">
        <v>56</v>
      </c>
      <c r="H9819" s="3"/>
    </row>
    <row r="9820" spans="1:8">
      <c r="A9820" s="1295">
        <v>46119</v>
      </c>
      <c r="B9820" s="1294"/>
      <c r="C9820" s="1294" t="s">
        <v>77</v>
      </c>
      <c r="D9820" s="3" t="s">
        <v>4502</v>
      </c>
      <c r="E9820" s="1497"/>
      <c r="F9820" s="1497">
        <v>202000</v>
      </c>
      <c r="G9820" s="1294" t="s">
        <v>56</v>
      </c>
      <c r="H9820" s="3"/>
    </row>
    <row r="9821" spans="1:8">
      <c r="A9821" s="1296">
        <v>46120</v>
      </c>
      <c r="B9821" s="1294"/>
      <c r="C9821" s="1294" t="s">
        <v>94</v>
      </c>
      <c r="D9821" s="3" t="s">
        <v>3545</v>
      </c>
      <c r="E9821" s="1497">
        <v>48000</v>
      </c>
      <c r="F9821" s="1497"/>
      <c r="G9821" s="1294" t="s">
        <v>27</v>
      </c>
      <c r="H9821" s="3"/>
    </row>
    <row r="9822" spans="1:8">
      <c r="A9822" s="1296">
        <v>46120</v>
      </c>
      <c r="B9822" s="1294"/>
      <c r="C9822" s="1294" t="s">
        <v>79</v>
      </c>
      <c r="D9822" s="3" t="s">
        <v>79</v>
      </c>
      <c r="E9822" s="1497">
        <v>30000</v>
      </c>
      <c r="F9822" s="1497"/>
      <c r="G9822" s="1294" t="s">
        <v>56</v>
      </c>
      <c r="H9822" s="3"/>
    </row>
    <row r="9823" spans="1:8">
      <c r="A9823" s="1296">
        <v>46120</v>
      </c>
      <c r="B9823" s="1294"/>
      <c r="C9823" s="1294" t="s">
        <v>55</v>
      </c>
      <c r="D9823" s="3" t="s">
        <v>369</v>
      </c>
      <c r="E9823" s="1497">
        <v>4200</v>
      </c>
      <c r="F9823" s="1497"/>
      <c r="G9823" s="1294" t="s">
        <v>56</v>
      </c>
      <c r="H9823" s="3"/>
    </row>
    <row r="9824" spans="1:8">
      <c r="A9824" s="1296">
        <v>46120</v>
      </c>
      <c r="B9824" s="1297"/>
      <c r="C9824" s="1297" t="s">
        <v>185</v>
      </c>
      <c r="D9824" s="71" t="s">
        <v>4503</v>
      </c>
      <c r="E9824" s="1497"/>
      <c r="F9824" s="1497">
        <v>2760000</v>
      </c>
      <c r="G9824" s="1297" t="s">
        <v>79</v>
      </c>
      <c r="H9824" s="3"/>
    </row>
    <row r="9825" spans="1:8">
      <c r="A9825" s="1299">
        <v>46120</v>
      </c>
      <c r="B9825" s="1298"/>
      <c r="C9825" s="1298" t="s">
        <v>79</v>
      </c>
      <c r="D9825" s="3" t="s">
        <v>1218</v>
      </c>
      <c r="E9825" s="1497">
        <v>100000</v>
      </c>
      <c r="F9825" s="1497"/>
      <c r="G9825" s="1298" t="s">
        <v>56</v>
      </c>
      <c r="H9825" s="3"/>
    </row>
    <row r="9826" spans="1:8">
      <c r="A9826" s="1299">
        <v>46120</v>
      </c>
      <c r="B9826" s="1298"/>
      <c r="C9826" s="1298" t="s">
        <v>79</v>
      </c>
      <c r="D9826" s="3" t="s">
        <v>3889</v>
      </c>
      <c r="E9826" s="1497">
        <v>100000</v>
      </c>
      <c r="F9826" s="1497"/>
      <c r="G9826" s="1298" t="s">
        <v>56</v>
      </c>
      <c r="H9826" s="3"/>
    </row>
    <row r="9827" spans="1:8">
      <c r="A9827" s="1299">
        <v>46120</v>
      </c>
      <c r="B9827" s="1298"/>
      <c r="C9827" s="1298" t="s">
        <v>205</v>
      </c>
      <c r="D9827" s="3" t="s">
        <v>11</v>
      </c>
      <c r="E9827" s="1497">
        <v>103000</v>
      </c>
      <c r="F9827" s="1497"/>
      <c r="G9827" s="1298" t="s">
        <v>56</v>
      </c>
      <c r="H9827" s="3"/>
    </row>
    <row r="9828" spans="1:8">
      <c r="A9828" s="1299">
        <v>46120</v>
      </c>
      <c r="B9828" s="1298"/>
      <c r="C9828" s="1298" t="s">
        <v>205</v>
      </c>
      <c r="D9828" s="3" t="s">
        <v>71</v>
      </c>
      <c r="E9828" s="1497">
        <v>370000</v>
      </c>
      <c r="F9828" s="1497"/>
      <c r="G9828" s="1298" t="s">
        <v>56</v>
      </c>
      <c r="H9828" s="3"/>
    </row>
    <row r="9829" spans="1:8">
      <c r="A9829" s="1299">
        <v>46121</v>
      </c>
      <c r="B9829" s="1298"/>
      <c r="C9829" s="1298" t="s">
        <v>55</v>
      </c>
      <c r="D9829" s="15" t="s">
        <v>4505</v>
      </c>
      <c r="E9829" s="1497">
        <v>25483.33</v>
      </c>
      <c r="F9829" s="1497"/>
      <c r="G9829" s="1298" t="s">
        <v>27</v>
      </c>
      <c r="H9829" s="3"/>
    </row>
    <row r="9830" spans="1:8" s="164" customFormat="1" ht="24.75" customHeight="1">
      <c r="A9830" s="116">
        <v>46121</v>
      </c>
      <c r="B9830" s="51"/>
      <c r="C9830" s="51" t="s">
        <v>28</v>
      </c>
      <c r="D9830" s="52" t="s">
        <v>4507</v>
      </c>
      <c r="E9830" s="51" t="s">
        <v>4509</v>
      </c>
      <c r="F9830" s="51"/>
      <c r="G9830" s="51" t="s">
        <v>27</v>
      </c>
      <c r="H9830" s="52"/>
    </row>
    <row r="9831" spans="1:8">
      <c r="A9831" s="1299">
        <v>46121</v>
      </c>
      <c r="B9831" s="1298"/>
      <c r="C9831" s="1298" t="s">
        <v>28</v>
      </c>
      <c r="D9831" s="3" t="s">
        <v>4506</v>
      </c>
      <c r="E9831" s="1497">
        <v>51719</v>
      </c>
      <c r="F9831" s="1497"/>
      <c r="G9831" s="1298" t="s">
        <v>27</v>
      </c>
      <c r="H9831" s="3"/>
    </row>
    <row r="9832" spans="1:8">
      <c r="A9832" s="1299">
        <v>46121</v>
      </c>
      <c r="B9832" s="1298"/>
      <c r="C9832" s="1298" t="s">
        <v>28</v>
      </c>
      <c r="D9832" s="3" t="s">
        <v>4506</v>
      </c>
      <c r="E9832" s="1497">
        <v>94411.4</v>
      </c>
      <c r="F9832" s="1497"/>
      <c r="G9832" s="1298" t="s">
        <v>27</v>
      </c>
      <c r="H9832" s="3"/>
    </row>
    <row r="9833" spans="1:8">
      <c r="A9833" s="1299">
        <v>46121</v>
      </c>
      <c r="B9833" s="1298"/>
      <c r="C9833" s="1298" t="s">
        <v>92</v>
      </c>
      <c r="D9833" s="3" t="s">
        <v>4508</v>
      </c>
      <c r="E9833" s="1497"/>
      <c r="F9833" s="1497">
        <v>56000</v>
      </c>
      <c r="G9833" s="1298" t="s">
        <v>27</v>
      </c>
      <c r="H9833" s="3"/>
    </row>
    <row r="9834" spans="1:8">
      <c r="A9834" s="1300">
        <v>46122</v>
      </c>
      <c r="B9834" s="1298"/>
      <c r="C9834" s="1301" t="s">
        <v>55</v>
      </c>
      <c r="D9834" s="3" t="s">
        <v>3225</v>
      </c>
      <c r="E9834" s="1497">
        <v>4450</v>
      </c>
      <c r="F9834" s="1497"/>
      <c r="G9834" s="1298" t="s">
        <v>27</v>
      </c>
      <c r="H9834" s="45" t="s">
        <v>4514</v>
      </c>
    </row>
    <row r="9835" spans="1:8">
      <c r="A9835" s="1300">
        <v>46122</v>
      </c>
      <c r="B9835" s="1298"/>
      <c r="C9835" s="1301" t="s">
        <v>86</v>
      </c>
      <c r="D9835" s="3" t="s">
        <v>4165</v>
      </c>
      <c r="E9835" s="1497">
        <v>40000</v>
      </c>
      <c r="F9835" s="1497"/>
      <c r="G9835" s="1298" t="s">
        <v>56</v>
      </c>
      <c r="H9835" s="3"/>
    </row>
    <row r="9836" spans="1:8">
      <c r="A9836" s="1300">
        <v>46122</v>
      </c>
      <c r="B9836" s="1298"/>
      <c r="C9836" s="1298" t="s">
        <v>92</v>
      </c>
      <c r="D9836" s="3" t="s">
        <v>2635</v>
      </c>
      <c r="E9836" s="1497"/>
      <c r="F9836" s="1497">
        <v>263000</v>
      </c>
      <c r="G9836" s="1298" t="s">
        <v>27</v>
      </c>
      <c r="H9836" s="3"/>
    </row>
    <row r="9837" spans="1:8">
      <c r="A9837" s="1300">
        <v>46122</v>
      </c>
      <c r="B9837" s="1298"/>
      <c r="C9837" s="1298" t="s">
        <v>55</v>
      </c>
      <c r="D9837" s="3" t="s">
        <v>1926</v>
      </c>
      <c r="E9837" s="1497">
        <v>5000</v>
      </c>
      <c r="F9837" s="1497"/>
      <c r="G9837" s="1298"/>
      <c r="H9837" s="3"/>
    </row>
    <row r="9838" spans="1:8">
      <c r="A9838" s="1300">
        <v>46122</v>
      </c>
      <c r="B9838" s="1298"/>
      <c r="C9838" s="1298" t="s">
        <v>77</v>
      </c>
      <c r="D9838" s="3" t="s">
        <v>659</v>
      </c>
      <c r="E9838" s="1497"/>
      <c r="F9838" s="1497">
        <v>263500</v>
      </c>
      <c r="G9838" s="1298" t="s">
        <v>56</v>
      </c>
      <c r="H9838" s="3"/>
    </row>
    <row r="9839" spans="1:8">
      <c r="A9839" s="1300">
        <v>46122</v>
      </c>
      <c r="B9839" s="1301"/>
      <c r="C9839" s="1301" t="s">
        <v>537</v>
      </c>
      <c r="D9839" s="15" t="s">
        <v>144</v>
      </c>
      <c r="E9839" s="1497">
        <v>100000</v>
      </c>
      <c r="F9839" s="1497"/>
      <c r="G9839" s="1301" t="s">
        <v>27</v>
      </c>
      <c r="H9839" s="3"/>
    </row>
    <row r="9840" spans="1:8">
      <c r="A9840" s="1300">
        <v>46122</v>
      </c>
      <c r="B9840" s="1301"/>
      <c r="C9840" s="1301" t="s">
        <v>537</v>
      </c>
      <c r="D9840" s="15" t="s">
        <v>144</v>
      </c>
      <c r="E9840" s="1497">
        <v>490000</v>
      </c>
      <c r="F9840" s="1497"/>
      <c r="G9840" s="1301" t="s">
        <v>56</v>
      </c>
      <c r="H9840" s="3"/>
    </row>
    <row r="9841" spans="1:8">
      <c r="A9841" s="1300">
        <v>46122</v>
      </c>
      <c r="B9841" s="1301"/>
      <c r="C9841" s="1301" t="s">
        <v>537</v>
      </c>
      <c r="D9841" s="15" t="s">
        <v>4492</v>
      </c>
      <c r="E9841" s="1497">
        <v>250000</v>
      </c>
      <c r="F9841" s="1497"/>
      <c r="G9841" s="1301" t="s">
        <v>56</v>
      </c>
      <c r="H9841" s="3"/>
    </row>
    <row r="9842" spans="1:8">
      <c r="A9842" s="1300">
        <v>46122</v>
      </c>
      <c r="B9842" s="1301"/>
      <c r="C9842" s="1301" t="s">
        <v>537</v>
      </c>
      <c r="D9842" s="15" t="s">
        <v>193</v>
      </c>
      <c r="E9842" s="1497">
        <v>170000</v>
      </c>
      <c r="F9842" s="1497"/>
      <c r="G9842" s="1301" t="s">
        <v>56</v>
      </c>
      <c r="H9842" s="3"/>
    </row>
    <row r="9843" spans="1:8">
      <c r="A9843" s="1300">
        <v>46122</v>
      </c>
      <c r="B9843" s="1301"/>
      <c r="C9843" s="1301" t="s">
        <v>537</v>
      </c>
      <c r="D9843" s="15" t="s">
        <v>219</v>
      </c>
      <c r="E9843" s="1497">
        <v>330000</v>
      </c>
      <c r="F9843" s="1497"/>
      <c r="G9843" s="1301" t="s">
        <v>56</v>
      </c>
      <c r="H9843" s="3"/>
    </row>
    <row r="9844" spans="1:8">
      <c r="A9844" s="1300">
        <v>46122</v>
      </c>
      <c r="B9844" s="1301"/>
      <c r="C9844" s="1301" t="s">
        <v>55</v>
      </c>
      <c r="D9844" s="3" t="s">
        <v>4513</v>
      </c>
      <c r="E9844" s="1497">
        <v>9000</v>
      </c>
      <c r="F9844" s="1497"/>
      <c r="G9844" s="1301" t="s">
        <v>56</v>
      </c>
      <c r="H9844" s="45" t="s">
        <v>4514</v>
      </c>
    </row>
    <row r="9845" spans="1:8">
      <c r="A9845" s="1300">
        <v>46122</v>
      </c>
      <c r="B9845" s="3"/>
      <c r="C9845" s="1301" t="s">
        <v>77</v>
      </c>
      <c r="D9845" s="3" t="s">
        <v>4516</v>
      </c>
      <c r="E9845" s="1497"/>
      <c r="F9845" s="1497">
        <v>508100</v>
      </c>
      <c r="G9845" s="1301" t="s">
        <v>27</v>
      </c>
      <c r="H9845" s="3"/>
    </row>
    <row r="9846" spans="1:8">
      <c r="A9846" s="1301"/>
      <c r="B9846" s="1301"/>
      <c r="C9846" s="1301"/>
      <c r="D9846" s="3"/>
      <c r="E9846" s="1497"/>
      <c r="F9846" s="1497"/>
      <c r="G9846" s="1301"/>
      <c r="H9846" s="3"/>
    </row>
    <row r="9847" spans="1:8" ht="15.75" thickBot="1">
      <c r="A9847" s="1301"/>
      <c r="B9847" s="1301"/>
      <c r="C9847" s="1301"/>
      <c r="D9847" s="3"/>
      <c r="E9847" s="1497"/>
      <c r="F9847" s="1497"/>
      <c r="G9847" s="1301"/>
      <c r="H9847" s="3"/>
    </row>
    <row r="9848" spans="1:8">
      <c r="H9848" s="1226">
        <v>46122</v>
      </c>
    </row>
    <row r="9849" spans="1:8">
      <c r="H9849" s="136" t="s">
        <v>876</v>
      </c>
    </row>
    <row r="9850" spans="1:8">
      <c r="H9850" s="137" t="s">
        <v>4207</v>
      </c>
    </row>
    <row r="9851" spans="1:8">
      <c r="H9851" s="137" t="s">
        <v>4515</v>
      </c>
    </row>
    <row r="9852" spans="1:8">
      <c r="H9852" s="138" t="s">
        <v>4512</v>
      </c>
    </row>
    <row r="9853" spans="1:8">
      <c r="H9853" s="138" t="s">
        <v>4510</v>
      </c>
    </row>
    <row r="9854" spans="1:8">
      <c r="H9854" s="138" t="s">
        <v>4486</v>
      </c>
    </row>
    <row r="9855" spans="1:8">
      <c r="H9855" s="138" t="s">
        <v>4334</v>
      </c>
    </row>
    <row r="9856" spans="1:8" ht="15.75" thickBot="1">
      <c r="H9856" s="147" t="s">
        <v>4511</v>
      </c>
    </row>
    <row r="9857" spans="1:8">
      <c r="A9857" s="1303">
        <v>46125</v>
      </c>
      <c r="B9857" s="1302"/>
      <c r="C9857" s="1302" t="s">
        <v>79</v>
      </c>
      <c r="D9857" s="3" t="s">
        <v>79</v>
      </c>
      <c r="E9857" s="1497">
        <v>36300</v>
      </c>
      <c r="F9857" s="1497"/>
      <c r="G9857" s="1302" t="s">
        <v>27</v>
      </c>
      <c r="H9857" s="5"/>
    </row>
    <row r="9858" spans="1:8">
      <c r="A9858" s="1303">
        <v>46125</v>
      </c>
      <c r="B9858" s="1302"/>
      <c r="C9858" s="1302" t="s">
        <v>77</v>
      </c>
      <c r="D9858" s="3" t="s">
        <v>4517</v>
      </c>
      <c r="E9858" s="1497">
        <v>74480</v>
      </c>
      <c r="F9858" s="1497"/>
      <c r="G9858" s="1302" t="s">
        <v>27</v>
      </c>
      <c r="H9858" s="3"/>
    </row>
    <row r="9859" spans="1:8">
      <c r="A9859" s="1303">
        <v>46125</v>
      </c>
      <c r="B9859" s="1302"/>
      <c r="C9859" s="1302" t="s">
        <v>174</v>
      </c>
      <c r="D9859" s="3" t="s">
        <v>2490</v>
      </c>
      <c r="E9859" s="1497">
        <v>40287</v>
      </c>
      <c r="F9859" s="1497"/>
      <c r="G9859" s="1302" t="s">
        <v>27</v>
      </c>
      <c r="H9859" s="3"/>
    </row>
    <row r="9860" spans="1:8">
      <c r="A9860" s="1303">
        <v>46125</v>
      </c>
      <c r="B9860" s="1302"/>
      <c r="C9860" s="1302" t="s">
        <v>90</v>
      </c>
      <c r="D9860" s="3" t="s">
        <v>4518</v>
      </c>
      <c r="E9860" s="1497">
        <v>12482</v>
      </c>
      <c r="F9860" s="1497"/>
      <c r="G9860" s="1302" t="s">
        <v>27</v>
      </c>
      <c r="H9860" s="3"/>
    </row>
    <row r="9861" spans="1:8">
      <c r="A9861" s="1272">
        <v>46125</v>
      </c>
      <c r="B9861" s="14"/>
      <c r="C9861" s="14" t="s">
        <v>86</v>
      </c>
      <c r="D9861" s="177" t="s">
        <v>4519</v>
      </c>
      <c r="E9861" s="14">
        <v>40000</v>
      </c>
      <c r="F9861" s="14"/>
      <c r="G9861" s="14" t="s">
        <v>56</v>
      </c>
      <c r="H9861" s="177"/>
    </row>
    <row r="9862" spans="1:8">
      <c r="A9862" s="1304">
        <v>46126</v>
      </c>
      <c r="B9862" s="1302"/>
      <c r="C9862" s="1302" t="s">
        <v>3021</v>
      </c>
      <c r="D9862" s="3" t="s">
        <v>3964</v>
      </c>
      <c r="E9862" s="1497">
        <v>30000</v>
      </c>
      <c r="F9862" s="1497"/>
      <c r="G9862" s="1302" t="s">
        <v>27</v>
      </c>
      <c r="H9862" s="3"/>
    </row>
    <row r="9863" spans="1:8">
      <c r="A9863" s="1304">
        <v>46126</v>
      </c>
      <c r="B9863" s="1302"/>
      <c r="C9863" s="1302" t="s">
        <v>92</v>
      </c>
      <c r="D9863" s="3" t="s">
        <v>2033</v>
      </c>
      <c r="E9863" s="1497"/>
      <c r="F9863" s="1497">
        <v>90000</v>
      </c>
      <c r="G9863" s="1302" t="s">
        <v>56</v>
      </c>
      <c r="H9863" s="3"/>
    </row>
    <row r="9864" spans="1:8">
      <c r="A9864" s="1307">
        <v>46127</v>
      </c>
      <c r="B9864" s="1305"/>
      <c r="C9864" s="1305" t="s">
        <v>3021</v>
      </c>
      <c r="D9864" s="3" t="s">
        <v>4165</v>
      </c>
      <c r="E9864" s="1497">
        <v>50000</v>
      </c>
      <c r="F9864" s="1497"/>
      <c r="G9864" s="1305" t="s">
        <v>56</v>
      </c>
      <c r="H9864" s="45" t="s">
        <v>454</v>
      </c>
    </row>
    <row r="9865" spans="1:8">
      <c r="A9865" s="1307">
        <v>46127</v>
      </c>
      <c r="B9865" s="1305"/>
      <c r="C9865" s="1305" t="s">
        <v>55</v>
      </c>
      <c r="D9865" s="3" t="s">
        <v>514</v>
      </c>
      <c r="E9865" s="1497">
        <v>15000</v>
      </c>
      <c r="F9865" s="1497"/>
      <c r="G9865" s="1305" t="s">
        <v>27</v>
      </c>
      <c r="H9865" s="3"/>
    </row>
    <row r="9866" spans="1:8">
      <c r="A9866" s="1307">
        <v>46127</v>
      </c>
      <c r="B9866" s="1305"/>
      <c r="C9866" s="1305" t="s">
        <v>409</v>
      </c>
      <c r="D9866" s="3" t="s">
        <v>4520</v>
      </c>
      <c r="E9866" s="1497"/>
      <c r="F9866" s="1497">
        <v>490000</v>
      </c>
      <c r="G9866" s="1305" t="s">
        <v>27</v>
      </c>
      <c r="H9866" s="3"/>
    </row>
    <row r="9867" spans="1:8">
      <c r="A9867" s="1307">
        <v>46127</v>
      </c>
      <c r="B9867" s="1306"/>
      <c r="C9867" s="1306" t="s">
        <v>55</v>
      </c>
      <c r="D9867" s="3" t="s">
        <v>4521</v>
      </c>
      <c r="E9867" s="1497">
        <v>96000</v>
      </c>
      <c r="F9867" s="1497"/>
      <c r="G9867" s="1306" t="s">
        <v>56</v>
      </c>
      <c r="H9867" s="3"/>
    </row>
    <row r="9868" spans="1:8">
      <c r="A9868" s="1307">
        <v>46127</v>
      </c>
      <c r="B9868" s="1306"/>
      <c r="C9868" s="1306" t="s">
        <v>205</v>
      </c>
      <c r="D9868" s="3" t="s">
        <v>2316</v>
      </c>
      <c r="E9868" s="1497">
        <v>8000</v>
      </c>
      <c r="F9868" s="1497"/>
      <c r="G9868" s="1306" t="s">
        <v>56</v>
      </c>
      <c r="H9868" s="1312">
        <v>7689350</v>
      </c>
    </row>
    <row r="9869" spans="1:8">
      <c r="A9869" s="1308">
        <v>46128</v>
      </c>
      <c r="B9869" s="1309"/>
      <c r="C9869" s="1309" t="s">
        <v>92</v>
      </c>
      <c r="D9869" s="3" t="s">
        <v>1983</v>
      </c>
      <c r="E9869" s="1497"/>
      <c r="F9869" s="1497">
        <v>38000</v>
      </c>
      <c r="G9869" s="1309" t="s">
        <v>27</v>
      </c>
      <c r="H9869" s="3"/>
    </row>
    <row r="9870" spans="1:8">
      <c r="A9870" s="1308">
        <v>46128</v>
      </c>
      <c r="B9870" s="1309"/>
      <c r="C9870" s="1309" t="s">
        <v>92</v>
      </c>
      <c r="D9870" s="3" t="s">
        <v>1983</v>
      </c>
      <c r="E9870" s="1497"/>
      <c r="F9870" s="1497">
        <v>78500</v>
      </c>
      <c r="G9870" s="1309" t="s">
        <v>27</v>
      </c>
      <c r="H9870" s="3"/>
    </row>
    <row r="9871" spans="1:8">
      <c r="A9871" s="1308">
        <v>46128</v>
      </c>
      <c r="B9871" s="1309"/>
      <c r="C9871" s="1309" t="s">
        <v>205</v>
      </c>
      <c r="D9871" s="3" t="s">
        <v>48</v>
      </c>
      <c r="E9871" s="1497">
        <v>280000</v>
      </c>
      <c r="F9871" s="1497"/>
      <c r="G9871" s="1309" t="s">
        <v>27</v>
      </c>
      <c r="H9871" s="3"/>
    </row>
    <row r="9872" spans="1:8">
      <c r="A9872" s="1308">
        <v>46128</v>
      </c>
      <c r="B9872" s="1309"/>
      <c r="C9872" s="1309" t="s">
        <v>156</v>
      </c>
      <c r="D9872" s="3" t="s">
        <v>4522</v>
      </c>
      <c r="E9872" s="1497">
        <v>182332.44</v>
      </c>
      <c r="F9872" s="1497"/>
      <c r="G9872" s="1309" t="s">
        <v>27</v>
      </c>
      <c r="H9872" s="3"/>
    </row>
    <row r="9873" spans="1:8">
      <c r="A9873" s="1308">
        <v>46128</v>
      </c>
      <c r="B9873" s="1309"/>
      <c r="C9873" s="1309" t="s">
        <v>156</v>
      </c>
      <c r="D9873" s="3" t="s">
        <v>4522</v>
      </c>
      <c r="E9873" s="1497">
        <v>5322.6</v>
      </c>
      <c r="F9873" s="1497"/>
      <c r="G9873" s="1309" t="s">
        <v>27</v>
      </c>
      <c r="H9873" s="3"/>
    </row>
    <row r="9874" spans="1:8">
      <c r="A9874" s="1308">
        <v>46128</v>
      </c>
      <c r="B9874" s="1309"/>
      <c r="C9874" s="1309" t="s">
        <v>92</v>
      </c>
      <c r="D9874" s="3" t="s">
        <v>4523</v>
      </c>
      <c r="E9874" s="1497"/>
      <c r="F9874" s="1497">
        <v>706640</v>
      </c>
      <c r="G9874" s="1309" t="s">
        <v>27</v>
      </c>
      <c r="H9874" s="3"/>
    </row>
    <row r="9875" spans="1:8">
      <c r="A9875" s="1308">
        <v>46128</v>
      </c>
      <c r="B9875" s="1309"/>
      <c r="C9875" s="1309" t="s">
        <v>68</v>
      </c>
      <c r="D9875" s="3" t="s">
        <v>4524</v>
      </c>
      <c r="E9875" s="1497">
        <v>20000</v>
      </c>
      <c r="F9875" s="1497"/>
      <c r="G9875" s="1309" t="s">
        <v>56</v>
      </c>
      <c r="H9875" s="3"/>
    </row>
    <row r="9876" spans="1:8">
      <c r="A9876" s="1308">
        <v>46128</v>
      </c>
      <c r="B9876" s="1309"/>
      <c r="C9876" s="1309" t="s">
        <v>55</v>
      </c>
      <c r="D9876" s="3" t="s">
        <v>635</v>
      </c>
      <c r="E9876" s="1497">
        <v>24000</v>
      </c>
      <c r="F9876" s="1497"/>
      <c r="G9876" s="1309" t="s">
        <v>27</v>
      </c>
      <c r="H9876" s="3"/>
    </row>
    <row r="9877" spans="1:8">
      <c r="A9877" s="1311">
        <v>46129</v>
      </c>
      <c r="B9877" s="1309"/>
      <c r="C9877" s="1309" t="s">
        <v>90</v>
      </c>
      <c r="D9877" s="3" t="s">
        <v>4525</v>
      </c>
      <c r="E9877" s="1497">
        <v>69196.42</v>
      </c>
      <c r="F9877" s="1497"/>
      <c r="G9877" s="1309" t="s">
        <v>27</v>
      </c>
      <c r="H9877" s="3"/>
    </row>
    <row r="9878" spans="1:8">
      <c r="A9878" s="1311">
        <v>46129</v>
      </c>
      <c r="B9878" s="1309"/>
      <c r="C9878" s="1309" t="s">
        <v>77</v>
      </c>
      <c r="D9878" s="3" t="s">
        <v>3868</v>
      </c>
      <c r="E9878" s="1497"/>
      <c r="F9878" s="1497">
        <v>190000</v>
      </c>
      <c r="G9878" s="1309" t="s">
        <v>27</v>
      </c>
      <c r="H9878" s="3"/>
    </row>
    <row r="9879" spans="1:8">
      <c r="A9879" s="1311">
        <v>46129</v>
      </c>
      <c r="B9879" s="1309"/>
      <c r="C9879" s="1309" t="s">
        <v>92</v>
      </c>
      <c r="D9879" s="3" t="s">
        <v>4526</v>
      </c>
      <c r="E9879" s="1497"/>
      <c r="F9879" s="1497">
        <v>58900</v>
      </c>
      <c r="G9879" s="1309" t="s">
        <v>27</v>
      </c>
      <c r="H9879" s="3"/>
    </row>
    <row r="9880" spans="1:8">
      <c r="A9880" s="1311">
        <v>46129</v>
      </c>
      <c r="B9880" s="1309"/>
      <c r="C9880" s="1309" t="s">
        <v>205</v>
      </c>
      <c r="D9880" s="3" t="s">
        <v>755</v>
      </c>
      <c r="E9880" s="1497">
        <v>45000</v>
      </c>
      <c r="F9880" s="1497"/>
      <c r="G9880" s="1309" t="s">
        <v>27</v>
      </c>
      <c r="H9880" s="3"/>
    </row>
    <row r="9881" spans="1:8">
      <c r="A9881" s="1311">
        <v>46129</v>
      </c>
      <c r="B9881" s="1309"/>
      <c r="C9881" s="1309" t="s">
        <v>77</v>
      </c>
      <c r="D9881" s="3" t="s">
        <v>4527</v>
      </c>
      <c r="E9881" s="1497"/>
      <c r="F9881" s="1497">
        <v>1550</v>
      </c>
      <c r="G9881" s="1309" t="s">
        <v>4071</v>
      </c>
      <c r="H9881" s="3"/>
    </row>
    <row r="9882" spans="1:8">
      <c r="A9882" s="1311">
        <v>46129</v>
      </c>
      <c r="B9882" s="1309"/>
      <c r="C9882" s="1309" t="s">
        <v>77</v>
      </c>
      <c r="D9882" s="3" t="s">
        <v>4527</v>
      </c>
      <c r="E9882" s="1497"/>
      <c r="F9882" s="1497">
        <v>300000</v>
      </c>
      <c r="G9882" s="1309" t="s">
        <v>781</v>
      </c>
      <c r="H9882" s="3"/>
    </row>
    <row r="9883" spans="1:8">
      <c r="A9883" s="1311">
        <v>46129</v>
      </c>
      <c r="B9883" s="1310"/>
      <c r="C9883" s="1310" t="s">
        <v>537</v>
      </c>
      <c r="D9883" s="3" t="s">
        <v>144</v>
      </c>
      <c r="E9883" s="1497">
        <v>185000</v>
      </c>
      <c r="F9883" s="1497"/>
      <c r="G9883" s="1310" t="s">
        <v>27</v>
      </c>
      <c r="H9883" s="3"/>
    </row>
    <row r="9884" spans="1:8">
      <c r="A9884" s="1311">
        <v>46129</v>
      </c>
      <c r="B9884" s="1310"/>
      <c r="C9884" s="1310" t="s">
        <v>537</v>
      </c>
      <c r="D9884" s="3" t="s">
        <v>144</v>
      </c>
      <c r="E9884" s="1497">
        <v>300000</v>
      </c>
      <c r="F9884" s="1497"/>
      <c r="G9884" s="1310" t="s">
        <v>56</v>
      </c>
      <c r="H9884" s="3"/>
    </row>
    <row r="9885" spans="1:8">
      <c r="A9885" s="1311">
        <v>46129</v>
      </c>
      <c r="B9885" s="1310"/>
      <c r="C9885" s="1310" t="s">
        <v>537</v>
      </c>
      <c r="D9885" s="3" t="s">
        <v>4492</v>
      </c>
      <c r="E9885" s="1497">
        <v>250000</v>
      </c>
      <c r="F9885" s="1497"/>
      <c r="G9885" s="1310" t="s">
        <v>56</v>
      </c>
      <c r="H9885" s="3"/>
    </row>
    <row r="9886" spans="1:8">
      <c r="A9886" s="1311">
        <v>46129</v>
      </c>
      <c r="B9886" s="1310"/>
      <c r="C9886" s="1310" t="s">
        <v>537</v>
      </c>
      <c r="D9886" s="3" t="s">
        <v>219</v>
      </c>
      <c r="E9886" s="1497">
        <v>330000</v>
      </c>
      <c r="F9886" s="1497"/>
      <c r="G9886" s="1310" t="s">
        <v>56</v>
      </c>
      <c r="H9886" s="3"/>
    </row>
    <row r="9887" spans="1:8">
      <c r="A9887" s="1311">
        <v>46129</v>
      </c>
      <c r="B9887" s="1310"/>
      <c r="C9887" s="1310" t="s">
        <v>537</v>
      </c>
      <c r="D9887" s="3" t="s">
        <v>193</v>
      </c>
      <c r="E9887" s="1497">
        <v>170000</v>
      </c>
      <c r="F9887" s="1497"/>
      <c r="G9887" s="1310" t="s">
        <v>56</v>
      </c>
      <c r="H9887" s="3"/>
    </row>
    <row r="9888" spans="1:8">
      <c r="A9888" s="1311">
        <v>46129</v>
      </c>
      <c r="B9888" s="1310"/>
      <c r="C9888" s="1310" t="s">
        <v>92</v>
      </c>
      <c r="D9888" s="3" t="s">
        <v>4198</v>
      </c>
      <c r="E9888" s="1497"/>
      <c r="F9888" s="1497">
        <v>222400</v>
      </c>
      <c r="G9888" s="1310" t="s">
        <v>27</v>
      </c>
      <c r="H9888" s="3"/>
    </row>
    <row r="9889" spans="1:8" ht="18" customHeight="1">
      <c r="A9889" s="1311">
        <v>46129</v>
      </c>
      <c r="B9889" s="1310"/>
      <c r="C9889" s="1310" t="s">
        <v>94</v>
      </c>
      <c r="D9889" s="3" t="s">
        <v>17</v>
      </c>
      <c r="E9889" s="1497" t="s">
        <v>4531</v>
      </c>
      <c r="F9889" s="1497"/>
      <c r="G9889" s="1310" t="s">
        <v>27</v>
      </c>
      <c r="H9889" s="3"/>
    </row>
    <row r="9890" spans="1:8" ht="15.75" thickBot="1">
      <c r="A9890" s="1311">
        <v>46129</v>
      </c>
      <c r="B9890" s="1310"/>
      <c r="C9890" s="1310" t="s">
        <v>205</v>
      </c>
      <c r="D9890" s="3" t="s">
        <v>1852</v>
      </c>
      <c r="E9890" s="1497">
        <v>10000</v>
      </c>
      <c r="F9890" s="1497"/>
      <c r="G9890" s="1310" t="s">
        <v>56</v>
      </c>
      <c r="H9890" s="85"/>
    </row>
    <row r="9891" spans="1:8">
      <c r="H9891" s="1226">
        <v>46129</v>
      </c>
    </row>
    <row r="9892" spans="1:8">
      <c r="H9892" s="136" t="s">
        <v>876</v>
      </c>
    </row>
    <row r="9893" spans="1:8">
      <c r="H9893" s="137" t="s">
        <v>4528</v>
      </c>
    </row>
    <row r="9894" spans="1:8">
      <c r="H9894" s="137" t="s">
        <v>4529</v>
      </c>
    </row>
    <row r="9895" spans="1:8">
      <c r="H9895" s="138" t="s">
        <v>3850</v>
      </c>
    </row>
    <row r="9896" spans="1:8">
      <c r="H9896" s="138" t="s">
        <v>4532</v>
      </c>
    </row>
    <row r="9897" spans="1:8">
      <c r="H9897" s="138" t="s">
        <v>4486</v>
      </c>
    </row>
    <row r="9898" spans="1:8">
      <c r="H9898" s="138" t="s">
        <v>4334</v>
      </c>
    </row>
    <row r="9899" spans="1:8">
      <c r="H9899" s="139" t="s">
        <v>4511</v>
      </c>
    </row>
    <row r="9900" spans="1:8">
      <c r="A9900" s="1315">
        <v>46132</v>
      </c>
      <c r="B9900" s="1314"/>
      <c r="C9900" s="1314" t="s">
        <v>86</v>
      </c>
      <c r="D9900" s="3" t="s">
        <v>3749</v>
      </c>
      <c r="E9900" s="1497">
        <v>30000</v>
      </c>
      <c r="F9900" s="1497"/>
      <c r="G9900" s="1314" t="s">
        <v>27</v>
      </c>
      <c r="H9900" s="126"/>
    </row>
    <row r="9901" spans="1:8">
      <c r="A9901" s="1315">
        <v>46132</v>
      </c>
      <c r="B9901" s="1314"/>
      <c r="C9901" s="1314" t="s">
        <v>79</v>
      </c>
      <c r="D9901" s="3" t="s">
        <v>79</v>
      </c>
      <c r="E9901" s="1497">
        <v>44905.93</v>
      </c>
      <c r="F9901" s="1497"/>
      <c r="G9901" s="1314" t="s">
        <v>27</v>
      </c>
      <c r="H9901" s="126"/>
    </row>
    <row r="9902" spans="1:8">
      <c r="A9902" s="1315">
        <v>46132</v>
      </c>
      <c r="B9902" s="1314"/>
      <c r="C9902" s="1314" t="s">
        <v>79</v>
      </c>
      <c r="D9902" s="3" t="s">
        <v>166</v>
      </c>
      <c r="E9902" s="1497">
        <v>577300</v>
      </c>
      <c r="F9902" s="1497"/>
      <c r="G9902" s="1314" t="s">
        <v>27</v>
      </c>
      <c r="H9902" s="126"/>
    </row>
    <row r="9903" spans="1:8">
      <c r="A9903" s="1315">
        <v>46132</v>
      </c>
      <c r="B9903" s="1314"/>
      <c r="C9903" s="1314" t="s">
        <v>730</v>
      </c>
      <c r="D9903" s="3" t="s">
        <v>3855</v>
      </c>
      <c r="E9903" s="1497">
        <v>200000</v>
      </c>
      <c r="F9903" s="1497"/>
      <c r="G9903" s="1314" t="s">
        <v>27</v>
      </c>
      <c r="H9903" s="3"/>
    </row>
    <row r="9904" spans="1:8">
      <c r="A9904" s="1315">
        <v>46132</v>
      </c>
      <c r="B9904" s="1314"/>
      <c r="C9904" s="1314" t="s">
        <v>94</v>
      </c>
      <c r="D9904" s="3" t="s">
        <v>2539</v>
      </c>
      <c r="E9904" s="1497">
        <v>229975.37</v>
      </c>
      <c r="F9904" s="1497"/>
      <c r="G9904" s="1314" t="s">
        <v>27</v>
      </c>
      <c r="H9904" s="3"/>
    </row>
    <row r="9905" spans="1:8">
      <c r="A9905" s="1315">
        <v>46132</v>
      </c>
      <c r="B9905" s="1314"/>
      <c r="C9905" s="1314" t="s">
        <v>94</v>
      </c>
      <c r="D9905" s="3" t="s">
        <v>13</v>
      </c>
      <c r="E9905" s="1497">
        <v>132884.79</v>
      </c>
      <c r="F9905" s="1497"/>
      <c r="G9905" s="1314" t="s">
        <v>27</v>
      </c>
      <c r="H9905" s="3"/>
    </row>
    <row r="9906" spans="1:8">
      <c r="A9906" s="1315">
        <v>46132</v>
      </c>
      <c r="B9906" s="1314"/>
      <c r="C9906" s="1314" t="s">
        <v>55</v>
      </c>
      <c r="D9906" s="3" t="s">
        <v>70</v>
      </c>
      <c r="E9906" s="1497">
        <v>6000</v>
      </c>
      <c r="F9906" s="1497"/>
      <c r="G9906" s="1314" t="s">
        <v>27</v>
      </c>
      <c r="H9906" s="3"/>
    </row>
    <row r="9907" spans="1:8">
      <c r="A9907" s="1315">
        <v>46132</v>
      </c>
      <c r="B9907" s="1314"/>
      <c r="C9907" s="1314" t="s">
        <v>86</v>
      </c>
      <c r="D9907" s="3" t="s">
        <v>4533</v>
      </c>
      <c r="E9907" s="1497">
        <v>40000</v>
      </c>
      <c r="F9907" s="1497"/>
      <c r="G9907" s="1314" t="s">
        <v>56</v>
      </c>
      <c r="H9907" s="3"/>
    </row>
    <row r="9908" spans="1:8">
      <c r="A9908" s="1315">
        <v>46132</v>
      </c>
      <c r="B9908" s="1314"/>
      <c r="C9908" s="1314" t="s">
        <v>92</v>
      </c>
      <c r="D9908" s="3" t="s">
        <v>2077</v>
      </c>
      <c r="E9908" s="1497"/>
      <c r="F9908" s="1497">
        <v>61200</v>
      </c>
      <c r="G9908" s="1314" t="s">
        <v>27</v>
      </c>
      <c r="H9908" s="3"/>
    </row>
    <row r="9909" spans="1:8">
      <c r="A9909" s="1315">
        <v>46132</v>
      </c>
      <c r="B9909" s="1314"/>
      <c r="C9909" s="1314" t="s">
        <v>92</v>
      </c>
      <c r="D9909" s="3" t="s">
        <v>441</v>
      </c>
      <c r="E9909" s="1497"/>
      <c r="F9909" s="1497">
        <v>410750</v>
      </c>
      <c r="G9909" s="1314" t="s">
        <v>27</v>
      </c>
      <c r="H9909" s="3"/>
    </row>
    <row r="9910" spans="1:8">
      <c r="A9910" s="1315">
        <v>46132</v>
      </c>
      <c r="B9910" s="1314"/>
      <c r="C9910" s="1314" t="s">
        <v>92</v>
      </c>
      <c r="D9910" s="3" t="s">
        <v>22</v>
      </c>
      <c r="E9910" s="1497">
        <v>110334.39999999999</v>
      </c>
      <c r="F9910" s="1497"/>
      <c r="G9910" s="1314" t="s">
        <v>27</v>
      </c>
      <c r="H9910" s="3"/>
    </row>
    <row r="9911" spans="1:8">
      <c r="A9911" s="1315">
        <v>46132</v>
      </c>
      <c r="B9911" s="1314"/>
      <c r="C9911" s="1314" t="s">
        <v>55</v>
      </c>
      <c r="D9911" s="3" t="s">
        <v>62</v>
      </c>
      <c r="E9911" s="1497">
        <v>1000</v>
      </c>
      <c r="F9911" s="1497"/>
      <c r="G9911" s="1314" t="s">
        <v>56</v>
      </c>
      <c r="H9911" s="3"/>
    </row>
    <row r="9912" spans="1:8">
      <c r="A9912" s="1316">
        <v>46133</v>
      </c>
      <c r="B9912" s="1314"/>
      <c r="C9912" s="1314" t="s">
        <v>205</v>
      </c>
      <c r="D9912" s="3" t="s">
        <v>48</v>
      </c>
      <c r="E9912" s="1497">
        <v>461000</v>
      </c>
      <c r="F9912" s="1497"/>
      <c r="G9912" s="1314" t="s">
        <v>27</v>
      </c>
      <c r="H9912" s="3"/>
    </row>
    <row r="9913" spans="1:8">
      <c r="A9913" s="1316">
        <v>46133</v>
      </c>
      <c r="B9913" s="1314"/>
      <c r="C9913" s="1317" t="s">
        <v>205</v>
      </c>
      <c r="D9913" s="3" t="s">
        <v>113</v>
      </c>
      <c r="E9913" s="1497">
        <v>176000</v>
      </c>
      <c r="F9913" s="1497"/>
      <c r="G9913" s="1314" t="s">
        <v>27</v>
      </c>
      <c r="H9913" s="3"/>
    </row>
    <row r="9914" spans="1:8">
      <c r="A9914" s="1316">
        <v>46133</v>
      </c>
      <c r="B9914" s="1314"/>
      <c r="C9914" s="1317" t="s">
        <v>205</v>
      </c>
      <c r="D9914" s="3" t="s">
        <v>354</v>
      </c>
      <c r="E9914" s="1497">
        <v>59714</v>
      </c>
      <c r="F9914" s="1497"/>
      <c r="G9914" s="1314" t="s">
        <v>27</v>
      </c>
      <c r="H9914" s="3"/>
    </row>
    <row r="9915" spans="1:8">
      <c r="A9915" s="1316">
        <v>46133</v>
      </c>
      <c r="B9915" s="1314"/>
      <c r="C9915" s="1314" t="s">
        <v>77</v>
      </c>
      <c r="D9915" s="3" t="s">
        <v>4534</v>
      </c>
      <c r="E9915" s="1497"/>
      <c r="F9915" s="1497">
        <v>1500000</v>
      </c>
      <c r="G9915" s="1314" t="s">
        <v>56</v>
      </c>
      <c r="H9915" s="3"/>
    </row>
    <row r="9916" spans="1:8">
      <c r="A9916" s="1316">
        <v>46133</v>
      </c>
      <c r="B9916" s="1314"/>
      <c r="C9916" s="1314" t="s">
        <v>77</v>
      </c>
      <c r="D9916" s="3" t="s">
        <v>4535</v>
      </c>
      <c r="E9916" s="1497"/>
      <c r="F9916" s="1497">
        <v>418100</v>
      </c>
      <c r="G9916" s="1314" t="s">
        <v>27</v>
      </c>
      <c r="H9916" s="3"/>
    </row>
    <row r="9917" spans="1:8">
      <c r="A9917" s="1316">
        <v>46133</v>
      </c>
      <c r="B9917" s="1317"/>
      <c r="C9917" s="1317" t="s">
        <v>77</v>
      </c>
      <c r="D9917" s="3" t="s">
        <v>4536</v>
      </c>
      <c r="E9917" s="1497"/>
      <c r="F9917" s="1497">
        <v>188000</v>
      </c>
      <c r="G9917" s="1317" t="s">
        <v>72</v>
      </c>
      <c r="H9917" s="3"/>
    </row>
    <row r="9918" spans="1:8">
      <c r="A9918" s="1316">
        <v>46133</v>
      </c>
      <c r="B9918" s="1317"/>
      <c r="C9918" s="1317" t="s">
        <v>205</v>
      </c>
      <c r="D9918" s="3" t="s">
        <v>4537</v>
      </c>
      <c r="E9918" s="1497">
        <v>28600</v>
      </c>
      <c r="F9918" s="1497"/>
      <c r="G9918" s="1317"/>
      <c r="H9918" s="3"/>
    </row>
    <row r="9919" spans="1:8">
      <c r="A9919" s="1316">
        <v>46133</v>
      </c>
      <c r="B9919" s="1317"/>
      <c r="C9919" s="1317" t="s">
        <v>205</v>
      </c>
      <c r="D9919" s="3" t="s">
        <v>71</v>
      </c>
      <c r="E9919" s="1497">
        <v>370000</v>
      </c>
      <c r="F9919" s="1497"/>
      <c r="G9919" s="1317" t="s">
        <v>27</v>
      </c>
      <c r="H9919" s="3"/>
    </row>
    <row r="9920" spans="1:8">
      <c r="A9920" s="1316">
        <v>46133</v>
      </c>
      <c r="B9920" s="1317"/>
      <c r="C9920" s="1317" t="s">
        <v>205</v>
      </c>
      <c r="D9920" s="3" t="s">
        <v>3296</v>
      </c>
      <c r="E9920" s="1497">
        <v>1761000</v>
      </c>
      <c r="F9920" s="1497"/>
      <c r="G9920" s="1317" t="s">
        <v>72</v>
      </c>
      <c r="H9920" s="3"/>
    </row>
    <row r="9921" spans="1:8">
      <c r="A9921" s="1316">
        <v>46133</v>
      </c>
      <c r="B9921" s="1317"/>
      <c r="C9921" s="1317" t="s">
        <v>205</v>
      </c>
      <c r="D9921" s="3" t="s">
        <v>3296</v>
      </c>
      <c r="E9921" s="1497">
        <v>450000</v>
      </c>
      <c r="F9921" s="1497"/>
      <c r="G9921" s="1317" t="s">
        <v>27</v>
      </c>
      <c r="H9921" s="3"/>
    </row>
    <row r="9922" spans="1:8">
      <c r="A9922" s="1319">
        <v>46133</v>
      </c>
      <c r="B9922" s="1317"/>
      <c r="C9922" s="1317" t="s">
        <v>79</v>
      </c>
      <c r="D9922" s="3" t="s">
        <v>3016</v>
      </c>
      <c r="E9922" s="1497">
        <v>150000</v>
      </c>
      <c r="F9922" s="1497"/>
      <c r="G9922" s="1317" t="s">
        <v>56</v>
      </c>
      <c r="H9922" s="3"/>
    </row>
    <row r="9923" spans="1:8">
      <c r="A9923" s="1319">
        <v>46133</v>
      </c>
      <c r="B9923" s="1317"/>
      <c r="C9923" s="1317" t="s">
        <v>79</v>
      </c>
      <c r="D9923" s="3" t="s">
        <v>345</v>
      </c>
      <c r="E9923" s="1497">
        <v>150000</v>
      </c>
      <c r="F9923" s="1497"/>
      <c r="G9923" s="1317" t="s">
        <v>56</v>
      </c>
      <c r="H9923" s="3"/>
    </row>
    <row r="9924" spans="1:8">
      <c r="A9924" s="1319">
        <v>46133</v>
      </c>
      <c r="B9924" s="1317"/>
      <c r="C9924" s="1317" t="s">
        <v>28</v>
      </c>
      <c r="D9924" s="3" t="s">
        <v>535</v>
      </c>
      <c r="E9924" s="1497">
        <v>246970.7</v>
      </c>
      <c r="F9924" s="1497"/>
      <c r="G9924" s="1317" t="s">
        <v>27</v>
      </c>
      <c r="H9924" s="3"/>
    </row>
    <row r="9925" spans="1:8">
      <c r="A9925" s="1319">
        <v>46133</v>
      </c>
      <c r="B9925" s="1317"/>
      <c r="C9925" s="1317" t="s">
        <v>77</v>
      </c>
      <c r="D9925" s="3" t="s">
        <v>4538</v>
      </c>
      <c r="E9925" s="1497"/>
      <c r="F9925" s="1497">
        <v>2610000</v>
      </c>
      <c r="G9925" s="1317" t="s">
        <v>27</v>
      </c>
      <c r="H9925" s="167" t="s">
        <v>4539</v>
      </c>
    </row>
    <row r="9926" spans="1:8">
      <c r="A9926" s="1319">
        <v>46134</v>
      </c>
      <c r="B9926" s="1317"/>
      <c r="C9926" s="1317" t="s">
        <v>92</v>
      </c>
      <c r="D9926" s="3" t="s">
        <v>4540</v>
      </c>
      <c r="E9926" s="1497"/>
      <c r="F9926" s="1497">
        <v>135700</v>
      </c>
      <c r="G9926" s="1318" t="s">
        <v>27</v>
      </c>
      <c r="H9926" s="3"/>
    </row>
    <row r="9927" spans="1:8">
      <c r="A9927" s="1319">
        <v>46134</v>
      </c>
      <c r="B9927" s="1317"/>
      <c r="C9927" s="1317" t="s">
        <v>205</v>
      </c>
      <c r="D9927" s="3" t="s">
        <v>71</v>
      </c>
      <c r="E9927" s="1497">
        <v>2560000</v>
      </c>
      <c r="F9927" s="1497"/>
      <c r="G9927" s="1318" t="s">
        <v>27</v>
      </c>
      <c r="H9927" s="3"/>
    </row>
    <row r="9928" spans="1:8">
      <c r="A9928" s="1319">
        <v>46134</v>
      </c>
      <c r="B9928" s="1318"/>
      <c r="C9928" s="1318" t="s">
        <v>205</v>
      </c>
      <c r="D9928" s="3" t="s">
        <v>11</v>
      </c>
      <c r="E9928" s="1497">
        <v>908000</v>
      </c>
      <c r="F9928" s="1497"/>
      <c r="G9928" s="1318" t="s">
        <v>27</v>
      </c>
      <c r="H9928" s="3"/>
    </row>
    <row r="9929" spans="1:8">
      <c r="A9929" s="1319">
        <v>46134</v>
      </c>
      <c r="B9929" s="1318"/>
      <c r="C9929" s="1318" t="s">
        <v>77</v>
      </c>
      <c r="D9929" s="3" t="s">
        <v>4541</v>
      </c>
      <c r="E9929" s="1497"/>
      <c r="F9929" s="1497">
        <v>597320</v>
      </c>
      <c r="G9929" s="1318" t="s">
        <v>72</v>
      </c>
      <c r="H9929" s="167" t="s">
        <v>4542</v>
      </c>
    </row>
    <row r="9930" spans="1:8">
      <c r="A9930" s="1319">
        <v>46134</v>
      </c>
      <c r="B9930" s="1318"/>
      <c r="C9930" s="1318" t="s">
        <v>77</v>
      </c>
      <c r="D9930" s="3" t="s">
        <v>4541</v>
      </c>
      <c r="E9930" s="1497"/>
      <c r="F9930" s="1497">
        <v>1643000</v>
      </c>
      <c r="G9930" s="1318" t="s">
        <v>56</v>
      </c>
      <c r="H9930" s="3"/>
    </row>
    <row r="9931" spans="1:8">
      <c r="A9931" s="1319">
        <v>46134</v>
      </c>
      <c r="B9931" s="1318"/>
      <c r="C9931" s="1318" t="s">
        <v>92</v>
      </c>
      <c r="D9931" s="3" t="s">
        <v>317</v>
      </c>
      <c r="E9931" s="1497"/>
      <c r="F9931" s="1497">
        <v>65000</v>
      </c>
      <c r="G9931" s="1318" t="s">
        <v>56</v>
      </c>
      <c r="H9931" s="3"/>
    </row>
    <row r="9932" spans="1:8">
      <c r="A9932" s="1319">
        <v>46134</v>
      </c>
      <c r="B9932" s="1318"/>
      <c r="C9932" s="1318" t="s">
        <v>55</v>
      </c>
      <c r="D9932" s="15" t="s">
        <v>70</v>
      </c>
      <c r="E9932" s="1497">
        <v>22550</v>
      </c>
      <c r="F9932" s="1497"/>
      <c r="G9932" s="1318" t="s">
        <v>56</v>
      </c>
      <c r="H9932" s="3"/>
    </row>
    <row r="9933" spans="1:8">
      <c r="A9933" s="1320">
        <v>46135</v>
      </c>
      <c r="B9933" s="1318"/>
      <c r="C9933" s="1318" t="s">
        <v>79</v>
      </c>
      <c r="D9933" s="3" t="s">
        <v>4544</v>
      </c>
      <c r="E9933" s="1497">
        <v>15639.18</v>
      </c>
      <c r="F9933" s="1497"/>
      <c r="G9933" s="1318" t="s">
        <v>27</v>
      </c>
      <c r="H9933" s="3"/>
    </row>
    <row r="9934" spans="1:8">
      <c r="A9934" s="1320">
        <v>46135</v>
      </c>
      <c r="B9934" s="1318"/>
      <c r="C9934" s="1318" t="s">
        <v>65</v>
      </c>
      <c r="D9934" s="3" t="s">
        <v>4543</v>
      </c>
      <c r="E9934" s="1497">
        <v>69618</v>
      </c>
      <c r="F9934" s="1497"/>
      <c r="G9934" s="1318" t="s">
        <v>27</v>
      </c>
      <c r="H9934" s="3"/>
    </row>
    <row r="9935" spans="1:8">
      <c r="A9935" s="1320">
        <v>46135</v>
      </c>
      <c r="B9935" s="1318"/>
      <c r="C9935" s="1318" t="s">
        <v>55</v>
      </c>
      <c r="D9935" s="3" t="s">
        <v>976</v>
      </c>
      <c r="E9935" s="1497">
        <v>9000</v>
      </c>
      <c r="F9935" s="1497"/>
      <c r="G9935" s="1318" t="s">
        <v>56</v>
      </c>
      <c r="H9935" s="3"/>
    </row>
    <row r="9936" spans="1:8">
      <c r="A9936" s="1320">
        <v>46135</v>
      </c>
      <c r="B9936" s="1318"/>
      <c r="C9936" s="1318" t="s">
        <v>92</v>
      </c>
      <c r="D9936" s="3" t="s">
        <v>4151</v>
      </c>
      <c r="E9936" s="1497"/>
      <c r="F9936" s="1497">
        <v>68000</v>
      </c>
      <c r="G9936" s="1318" t="s">
        <v>56</v>
      </c>
      <c r="H9936" s="3"/>
    </row>
    <row r="9937" spans="1:8">
      <c r="A9937" s="1320">
        <v>46135</v>
      </c>
      <c r="B9937" s="1318"/>
      <c r="C9937" s="1321" t="s">
        <v>92</v>
      </c>
      <c r="D9937" s="3" t="s">
        <v>3822</v>
      </c>
      <c r="E9937" s="1497"/>
      <c r="F9937" s="1497">
        <v>65000</v>
      </c>
      <c r="G9937" s="1321" t="s">
        <v>56</v>
      </c>
      <c r="H9937" s="3"/>
    </row>
    <row r="9938" spans="1:8">
      <c r="A9938" s="1320">
        <v>46135</v>
      </c>
      <c r="B9938" s="1318"/>
      <c r="C9938" s="1321" t="s">
        <v>92</v>
      </c>
      <c r="D9938" s="3" t="s">
        <v>2520</v>
      </c>
      <c r="E9938" s="1497"/>
      <c r="F9938" s="1497">
        <v>48700</v>
      </c>
      <c r="G9938" s="1318" t="s">
        <v>27</v>
      </c>
      <c r="H9938" s="3"/>
    </row>
    <row r="9939" spans="1:8">
      <c r="A9939" s="1320">
        <v>46135</v>
      </c>
      <c r="B9939" s="1318"/>
      <c r="C9939" s="1318" t="s">
        <v>205</v>
      </c>
      <c r="D9939" s="3" t="s">
        <v>71</v>
      </c>
      <c r="E9939" s="1497">
        <v>1505000</v>
      </c>
      <c r="F9939" s="1497"/>
      <c r="G9939" s="1318" t="s">
        <v>56</v>
      </c>
      <c r="H9939" s="3"/>
    </row>
    <row r="9940" spans="1:8">
      <c r="A9940" s="184"/>
      <c r="B9940" s="184"/>
      <c r="C9940" s="184"/>
      <c r="D9940" s="223" t="s">
        <v>4519</v>
      </c>
      <c r="E9940" s="184">
        <v>50000</v>
      </c>
      <c r="F9940" s="184"/>
      <c r="G9940" s="184" t="s">
        <v>56</v>
      </c>
      <c r="H9940" s="223" t="s">
        <v>4481</v>
      </c>
    </row>
    <row r="9941" spans="1:8">
      <c r="A9941" s="1335">
        <v>46136</v>
      </c>
      <c r="B9941" s="1336"/>
      <c r="C9941" s="1336" t="s">
        <v>205</v>
      </c>
      <c r="D9941" s="3" t="s">
        <v>48</v>
      </c>
      <c r="E9941" s="1497">
        <v>227954</v>
      </c>
      <c r="F9941" s="1497"/>
      <c r="G9941" s="1336" t="s">
        <v>27</v>
      </c>
      <c r="H9941" s="3"/>
    </row>
    <row r="9942" spans="1:8">
      <c r="A9942" s="1335">
        <v>46136</v>
      </c>
      <c r="B9942" s="1336"/>
      <c r="C9942" s="1336" t="s">
        <v>92</v>
      </c>
      <c r="D9942" s="3" t="s">
        <v>2730</v>
      </c>
      <c r="E9942" s="1497"/>
      <c r="F9942" s="1497">
        <v>195000</v>
      </c>
      <c r="G9942" s="1336" t="s">
        <v>56</v>
      </c>
      <c r="H9942" s="3"/>
    </row>
    <row r="9943" spans="1:8">
      <c r="A9943" s="1335">
        <v>46136</v>
      </c>
      <c r="B9943" s="1336"/>
      <c r="C9943" s="1336" t="s">
        <v>205</v>
      </c>
      <c r="D9943" s="3" t="s">
        <v>190</v>
      </c>
      <c r="E9943" s="1497">
        <v>500000</v>
      </c>
      <c r="F9943" s="1497"/>
      <c r="G9943" s="1336" t="s">
        <v>56</v>
      </c>
      <c r="H9943" s="3"/>
    </row>
    <row r="9944" spans="1:8">
      <c r="A9944" s="1335">
        <v>46136</v>
      </c>
      <c r="B9944" s="1336"/>
      <c r="C9944" s="1336" t="s">
        <v>205</v>
      </c>
      <c r="D9944" s="3" t="s">
        <v>190</v>
      </c>
      <c r="E9944" s="1497">
        <v>785320</v>
      </c>
      <c r="F9944" s="1497"/>
      <c r="G9944" s="1336" t="s">
        <v>72</v>
      </c>
      <c r="H9944" s="3"/>
    </row>
    <row r="9945" spans="1:8">
      <c r="A9945" s="1335">
        <v>46136</v>
      </c>
      <c r="B9945" s="1336"/>
      <c r="C9945" s="1336" t="s">
        <v>537</v>
      </c>
      <c r="D9945" s="3" t="s">
        <v>219</v>
      </c>
      <c r="E9945" s="1497">
        <v>340000</v>
      </c>
      <c r="F9945" s="1497"/>
      <c r="G9945" s="1336" t="s">
        <v>56</v>
      </c>
      <c r="H9945" s="3"/>
    </row>
    <row r="9946" spans="1:8">
      <c r="A9946" s="1335">
        <v>46136</v>
      </c>
      <c r="B9946" s="1336"/>
      <c r="C9946" s="1336" t="s">
        <v>537</v>
      </c>
      <c r="D9946" s="3" t="s">
        <v>4492</v>
      </c>
      <c r="E9946" s="1497">
        <v>257500</v>
      </c>
      <c r="F9946" s="1497"/>
      <c r="G9946" s="1336" t="s">
        <v>56</v>
      </c>
      <c r="H9946" s="3"/>
    </row>
    <row r="9947" spans="1:8">
      <c r="A9947" s="1335">
        <v>46136</v>
      </c>
      <c r="B9947" s="1336"/>
      <c r="C9947" s="1336" t="s">
        <v>537</v>
      </c>
      <c r="D9947" s="3" t="s">
        <v>144</v>
      </c>
      <c r="E9947" s="1497">
        <v>585000</v>
      </c>
      <c r="F9947" s="1497"/>
      <c r="G9947" s="1336" t="s">
        <v>56</v>
      </c>
      <c r="H9947" s="3"/>
    </row>
    <row r="9948" spans="1:8">
      <c r="A9948" s="1335">
        <v>46136</v>
      </c>
      <c r="B9948" s="1336"/>
      <c r="C9948" s="1336" t="s">
        <v>537</v>
      </c>
      <c r="D9948" s="3" t="s">
        <v>193</v>
      </c>
      <c r="E9948" s="1497">
        <v>170000</v>
      </c>
      <c r="F9948" s="1497"/>
      <c r="G9948" s="1336" t="s">
        <v>56</v>
      </c>
      <c r="H9948" s="3"/>
    </row>
    <row r="9949" spans="1:8" ht="15.75" thickBot="1">
      <c r="A9949" s="1335">
        <v>46136</v>
      </c>
      <c r="B9949" s="1336"/>
      <c r="C9949" s="1336" t="s">
        <v>537</v>
      </c>
      <c r="D9949" s="3" t="s">
        <v>62</v>
      </c>
      <c r="E9949" s="1497">
        <v>2500</v>
      </c>
      <c r="F9949" s="1497"/>
      <c r="G9949" s="1336" t="s">
        <v>56</v>
      </c>
      <c r="H9949" s="85"/>
    </row>
    <row r="9950" spans="1:8">
      <c r="A9950" s="148"/>
      <c r="B9950" s="1334"/>
      <c r="C9950" s="1334"/>
      <c r="D9950" s="115"/>
      <c r="E9950" s="1492"/>
      <c r="F9950" s="1492"/>
      <c r="G9950" s="1334"/>
      <c r="H9950" s="1226">
        <v>46136</v>
      </c>
    </row>
    <row r="9951" spans="1:8">
      <c r="A9951" s="148"/>
      <c r="B9951" s="1334"/>
      <c r="C9951" s="1334"/>
      <c r="D9951" s="115"/>
      <c r="E9951" s="1492"/>
      <c r="F9951" s="1492"/>
      <c r="G9951" s="1334"/>
      <c r="H9951" s="136" t="s">
        <v>876</v>
      </c>
    </row>
    <row r="9952" spans="1:8">
      <c r="A9952" s="148"/>
      <c r="B9952" s="1334"/>
      <c r="C9952" s="1334"/>
      <c r="D9952" s="115"/>
      <c r="E9952" s="1492"/>
      <c r="F9952" s="1492"/>
      <c r="G9952" s="1334"/>
      <c r="H9952" s="137" t="s">
        <v>4528</v>
      </c>
    </row>
    <row r="9953" spans="1:1023 1025:2047 2049:3071 3073:4095 4097:5119 5121:6143 6145:7167 7169:8191 8193:9215 9217:10239 10241:11263 11265:12287 12289:13311 13313:14335 14337:15359 15361:16383">
      <c r="A9953" s="1334"/>
      <c r="B9953" s="1334"/>
      <c r="C9953" s="1334"/>
      <c r="D9953" s="115"/>
      <c r="E9953" s="1492"/>
      <c r="F9953" s="1492"/>
      <c r="G9953" s="1334"/>
      <c r="H9953" s="137" t="s">
        <v>4545</v>
      </c>
    </row>
    <row r="9954" spans="1:1023 1025:2047 2049:3071 3073:4095 4097:5119 5121:6143 6145:7167 7169:8191 8193:9215 9217:10239 10241:11263 11265:12287 12289:13311 13313:14335 14337:15359 15361:16383">
      <c r="H9954" s="138" t="s">
        <v>4548</v>
      </c>
    </row>
    <row r="9955" spans="1:1023 1025:2047 2049:3071 3073:4095 4097:5119 5121:6143 6145:7167 7169:8191 8193:9215 9217:10239 10241:11263 11265:12287 12289:13311 13313:14335 14337:15359 15361:16383">
      <c r="H9955" s="138" t="s">
        <v>4546</v>
      </c>
    </row>
    <row r="9956" spans="1:1023 1025:2047 2049:3071 3073:4095 4097:5119 5121:6143 6145:7167 7169:8191 8193:9215 9217:10239 10241:11263 11265:12287 12289:13311 13313:14335 14337:15359 15361:16383">
      <c r="H9956" s="138" t="s">
        <v>4486</v>
      </c>
    </row>
    <row r="9957" spans="1:1023 1025:2047 2049:3071 3073:4095 4097:5119 5121:6143 6145:7167 7169:8191 8193:9215 9217:10239 10241:11263 11265:12287 12289:13311 13313:14335 14337:15359 15361:16383">
      <c r="H9957" s="138" t="s">
        <v>4334</v>
      </c>
    </row>
    <row r="9958" spans="1:1023 1025:2047 2049:3071 3073:4095 4097:5119 5121:6143 6145:7167 7169:8191 8193:9215 9217:10239 10241:11263 11265:12287 12289:13311 13313:14335 14337:15359 15361:16383" ht="15.75" thickBot="1">
      <c r="H9958" s="147" t="s">
        <v>4547</v>
      </c>
    </row>
    <row r="9959" spans="1:1023 1025:2047 2049:3071 3073:4095 4097:5119 5121:6143 6145:7167 7169:8191 8193:9215 9217:10239 10241:11263 11265:12287 12289:13311 13313:14335 14337:15359 15361:16383">
      <c r="A9959" s="1322">
        <v>46139</v>
      </c>
      <c r="B9959" s="1323"/>
      <c r="C9959" s="1323" t="s">
        <v>4550</v>
      </c>
      <c r="D9959" s="3" t="s">
        <v>4549</v>
      </c>
      <c r="E9959" s="1497">
        <v>175000</v>
      </c>
      <c r="F9959" s="1516"/>
      <c r="G9959" s="1323" t="s">
        <v>27</v>
      </c>
      <c r="H9959" s="5"/>
    </row>
    <row r="9960" spans="1:1023 1025:2047 2049:3071 3073:4095 4097:5119 5121:6143 6145:7167 7169:8191 8193:9215 9217:10239 10241:11263 11265:12287 12289:13311 13313:14335 14337:15359 15361:16383">
      <c r="A9960" s="1322">
        <v>46139</v>
      </c>
      <c r="B9960" s="1323"/>
      <c r="C9960" s="1323" t="s">
        <v>79</v>
      </c>
      <c r="D9960" s="3" t="s">
        <v>79</v>
      </c>
      <c r="E9960" s="1497">
        <v>36000</v>
      </c>
      <c r="F9960" s="1497"/>
      <c r="G9960" s="1323" t="s">
        <v>27</v>
      </c>
      <c r="H9960" s="3"/>
    </row>
    <row r="9961" spans="1:1023 1025:2047 2049:3071 3073:4095 4097:5119 5121:6143 6145:7167 7169:8191 8193:9215 9217:10239 10241:11263 11265:12287 12289:13311 13313:14335 14337:15359 15361:16383">
      <c r="A9961" s="1322">
        <v>46139</v>
      </c>
      <c r="B9961" s="1323"/>
      <c r="C9961" s="1323" t="s">
        <v>77</v>
      </c>
      <c r="D9961" s="3" t="s">
        <v>441</v>
      </c>
      <c r="E9961" s="1497"/>
      <c r="F9961" s="1497">
        <v>691200</v>
      </c>
      <c r="G9961" s="1323" t="s">
        <v>27</v>
      </c>
      <c r="H9961" s="3"/>
    </row>
    <row r="9962" spans="1:1023 1025:2047 2049:3071 3073:4095 4097:5119 5121:6143 6145:7167 7169:8191 8193:9215 9217:10239 10241:11263 11265:12287 12289:13311 13313:14335 14337:15359 15361:16383">
      <c r="A9962" s="1322">
        <v>46139</v>
      </c>
      <c r="B9962" s="1323"/>
      <c r="C9962" s="1323" t="s">
        <v>77</v>
      </c>
      <c r="D9962" s="3" t="s">
        <v>441</v>
      </c>
      <c r="E9962" s="1497">
        <v>30961.19</v>
      </c>
      <c r="F9962" s="1497"/>
      <c r="G9962" s="1323" t="s">
        <v>27</v>
      </c>
      <c r="H9962" s="3"/>
    </row>
    <row r="9963" spans="1:1023 1025:2047 2049:3071 3073:4095 4097:5119 5121:6143 6145:7167 7169:8191 8193:9215 9217:10239 10241:11263 11265:12287 12289:13311 13313:14335 14337:15359 15361:16383">
      <c r="A9963" s="1322">
        <v>46139</v>
      </c>
      <c r="B9963" s="1323"/>
      <c r="C9963" s="1323" t="s">
        <v>160</v>
      </c>
      <c r="D9963" s="3" t="s">
        <v>4551</v>
      </c>
      <c r="E9963" s="1497">
        <v>64000</v>
      </c>
      <c r="F9963" s="1497"/>
      <c r="G9963" s="1323" t="s">
        <v>56</v>
      </c>
      <c r="H9963" s="3"/>
    </row>
    <row r="9964" spans="1:1023 1025:2047 2049:3071 3073:4095 4097:5119 5121:6143 6145:7167 7169:8191 8193:9215 9217:10239 10241:11263 11265:12287 12289:13311 13313:14335 14337:15359 15361:16383">
      <c r="A9964" s="1322">
        <v>46139</v>
      </c>
      <c r="B9964" s="1323"/>
      <c r="C9964" s="1323" t="s">
        <v>92</v>
      </c>
      <c r="D9964" s="3" t="s">
        <v>1277</v>
      </c>
      <c r="E9964" s="1497"/>
      <c r="F9964" s="1497">
        <v>45000</v>
      </c>
      <c r="G9964" s="1323" t="s">
        <v>27</v>
      </c>
      <c r="H9964" s="3"/>
    </row>
    <row r="9965" spans="1:1023 1025:2047 2049:3071 3073:4095 4097:5119 5121:6143 6145:7167 7169:8191 8193:9215 9217:10239 10241:11263 11265:12287 12289:13311 13313:14335 14337:15359 15361:16383">
      <c r="A9965" s="1322">
        <v>46139</v>
      </c>
      <c r="B9965" s="1323"/>
      <c r="C9965" s="1323" t="s">
        <v>79</v>
      </c>
      <c r="D9965" s="3" t="s">
        <v>38</v>
      </c>
      <c r="E9965" s="1497">
        <v>20000</v>
      </c>
      <c r="F9965" s="1497"/>
      <c r="G9965" s="1323" t="s">
        <v>56</v>
      </c>
      <c r="H9965" s="3"/>
    </row>
    <row r="9966" spans="1:1023 1025:2047 2049:3071 3073:4095 4097:5119 5121:6143 6145:7167 7169:8191 8193:9215 9217:10239 10241:11263 11265:12287 12289:13311 13313:14335 14337:15359 15361:16383">
      <c r="A9966" s="1327">
        <v>46139</v>
      </c>
      <c r="B9966" s="1326"/>
      <c r="C9966" s="1326" t="s">
        <v>77</v>
      </c>
      <c r="D9966" s="3" t="s">
        <v>4555</v>
      </c>
      <c r="E9966" s="1497"/>
      <c r="F9966" s="1497">
        <v>9065000</v>
      </c>
      <c r="G9966" s="1326" t="s">
        <v>287</v>
      </c>
      <c r="H9966" s="81" t="s">
        <v>4554</v>
      </c>
    </row>
    <row r="9967" spans="1:1023 1025:2047 2049:3071 3073:4095 4097:5119 5121:6143 6145:7167 7169:8191 8193:9215 9217:10239 10241:11263 11265:12287 12289:13311 13313:14335 14337:15359 15361:16383">
      <c r="A9967" s="1327">
        <v>46139</v>
      </c>
      <c r="B9967" s="1326"/>
      <c r="C9967" s="1326" t="s">
        <v>785</v>
      </c>
      <c r="D9967" s="3" t="s">
        <v>4555</v>
      </c>
      <c r="E9967" s="1497">
        <v>145354.72</v>
      </c>
      <c r="F9967" s="1497"/>
      <c r="G9967" s="1326" t="s">
        <v>287</v>
      </c>
      <c r="H9967" s="3"/>
      <c r="I9967" s="1328"/>
      <c r="J9967" s="1328"/>
      <c r="K9967" s="1328"/>
      <c r="M9967" s="1328"/>
      <c r="N9967" s="1328">
        <v>8919645.2799999993</v>
      </c>
      <c r="O9967" s="1328"/>
      <c r="Q9967" s="1328"/>
      <c r="R9967" s="1328"/>
      <c r="S9967" s="1328"/>
      <c r="U9967" s="1328"/>
      <c r="V9967" s="1328">
        <v>8919645.2799999993</v>
      </c>
      <c r="W9967" s="1328"/>
      <c r="Y9967" s="1328"/>
      <c r="Z9967" s="1328"/>
      <c r="AA9967" s="1328"/>
      <c r="AC9967" s="1328"/>
      <c r="AD9967" s="1328">
        <v>8919645.2799999993</v>
      </c>
      <c r="AE9967" s="1328"/>
      <c r="AG9967" s="1328"/>
      <c r="AH9967" s="1328"/>
      <c r="AI9967" s="1328"/>
      <c r="AK9967" s="1328"/>
      <c r="AL9967" s="1328">
        <v>8919645.2799999993</v>
      </c>
      <c r="AM9967" s="1328"/>
      <c r="AO9967" s="1328"/>
      <c r="AP9967" s="1328"/>
      <c r="AQ9967" s="1328"/>
      <c r="AS9967" s="1328"/>
      <c r="AT9967" s="1328">
        <v>8919645.2799999993</v>
      </c>
      <c r="AU9967" s="1328"/>
      <c r="AW9967" s="1328"/>
      <c r="AX9967" s="1328"/>
      <c r="AY9967" s="1328"/>
      <c r="BA9967" s="1328"/>
      <c r="BB9967" s="1328">
        <v>8919645.2799999993</v>
      </c>
      <c r="BC9967" s="1328"/>
      <c r="BE9967" s="1328"/>
      <c r="BF9967" s="1328"/>
      <c r="BG9967" s="1328"/>
      <c r="BI9967" s="1328"/>
      <c r="BJ9967" s="1328">
        <v>8919645.2799999993</v>
      </c>
      <c r="BK9967" s="1328"/>
      <c r="BM9967" s="1328"/>
      <c r="BN9967" s="1328"/>
      <c r="BO9967" s="1328"/>
      <c r="BQ9967" s="1328"/>
      <c r="BR9967" s="1328">
        <v>8919645.2799999993</v>
      </c>
      <c r="BS9967" s="1328"/>
      <c r="BU9967" s="1328"/>
      <c r="BV9967" s="1328"/>
      <c r="BW9967" s="1328"/>
      <c r="BY9967" s="1328"/>
      <c r="BZ9967" s="1328">
        <v>8919645.2799999993</v>
      </c>
      <c r="CA9967" s="1328"/>
      <c r="CC9967" s="1328"/>
      <c r="CD9967" s="1328"/>
      <c r="CE9967" s="1328"/>
      <c r="CG9967" s="1328"/>
      <c r="CH9967" s="1328">
        <v>8919645.2799999993</v>
      </c>
      <c r="CI9967" s="1328"/>
      <c r="CK9967" s="1328"/>
      <c r="CL9967" s="1328"/>
      <c r="CM9967" s="1328"/>
      <c r="CO9967" s="1328"/>
      <c r="CP9967" s="1328">
        <v>8919645.2799999993</v>
      </c>
      <c r="CQ9967" s="1328"/>
      <c r="CS9967" s="1328"/>
      <c r="CT9967" s="1328"/>
      <c r="CU9967" s="1328"/>
      <c r="CW9967" s="1328"/>
      <c r="CX9967" s="1328">
        <v>8919645.2799999993</v>
      </c>
      <c r="CY9967" s="1328"/>
      <c r="DA9967" s="1328"/>
      <c r="DB9967" s="1328"/>
      <c r="DC9967" s="1328"/>
      <c r="DE9967" s="1328"/>
      <c r="DF9967" s="1328">
        <v>8919645.2799999993</v>
      </c>
      <c r="DG9967" s="1328"/>
      <c r="DI9967" s="1328"/>
      <c r="DJ9967" s="1328"/>
      <c r="DK9967" s="1328"/>
      <c r="DM9967" s="1328"/>
      <c r="DN9967" s="1328">
        <v>8919645.2799999993</v>
      </c>
      <c r="DO9967" s="1328"/>
      <c r="DQ9967" s="1328"/>
      <c r="DR9967" s="1328"/>
      <c r="DS9967" s="1328"/>
      <c r="DU9967" s="1328"/>
      <c r="DV9967" s="1328">
        <v>8919645.2799999993</v>
      </c>
      <c r="DW9967" s="1328"/>
      <c r="DY9967" s="1328"/>
      <c r="DZ9967" s="1328"/>
      <c r="EA9967" s="1328"/>
      <c r="EC9967" s="1328"/>
      <c r="ED9967" s="1328">
        <v>8919645.2799999993</v>
      </c>
      <c r="EE9967" s="1328"/>
      <c r="EG9967" s="1328"/>
      <c r="EH9967" s="1328"/>
      <c r="EI9967" s="1328"/>
      <c r="EK9967" s="1328"/>
      <c r="EL9967" s="1328">
        <v>8919645.2799999993</v>
      </c>
      <c r="EM9967" s="1328"/>
      <c r="EO9967" s="1328"/>
      <c r="EP9967" s="1328"/>
      <c r="EQ9967" s="1328"/>
      <c r="ES9967" s="1328"/>
      <c r="ET9967" s="1328">
        <v>8919645.2799999993</v>
      </c>
      <c r="EU9967" s="1328"/>
      <c r="EW9967" s="1328"/>
      <c r="EX9967" s="1328"/>
      <c r="EY9967" s="1328"/>
      <c r="FA9967" s="1328"/>
      <c r="FB9967" s="1328">
        <v>8919645.2799999993</v>
      </c>
      <c r="FC9967" s="1328"/>
      <c r="FE9967" s="1328"/>
      <c r="FF9967" s="1328"/>
      <c r="FG9967" s="1328"/>
      <c r="FI9967" s="1328"/>
      <c r="FJ9967" s="1328">
        <v>8919645.2799999993</v>
      </c>
      <c r="FK9967" s="1328"/>
      <c r="FM9967" s="1328"/>
      <c r="FN9967" s="1328"/>
      <c r="FO9967" s="1328"/>
      <c r="FQ9967" s="1328"/>
      <c r="FR9967" s="1328">
        <v>8919645.2799999993</v>
      </c>
      <c r="FS9967" s="1328"/>
      <c r="FU9967" s="1328"/>
      <c r="FV9967" s="1328"/>
      <c r="FW9967" s="1328"/>
      <c r="FY9967" s="1328"/>
      <c r="FZ9967" s="1328">
        <v>8919645.2799999993</v>
      </c>
      <c r="GA9967" s="1328"/>
      <c r="GC9967" s="1328"/>
      <c r="GD9967" s="1328"/>
      <c r="GE9967" s="1328"/>
      <c r="GG9967" s="1328"/>
      <c r="GH9967" s="1328">
        <v>8919645.2799999993</v>
      </c>
      <c r="GI9967" s="1328"/>
      <c r="GK9967" s="1328"/>
      <c r="GL9967" s="1328"/>
      <c r="GM9967" s="1328"/>
      <c r="GO9967" s="1328"/>
      <c r="GP9967" s="1328">
        <v>8919645.2799999993</v>
      </c>
      <c r="GQ9967" s="1328"/>
      <c r="GS9967" s="1328"/>
      <c r="GT9967" s="1328"/>
      <c r="GU9967" s="1328"/>
      <c r="GW9967" s="1328"/>
      <c r="GX9967" s="1328">
        <v>8919645.2799999993</v>
      </c>
      <c r="GY9967" s="1328"/>
      <c r="HA9967" s="1328"/>
      <c r="HB9967" s="1328"/>
      <c r="HC9967" s="1328"/>
      <c r="HE9967" s="1328"/>
      <c r="HF9967" s="1328">
        <v>8919645.2799999993</v>
      </c>
      <c r="HG9967" s="1328"/>
      <c r="HI9967" s="1328"/>
      <c r="HJ9967" s="1328"/>
      <c r="HK9967" s="1328"/>
      <c r="HM9967" s="1328"/>
      <c r="HN9967" s="1328">
        <v>8919645.2799999993</v>
      </c>
      <c r="HO9967" s="1328"/>
      <c r="HQ9967" s="1328"/>
      <c r="HR9967" s="1328"/>
      <c r="HS9967" s="1328"/>
      <c r="HU9967" s="1328"/>
      <c r="HV9967" s="1328">
        <v>8919645.2799999993</v>
      </c>
      <c r="HW9967" s="1328"/>
      <c r="HY9967" s="1328"/>
      <c r="HZ9967" s="1328"/>
      <c r="IA9967" s="1328"/>
      <c r="IC9967" s="1328"/>
      <c r="ID9967" s="1328">
        <v>8919645.2799999993</v>
      </c>
      <c r="IE9967" s="1328"/>
      <c r="IG9967" s="1328"/>
      <c r="IH9967" s="1328"/>
      <c r="II9967" s="1328"/>
      <c r="IK9967" s="1328"/>
      <c r="IL9967" s="1328">
        <v>8919645.2799999993</v>
      </c>
      <c r="IM9967" s="1328"/>
      <c r="IO9967" s="1328"/>
      <c r="IP9967" s="1328"/>
      <c r="IQ9967" s="1328"/>
      <c r="IS9967" s="1328"/>
      <c r="IT9967" s="1328">
        <v>8919645.2799999993</v>
      </c>
      <c r="IU9967" s="1328"/>
      <c r="IW9967" s="1328"/>
      <c r="IX9967" s="1328"/>
      <c r="IY9967" s="1328"/>
      <c r="JA9967" s="1328"/>
      <c r="JB9967" s="1328">
        <v>8919645.2799999993</v>
      </c>
      <c r="JC9967" s="1328"/>
      <c r="JE9967" s="1328"/>
      <c r="JF9967" s="1328"/>
      <c r="JG9967" s="1328"/>
      <c r="JI9967" s="1328"/>
      <c r="JJ9967" s="1328">
        <v>8919645.2799999993</v>
      </c>
      <c r="JK9967" s="1328"/>
      <c r="JM9967" s="1328"/>
      <c r="JN9967" s="1328"/>
      <c r="JO9967" s="1328"/>
      <c r="JQ9967" s="1328"/>
      <c r="JR9967" s="1328">
        <v>8919645.2799999993</v>
      </c>
      <c r="JS9967" s="1328"/>
      <c r="JU9967" s="1328"/>
      <c r="JV9967" s="1328"/>
      <c r="JW9967" s="1328"/>
      <c r="JY9967" s="1328"/>
      <c r="JZ9967" s="1328">
        <v>8919645.2799999993</v>
      </c>
      <c r="KA9967" s="1328"/>
      <c r="KC9967" s="1328"/>
      <c r="KD9967" s="1328"/>
      <c r="KE9967" s="1328"/>
      <c r="KG9967" s="1328"/>
      <c r="KH9967" s="1328">
        <v>8919645.2799999993</v>
      </c>
      <c r="KI9967" s="1328"/>
      <c r="KK9967" s="1328"/>
      <c r="KL9967" s="1328"/>
      <c r="KM9967" s="1328"/>
      <c r="KO9967" s="1328"/>
      <c r="KP9967" s="1328">
        <v>8919645.2799999993</v>
      </c>
      <c r="KQ9967" s="1328"/>
      <c r="KS9967" s="1328"/>
      <c r="KT9967" s="1328"/>
      <c r="KU9967" s="1328"/>
      <c r="KW9967" s="1328"/>
      <c r="KX9967" s="1328">
        <v>8919645.2799999993</v>
      </c>
      <c r="KY9967" s="1328"/>
      <c r="LA9967" s="1328"/>
      <c r="LB9967" s="1328"/>
      <c r="LC9967" s="1328"/>
      <c r="LE9967" s="1328"/>
      <c r="LF9967" s="1328">
        <v>8919645.2799999993</v>
      </c>
      <c r="LG9967" s="1328"/>
      <c r="LI9967" s="1328"/>
      <c r="LJ9967" s="1328"/>
      <c r="LK9967" s="1328"/>
      <c r="LM9967" s="1328"/>
      <c r="LN9967" s="1328">
        <v>8919645.2799999993</v>
      </c>
      <c r="LO9967" s="1328"/>
      <c r="LQ9967" s="1328"/>
      <c r="LR9967" s="1328"/>
      <c r="LS9967" s="1328"/>
      <c r="LU9967" s="1328"/>
      <c r="LV9967" s="1328">
        <v>8919645.2799999993</v>
      </c>
      <c r="LW9967" s="1328"/>
      <c r="LY9967" s="1328"/>
      <c r="LZ9967" s="1328"/>
      <c r="MA9967" s="1328"/>
      <c r="MC9967" s="1328"/>
      <c r="MD9967" s="1328">
        <v>8919645.2799999993</v>
      </c>
      <c r="ME9967" s="1328"/>
      <c r="MG9967" s="1328"/>
      <c r="MH9967" s="1328"/>
      <c r="MI9967" s="1328"/>
      <c r="MK9967" s="1328"/>
      <c r="ML9967" s="1328">
        <v>8919645.2799999993</v>
      </c>
      <c r="MM9967" s="1328"/>
      <c r="MO9967" s="1328"/>
      <c r="MP9967" s="1328"/>
      <c r="MQ9967" s="1328"/>
      <c r="MS9967" s="1328"/>
      <c r="MT9967" s="1328">
        <v>8919645.2799999993</v>
      </c>
      <c r="MU9967" s="1328"/>
      <c r="MW9967" s="1328"/>
      <c r="MX9967" s="1328"/>
      <c r="MY9967" s="1328"/>
      <c r="NA9967" s="1328"/>
      <c r="NB9967" s="1328">
        <v>8919645.2799999993</v>
      </c>
      <c r="NC9967" s="1328"/>
      <c r="NE9967" s="1328"/>
      <c r="NF9967" s="1328"/>
      <c r="NG9967" s="1328"/>
      <c r="NI9967" s="1328"/>
      <c r="NJ9967" s="1328">
        <v>8919645.2799999993</v>
      </c>
      <c r="NK9967" s="1328"/>
      <c r="NM9967" s="1328"/>
      <c r="NN9967" s="1328"/>
      <c r="NO9967" s="1328"/>
      <c r="NQ9967" s="1328"/>
      <c r="NR9967" s="1328">
        <v>8919645.2799999993</v>
      </c>
      <c r="NS9967" s="1328"/>
      <c r="NU9967" s="1328"/>
      <c r="NV9967" s="1328"/>
      <c r="NW9967" s="1328"/>
      <c r="NY9967" s="1328"/>
      <c r="NZ9967" s="1328">
        <v>8919645.2799999993</v>
      </c>
      <c r="OA9967" s="1328"/>
      <c r="OC9967" s="1328"/>
      <c r="OD9967" s="1328"/>
      <c r="OE9967" s="1328"/>
      <c r="OG9967" s="1328"/>
      <c r="OH9967" s="1328">
        <v>8919645.2799999993</v>
      </c>
      <c r="OI9967" s="1328"/>
      <c r="OK9967" s="1328"/>
      <c r="OL9967" s="1328"/>
      <c r="OM9967" s="1328"/>
      <c r="OO9967" s="1328"/>
      <c r="OP9967" s="1328">
        <v>8919645.2799999993</v>
      </c>
      <c r="OQ9967" s="1328"/>
      <c r="OS9967" s="1328"/>
      <c r="OT9967" s="1328"/>
      <c r="OU9967" s="1328"/>
      <c r="OW9967" s="1328"/>
      <c r="OX9967" s="1328">
        <v>8919645.2799999993</v>
      </c>
      <c r="OY9967" s="1328"/>
      <c r="PA9967" s="1328"/>
      <c r="PB9967" s="1328"/>
      <c r="PC9967" s="1328"/>
      <c r="PE9967" s="1328"/>
      <c r="PF9967" s="1328">
        <v>8919645.2799999993</v>
      </c>
      <c r="PG9967" s="1328"/>
      <c r="PI9967" s="1328"/>
      <c r="PJ9967" s="1328"/>
      <c r="PK9967" s="1328"/>
      <c r="PM9967" s="1328"/>
      <c r="PN9967" s="1328">
        <v>8919645.2799999993</v>
      </c>
      <c r="PO9967" s="1328"/>
      <c r="PQ9967" s="1328"/>
      <c r="PR9967" s="1328"/>
      <c r="PS9967" s="1328"/>
      <c r="PU9967" s="1328"/>
      <c r="PV9967" s="1328">
        <v>8919645.2799999993</v>
      </c>
      <c r="PW9967" s="1328"/>
      <c r="PY9967" s="1328"/>
      <c r="PZ9967" s="1328"/>
      <c r="QA9967" s="1328"/>
      <c r="QC9967" s="1328"/>
      <c r="QD9967" s="1328">
        <v>8919645.2799999993</v>
      </c>
      <c r="QE9967" s="1328"/>
      <c r="QG9967" s="1328"/>
      <c r="QH9967" s="1328"/>
      <c r="QI9967" s="1328"/>
      <c r="QK9967" s="1328"/>
      <c r="QL9967" s="1328">
        <v>8919645.2799999993</v>
      </c>
      <c r="QM9967" s="1328"/>
      <c r="QO9967" s="1328"/>
      <c r="QP9967" s="1328"/>
      <c r="QQ9967" s="1328"/>
      <c r="QS9967" s="1328"/>
      <c r="QT9967" s="1328">
        <v>8919645.2799999993</v>
      </c>
      <c r="QU9967" s="1328"/>
      <c r="QW9967" s="1328"/>
      <c r="QX9967" s="1328"/>
      <c r="QY9967" s="1328"/>
      <c r="RA9967" s="1328"/>
      <c r="RB9967" s="1328">
        <v>8919645.2799999993</v>
      </c>
      <c r="RC9967" s="1328"/>
      <c r="RE9967" s="1328"/>
      <c r="RF9967" s="1328"/>
      <c r="RG9967" s="1328"/>
      <c r="RI9967" s="1328"/>
      <c r="RJ9967" s="1328">
        <v>8919645.2799999993</v>
      </c>
      <c r="RK9967" s="1328"/>
      <c r="RM9967" s="1328"/>
      <c r="RN9967" s="1328"/>
      <c r="RO9967" s="1328"/>
      <c r="RQ9967" s="1328"/>
      <c r="RR9967" s="1328">
        <v>8919645.2799999993</v>
      </c>
      <c r="RS9967" s="1328"/>
      <c r="RU9967" s="1328"/>
      <c r="RV9967" s="1328"/>
      <c r="RW9967" s="1328"/>
      <c r="RY9967" s="1328"/>
      <c r="RZ9967" s="1328">
        <v>8919645.2799999993</v>
      </c>
      <c r="SA9967" s="1328"/>
      <c r="SC9967" s="1328"/>
      <c r="SD9967" s="1328"/>
      <c r="SE9967" s="1328"/>
      <c r="SG9967" s="1328"/>
      <c r="SH9967" s="1328">
        <v>8919645.2799999993</v>
      </c>
      <c r="SI9967" s="1328"/>
      <c r="SK9967" s="1328"/>
      <c r="SL9967" s="1328"/>
      <c r="SM9967" s="1328"/>
      <c r="SO9967" s="1328"/>
      <c r="SP9967" s="1328">
        <v>8919645.2799999993</v>
      </c>
      <c r="SQ9967" s="1328"/>
      <c r="SS9967" s="1328"/>
      <c r="ST9967" s="1328"/>
      <c r="SU9967" s="1328"/>
      <c r="SW9967" s="1328"/>
      <c r="SX9967" s="1328">
        <v>8919645.2799999993</v>
      </c>
      <c r="SY9967" s="1328"/>
      <c r="TA9967" s="1328"/>
      <c r="TB9967" s="1328"/>
      <c r="TC9967" s="1328"/>
      <c r="TE9967" s="1328"/>
      <c r="TF9967" s="1328">
        <v>8919645.2799999993</v>
      </c>
      <c r="TG9967" s="1328"/>
      <c r="TI9967" s="1328"/>
      <c r="TJ9967" s="1328"/>
      <c r="TK9967" s="1328"/>
      <c r="TM9967" s="1328"/>
      <c r="TN9967" s="1328">
        <v>8919645.2799999993</v>
      </c>
      <c r="TO9967" s="1328"/>
      <c r="TQ9967" s="1328"/>
      <c r="TR9967" s="1328"/>
      <c r="TS9967" s="1328"/>
      <c r="TU9967" s="1328"/>
      <c r="TV9967" s="1328">
        <v>8919645.2799999993</v>
      </c>
      <c r="TW9967" s="1328"/>
      <c r="TY9967" s="1328"/>
      <c r="TZ9967" s="1328"/>
      <c r="UA9967" s="1328"/>
      <c r="UC9967" s="1328"/>
      <c r="UD9967" s="1328">
        <v>8919645.2799999993</v>
      </c>
      <c r="UE9967" s="1328"/>
      <c r="UG9967" s="1328"/>
      <c r="UH9967" s="1328"/>
      <c r="UI9967" s="1328"/>
      <c r="UK9967" s="1328"/>
      <c r="UL9967" s="1328">
        <v>8919645.2799999993</v>
      </c>
      <c r="UM9967" s="1328"/>
      <c r="UO9967" s="1328"/>
      <c r="UP9967" s="1328"/>
      <c r="UQ9967" s="1328"/>
      <c r="US9967" s="1328"/>
      <c r="UT9967" s="1328">
        <v>8919645.2799999993</v>
      </c>
      <c r="UU9967" s="1328"/>
      <c r="UW9967" s="1328"/>
      <c r="UX9967" s="1328"/>
      <c r="UY9967" s="1328"/>
      <c r="VA9967" s="1328"/>
      <c r="VB9967" s="1328">
        <v>8919645.2799999993</v>
      </c>
      <c r="VC9967" s="1328"/>
      <c r="VE9967" s="1328"/>
      <c r="VF9967" s="1328"/>
      <c r="VG9967" s="1328"/>
      <c r="VI9967" s="1328"/>
      <c r="VJ9967" s="1328">
        <v>8919645.2799999993</v>
      </c>
      <c r="VK9967" s="1328"/>
      <c r="VM9967" s="1328"/>
      <c r="VN9967" s="1328"/>
      <c r="VO9967" s="1328"/>
      <c r="VQ9967" s="1328"/>
      <c r="VR9967" s="1328">
        <v>8919645.2799999993</v>
      </c>
      <c r="VS9967" s="1328"/>
      <c r="VU9967" s="1328"/>
      <c r="VV9967" s="1328"/>
      <c r="VW9967" s="1328"/>
      <c r="VY9967" s="1328"/>
      <c r="VZ9967" s="1328">
        <v>8919645.2799999993</v>
      </c>
      <c r="WA9967" s="1328"/>
      <c r="WC9967" s="1328"/>
      <c r="WD9967" s="1328"/>
      <c r="WE9967" s="1328"/>
      <c r="WG9967" s="1328"/>
      <c r="WH9967" s="1328">
        <v>8919645.2799999993</v>
      </c>
      <c r="WI9967" s="1328"/>
      <c r="WK9967" s="1328"/>
      <c r="WL9967" s="1328"/>
      <c r="WM9967" s="1328"/>
      <c r="WO9967" s="1328"/>
      <c r="WP9967" s="1328">
        <v>8919645.2799999993</v>
      </c>
      <c r="WQ9967" s="1328"/>
      <c r="WS9967" s="1328"/>
      <c r="WT9967" s="1328"/>
      <c r="WU9967" s="1328"/>
      <c r="WW9967" s="1328"/>
      <c r="WX9967" s="1328">
        <v>8919645.2799999993</v>
      </c>
      <c r="WY9967" s="1328"/>
      <c r="XA9967" s="1328"/>
      <c r="XB9967" s="1328"/>
      <c r="XC9967" s="1328"/>
      <c r="XE9967" s="1328"/>
      <c r="XF9967" s="1328">
        <v>8919645.2799999993</v>
      </c>
      <c r="XG9967" s="1328"/>
      <c r="XI9967" s="1328"/>
      <c r="XJ9967" s="1328"/>
      <c r="XK9967" s="1328"/>
      <c r="XM9967" s="1328"/>
      <c r="XN9967" s="1328">
        <v>8919645.2799999993</v>
      </c>
      <c r="XO9967" s="1328"/>
      <c r="XQ9967" s="1328"/>
      <c r="XR9967" s="1328"/>
      <c r="XS9967" s="1328"/>
      <c r="XU9967" s="1328"/>
      <c r="XV9967" s="1328">
        <v>8919645.2799999993</v>
      </c>
      <c r="XW9967" s="1328"/>
      <c r="XY9967" s="1328"/>
      <c r="XZ9967" s="1328"/>
      <c r="YA9967" s="1328"/>
      <c r="YC9967" s="1328"/>
      <c r="YD9967" s="1328">
        <v>8919645.2799999993</v>
      </c>
      <c r="YE9967" s="1328"/>
      <c r="YG9967" s="1328"/>
      <c r="YH9967" s="1328"/>
      <c r="YI9967" s="1328"/>
      <c r="YK9967" s="1328"/>
      <c r="YL9967" s="1328">
        <v>8919645.2799999993</v>
      </c>
      <c r="YM9967" s="1328"/>
      <c r="YO9967" s="1328"/>
      <c r="YP9967" s="1328"/>
      <c r="YQ9967" s="1328"/>
      <c r="YS9967" s="1328"/>
      <c r="YT9967" s="1328">
        <v>8919645.2799999993</v>
      </c>
      <c r="YU9967" s="1328"/>
      <c r="YW9967" s="1328"/>
      <c r="YX9967" s="1328"/>
      <c r="YY9967" s="1328"/>
      <c r="ZA9967" s="1328"/>
      <c r="ZB9967" s="1328">
        <v>8919645.2799999993</v>
      </c>
      <c r="ZC9967" s="1328"/>
      <c r="ZE9967" s="1328"/>
      <c r="ZF9967" s="1328"/>
      <c r="ZG9967" s="1328"/>
      <c r="ZI9967" s="1328"/>
      <c r="ZJ9967" s="1328">
        <v>8919645.2799999993</v>
      </c>
      <c r="ZK9967" s="1328"/>
      <c r="ZM9967" s="1328"/>
      <c r="ZN9967" s="1328"/>
      <c r="ZO9967" s="1328"/>
      <c r="ZQ9967" s="1328"/>
      <c r="ZR9967" s="1328">
        <v>8919645.2799999993</v>
      </c>
      <c r="ZS9967" s="1328"/>
      <c r="ZU9967" s="1328"/>
      <c r="ZV9967" s="1328"/>
      <c r="ZW9967" s="1328"/>
      <c r="ZY9967" s="1328"/>
      <c r="ZZ9967" s="1328">
        <v>8919645.2799999993</v>
      </c>
      <c r="AAA9967" s="1328"/>
      <c r="AAC9967" s="1328"/>
      <c r="AAD9967" s="1328"/>
      <c r="AAE9967" s="1328"/>
      <c r="AAG9967" s="1328"/>
      <c r="AAH9967" s="1328">
        <v>8919645.2799999993</v>
      </c>
      <c r="AAI9967" s="1328"/>
      <c r="AAK9967" s="1328"/>
      <c r="AAL9967" s="1328"/>
      <c r="AAM9967" s="1328"/>
      <c r="AAO9967" s="1328"/>
      <c r="AAP9967" s="1328">
        <v>8919645.2799999993</v>
      </c>
      <c r="AAQ9967" s="1328"/>
      <c r="AAS9967" s="1328"/>
      <c r="AAT9967" s="1328"/>
      <c r="AAU9967" s="1328"/>
      <c r="AAW9967" s="1328"/>
      <c r="AAX9967" s="1328">
        <v>8919645.2799999993</v>
      </c>
      <c r="AAY9967" s="1328"/>
      <c r="ABA9967" s="1328"/>
      <c r="ABB9967" s="1328"/>
      <c r="ABC9967" s="1328"/>
      <c r="ABE9967" s="1328"/>
      <c r="ABF9967" s="1328">
        <v>8919645.2799999993</v>
      </c>
      <c r="ABG9967" s="1328"/>
      <c r="ABI9967" s="1328"/>
      <c r="ABJ9967" s="1328"/>
      <c r="ABK9967" s="1328"/>
      <c r="ABM9967" s="1328"/>
      <c r="ABN9967" s="1328">
        <v>8919645.2799999993</v>
      </c>
      <c r="ABO9967" s="1328"/>
      <c r="ABQ9967" s="1328"/>
      <c r="ABR9967" s="1328"/>
      <c r="ABS9967" s="1328"/>
      <c r="ABU9967" s="1328"/>
      <c r="ABV9967" s="1328">
        <v>8919645.2799999993</v>
      </c>
      <c r="ABW9967" s="1328"/>
      <c r="ABY9967" s="1328"/>
      <c r="ABZ9967" s="1328"/>
      <c r="ACA9967" s="1328"/>
      <c r="ACC9967" s="1328"/>
      <c r="ACD9967" s="1328">
        <v>8919645.2799999993</v>
      </c>
      <c r="ACE9967" s="1328"/>
      <c r="ACG9967" s="1328"/>
      <c r="ACH9967" s="1328"/>
      <c r="ACI9967" s="1328"/>
      <c r="ACK9967" s="1328"/>
      <c r="ACL9967" s="1328">
        <v>8919645.2799999993</v>
      </c>
      <c r="ACM9967" s="1328"/>
      <c r="ACO9967" s="1328"/>
      <c r="ACP9967" s="1328"/>
      <c r="ACQ9967" s="1328"/>
      <c r="ACS9967" s="1328"/>
      <c r="ACT9967" s="1328">
        <v>8919645.2799999993</v>
      </c>
      <c r="ACU9967" s="1328"/>
      <c r="ACW9967" s="1328"/>
      <c r="ACX9967" s="1328"/>
      <c r="ACY9967" s="1328"/>
      <c r="ADA9967" s="1328"/>
      <c r="ADB9967" s="1328">
        <v>8919645.2799999993</v>
      </c>
      <c r="ADC9967" s="1328"/>
      <c r="ADE9967" s="1328"/>
      <c r="ADF9967" s="1328"/>
      <c r="ADG9967" s="1328"/>
      <c r="ADI9967" s="1328"/>
      <c r="ADJ9967" s="1328">
        <v>8919645.2799999993</v>
      </c>
      <c r="ADK9967" s="1328"/>
      <c r="ADM9967" s="1328"/>
      <c r="ADN9967" s="1328"/>
      <c r="ADO9967" s="1328"/>
      <c r="ADQ9967" s="1328"/>
      <c r="ADR9967" s="1328">
        <v>8919645.2799999993</v>
      </c>
      <c r="ADS9967" s="1328"/>
      <c r="ADU9967" s="1328"/>
      <c r="ADV9967" s="1328"/>
      <c r="ADW9967" s="1328"/>
      <c r="ADY9967" s="1328"/>
      <c r="ADZ9967" s="1328">
        <v>8919645.2799999993</v>
      </c>
      <c r="AEA9967" s="1328"/>
      <c r="AEC9967" s="1328"/>
      <c r="AED9967" s="1328"/>
      <c r="AEE9967" s="1328"/>
      <c r="AEG9967" s="1328"/>
      <c r="AEH9967" s="1328">
        <v>8919645.2799999993</v>
      </c>
      <c r="AEI9967" s="1328"/>
      <c r="AEK9967" s="1328"/>
      <c r="AEL9967" s="1328"/>
      <c r="AEM9967" s="1328"/>
      <c r="AEO9967" s="1328"/>
      <c r="AEP9967" s="1328">
        <v>8919645.2799999993</v>
      </c>
      <c r="AEQ9967" s="1328"/>
      <c r="AES9967" s="1328"/>
      <c r="AET9967" s="1328"/>
      <c r="AEU9967" s="1328"/>
      <c r="AEW9967" s="1328"/>
      <c r="AEX9967" s="1328">
        <v>8919645.2799999993</v>
      </c>
      <c r="AEY9967" s="1328"/>
      <c r="AFA9967" s="1328"/>
      <c r="AFB9967" s="1328"/>
      <c r="AFC9967" s="1328"/>
      <c r="AFE9967" s="1328"/>
      <c r="AFF9967" s="1328">
        <v>8919645.2799999993</v>
      </c>
      <c r="AFG9967" s="1328"/>
      <c r="AFI9967" s="1328"/>
      <c r="AFJ9967" s="1328"/>
      <c r="AFK9967" s="1328"/>
      <c r="AFM9967" s="1328"/>
      <c r="AFN9967" s="1328">
        <v>8919645.2799999993</v>
      </c>
      <c r="AFO9967" s="1328"/>
      <c r="AFQ9967" s="1328"/>
      <c r="AFR9967" s="1328"/>
      <c r="AFS9967" s="1328"/>
      <c r="AFU9967" s="1328"/>
      <c r="AFV9967" s="1328">
        <v>8919645.2799999993</v>
      </c>
      <c r="AFW9967" s="1328"/>
      <c r="AFY9967" s="1328"/>
      <c r="AFZ9967" s="1328"/>
      <c r="AGA9967" s="1328"/>
      <c r="AGC9967" s="1328"/>
      <c r="AGD9967" s="1328">
        <v>8919645.2799999993</v>
      </c>
      <c r="AGE9967" s="1328"/>
      <c r="AGG9967" s="1328"/>
      <c r="AGH9967" s="1328"/>
      <c r="AGI9967" s="1328"/>
      <c r="AGK9967" s="1328"/>
      <c r="AGL9967" s="1328">
        <v>8919645.2799999993</v>
      </c>
      <c r="AGM9967" s="1328"/>
      <c r="AGO9967" s="1328"/>
      <c r="AGP9967" s="1328"/>
      <c r="AGQ9967" s="1328"/>
      <c r="AGS9967" s="1328"/>
      <c r="AGT9967" s="1328">
        <v>8919645.2799999993</v>
      </c>
      <c r="AGU9967" s="1328"/>
      <c r="AGW9967" s="1328"/>
      <c r="AGX9967" s="1328"/>
      <c r="AGY9967" s="1328"/>
      <c r="AHA9967" s="1328"/>
      <c r="AHB9967" s="1328">
        <v>8919645.2799999993</v>
      </c>
      <c r="AHC9967" s="1328"/>
      <c r="AHE9967" s="1328"/>
      <c r="AHF9967" s="1328"/>
      <c r="AHG9967" s="1328"/>
      <c r="AHI9967" s="1328"/>
      <c r="AHJ9967" s="1328">
        <v>8919645.2799999993</v>
      </c>
      <c r="AHK9967" s="1328"/>
      <c r="AHM9967" s="1328"/>
      <c r="AHN9967" s="1328"/>
      <c r="AHO9967" s="1328"/>
      <c r="AHQ9967" s="1328"/>
      <c r="AHR9967" s="1328">
        <v>8919645.2799999993</v>
      </c>
      <c r="AHS9967" s="1328"/>
      <c r="AHU9967" s="1328"/>
      <c r="AHV9967" s="1328"/>
      <c r="AHW9967" s="1328"/>
      <c r="AHY9967" s="1328"/>
      <c r="AHZ9967" s="1328">
        <v>8919645.2799999993</v>
      </c>
      <c r="AIA9967" s="1328"/>
      <c r="AIC9967" s="1328"/>
      <c r="AID9967" s="1328"/>
      <c r="AIE9967" s="1328"/>
      <c r="AIG9967" s="1328"/>
      <c r="AIH9967" s="1328">
        <v>8919645.2799999993</v>
      </c>
      <c r="AII9967" s="1328"/>
      <c r="AIK9967" s="1328"/>
      <c r="AIL9967" s="1328"/>
      <c r="AIM9967" s="1328"/>
      <c r="AIO9967" s="1328"/>
      <c r="AIP9967" s="1328">
        <v>8919645.2799999993</v>
      </c>
      <c r="AIQ9967" s="1328"/>
      <c r="AIS9967" s="1328"/>
      <c r="AIT9967" s="1328"/>
      <c r="AIU9967" s="1328"/>
      <c r="AIW9967" s="1328"/>
      <c r="AIX9967" s="1328">
        <v>8919645.2799999993</v>
      </c>
      <c r="AIY9967" s="1328"/>
      <c r="AJA9967" s="1328"/>
      <c r="AJB9967" s="1328"/>
      <c r="AJC9967" s="1328"/>
      <c r="AJE9967" s="1328"/>
      <c r="AJF9967" s="1328">
        <v>8919645.2799999993</v>
      </c>
      <c r="AJG9967" s="1328"/>
      <c r="AJI9967" s="1328"/>
      <c r="AJJ9967" s="1328"/>
      <c r="AJK9967" s="1328"/>
      <c r="AJM9967" s="1328"/>
      <c r="AJN9967" s="1328">
        <v>8919645.2799999993</v>
      </c>
      <c r="AJO9967" s="1328"/>
      <c r="AJQ9967" s="1328"/>
      <c r="AJR9967" s="1328"/>
      <c r="AJS9967" s="1328"/>
      <c r="AJU9967" s="1328"/>
      <c r="AJV9967" s="1328">
        <v>8919645.2799999993</v>
      </c>
      <c r="AJW9967" s="1328"/>
      <c r="AJY9967" s="1328"/>
      <c r="AJZ9967" s="1328"/>
      <c r="AKA9967" s="1328"/>
      <c r="AKC9967" s="1328"/>
      <c r="AKD9967" s="1328">
        <v>8919645.2799999993</v>
      </c>
      <c r="AKE9967" s="1328"/>
      <c r="AKG9967" s="1328"/>
      <c r="AKH9967" s="1328"/>
      <c r="AKI9967" s="1328"/>
      <c r="AKK9967" s="1328"/>
      <c r="AKL9967" s="1328">
        <v>8919645.2799999993</v>
      </c>
      <c r="AKM9967" s="1328"/>
      <c r="AKO9967" s="1328"/>
      <c r="AKP9967" s="1328"/>
      <c r="AKQ9967" s="1328"/>
      <c r="AKS9967" s="1328"/>
      <c r="AKT9967" s="1328">
        <v>8919645.2799999993</v>
      </c>
      <c r="AKU9967" s="1328"/>
      <c r="AKW9967" s="1328"/>
      <c r="AKX9967" s="1328"/>
      <c r="AKY9967" s="1328"/>
      <c r="ALA9967" s="1328"/>
      <c r="ALB9967" s="1328">
        <v>8919645.2799999993</v>
      </c>
      <c r="ALC9967" s="1328"/>
      <c r="ALE9967" s="1328"/>
      <c r="ALF9967" s="1328"/>
      <c r="ALG9967" s="1328"/>
      <c r="ALI9967" s="1328"/>
      <c r="ALJ9967" s="1328">
        <v>8919645.2799999993</v>
      </c>
      <c r="ALK9967" s="1328"/>
      <c r="ALM9967" s="1328"/>
      <c r="ALN9967" s="1328"/>
      <c r="ALO9967" s="1328"/>
      <c r="ALQ9967" s="1328"/>
      <c r="ALR9967" s="1328">
        <v>8919645.2799999993</v>
      </c>
      <c r="ALS9967" s="1328"/>
      <c r="ALU9967" s="1328"/>
      <c r="ALV9967" s="1328"/>
      <c r="ALW9967" s="1328"/>
      <c r="ALY9967" s="1328"/>
      <c r="ALZ9967" s="1328">
        <v>8919645.2799999993</v>
      </c>
      <c r="AMA9967" s="1328"/>
      <c r="AMC9967" s="1328"/>
      <c r="AMD9967" s="1328"/>
      <c r="AME9967" s="1328"/>
      <c r="AMG9967" s="1328"/>
      <c r="AMH9967" s="1328">
        <v>8919645.2799999993</v>
      </c>
      <c r="AMI9967" s="1328"/>
      <c r="AMK9967" s="1328"/>
      <c r="AML9967" s="1328"/>
      <c r="AMM9967" s="1328"/>
      <c r="AMO9967" s="1328"/>
      <c r="AMP9967" s="1328">
        <v>8919645.2799999993</v>
      </c>
      <c r="AMQ9967" s="1328"/>
      <c r="AMS9967" s="1328"/>
      <c r="AMT9967" s="1328"/>
      <c r="AMU9967" s="1328"/>
      <c r="AMW9967" s="1328"/>
      <c r="AMX9967" s="1328">
        <v>8919645.2799999993</v>
      </c>
      <c r="AMY9967" s="1328"/>
      <c r="ANA9967" s="1328"/>
      <c r="ANB9967" s="1328"/>
      <c r="ANC9967" s="1328"/>
      <c r="ANE9967" s="1328"/>
      <c r="ANF9967" s="1328">
        <v>8919645.2799999993</v>
      </c>
      <c r="ANG9967" s="1328"/>
      <c r="ANI9967" s="1328"/>
      <c r="ANJ9967" s="1328"/>
      <c r="ANK9967" s="1328"/>
      <c r="ANM9967" s="1328"/>
      <c r="ANN9967" s="1328">
        <v>8919645.2799999993</v>
      </c>
      <c r="ANO9967" s="1328"/>
      <c r="ANQ9967" s="1328"/>
      <c r="ANR9967" s="1328"/>
      <c r="ANS9967" s="1328"/>
      <c r="ANU9967" s="1328"/>
      <c r="ANV9967" s="1328">
        <v>8919645.2799999993</v>
      </c>
      <c r="ANW9967" s="1328"/>
      <c r="ANY9967" s="1328"/>
      <c r="ANZ9967" s="1328"/>
      <c r="AOA9967" s="1328"/>
      <c r="AOC9967" s="1328"/>
      <c r="AOD9967" s="1328">
        <v>8919645.2799999993</v>
      </c>
      <c r="AOE9967" s="1328"/>
      <c r="AOG9967" s="1328"/>
      <c r="AOH9967" s="1328"/>
      <c r="AOI9967" s="1328"/>
      <c r="AOK9967" s="1328"/>
      <c r="AOL9967" s="1328">
        <v>8919645.2799999993</v>
      </c>
      <c r="AOM9967" s="1328"/>
      <c r="AOO9967" s="1328"/>
      <c r="AOP9967" s="1328"/>
      <c r="AOQ9967" s="1328"/>
      <c r="AOS9967" s="1328"/>
      <c r="AOT9967" s="1328">
        <v>8919645.2799999993</v>
      </c>
      <c r="AOU9967" s="1328"/>
      <c r="AOW9967" s="1328"/>
      <c r="AOX9967" s="1328"/>
      <c r="AOY9967" s="1328"/>
      <c r="APA9967" s="1328"/>
      <c r="APB9967" s="1328">
        <v>8919645.2799999993</v>
      </c>
      <c r="APC9967" s="1328"/>
      <c r="APE9967" s="1328"/>
      <c r="APF9967" s="1328"/>
      <c r="APG9967" s="1328"/>
      <c r="API9967" s="1328"/>
      <c r="APJ9967" s="1328">
        <v>8919645.2799999993</v>
      </c>
      <c r="APK9967" s="1328"/>
      <c r="APM9967" s="1328"/>
      <c r="APN9967" s="1328"/>
      <c r="APO9967" s="1328"/>
      <c r="APQ9967" s="1328"/>
      <c r="APR9967" s="1328">
        <v>8919645.2799999993</v>
      </c>
      <c r="APS9967" s="1328"/>
      <c r="APU9967" s="1328"/>
      <c r="APV9967" s="1328"/>
      <c r="APW9967" s="1328"/>
      <c r="APY9967" s="1328"/>
      <c r="APZ9967" s="1328">
        <v>8919645.2799999993</v>
      </c>
      <c r="AQA9967" s="1328"/>
      <c r="AQC9967" s="1328"/>
      <c r="AQD9967" s="1328"/>
      <c r="AQE9967" s="1328"/>
      <c r="AQG9967" s="1328"/>
      <c r="AQH9967" s="1328">
        <v>8919645.2799999993</v>
      </c>
      <c r="AQI9967" s="1328"/>
      <c r="AQK9967" s="1328"/>
      <c r="AQL9967" s="1328"/>
      <c r="AQM9967" s="1328"/>
      <c r="AQO9967" s="1328"/>
      <c r="AQP9967" s="1328">
        <v>8919645.2799999993</v>
      </c>
      <c r="AQQ9967" s="1328"/>
      <c r="AQS9967" s="1328"/>
      <c r="AQT9967" s="1328"/>
      <c r="AQU9967" s="1328"/>
      <c r="AQW9967" s="1328"/>
      <c r="AQX9967" s="1328">
        <v>8919645.2799999993</v>
      </c>
      <c r="AQY9967" s="1328"/>
      <c r="ARA9967" s="1328"/>
      <c r="ARB9967" s="1328"/>
      <c r="ARC9967" s="1328"/>
      <c r="ARE9967" s="1328"/>
      <c r="ARF9967" s="1328">
        <v>8919645.2799999993</v>
      </c>
      <c r="ARG9967" s="1328"/>
      <c r="ARI9967" s="1328"/>
      <c r="ARJ9967" s="1328"/>
      <c r="ARK9967" s="1328"/>
      <c r="ARM9967" s="1328"/>
      <c r="ARN9967" s="1328">
        <v>8919645.2799999993</v>
      </c>
      <c r="ARO9967" s="1328"/>
      <c r="ARQ9967" s="1328"/>
      <c r="ARR9967" s="1328"/>
      <c r="ARS9967" s="1328"/>
      <c r="ARU9967" s="1328"/>
      <c r="ARV9967" s="1328">
        <v>8919645.2799999993</v>
      </c>
      <c r="ARW9967" s="1328"/>
      <c r="ARY9967" s="1328"/>
      <c r="ARZ9967" s="1328"/>
      <c r="ASA9967" s="1328"/>
      <c r="ASC9967" s="1328"/>
      <c r="ASD9967" s="1328">
        <v>8919645.2799999993</v>
      </c>
      <c r="ASE9967" s="1328"/>
      <c r="ASG9967" s="1328"/>
      <c r="ASH9967" s="1328"/>
      <c r="ASI9967" s="1328"/>
      <c r="ASK9967" s="1328"/>
      <c r="ASL9967" s="1328">
        <v>8919645.2799999993</v>
      </c>
      <c r="ASM9967" s="1328"/>
      <c r="ASO9967" s="1328"/>
      <c r="ASP9967" s="1328"/>
      <c r="ASQ9967" s="1328"/>
      <c r="ASS9967" s="1328"/>
      <c r="AST9967" s="1328">
        <v>8919645.2799999993</v>
      </c>
      <c r="ASU9967" s="1328"/>
      <c r="ASW9967" s="1328"/>
      <c r="ASX9967" s="1328"/>
      <c r="ASY9967" s="1328"/>
      <c r="ATA9967" s="1328"/>
      <c r="ATB9967" s="1328">
        <v>8919645.2799999993</v>
      </c>
      <c r="ATC9967" s="1328"/>
      <c r="ATE9967" s="1328"/>
      <c r="ATF9967" s="1328"/>
      <c r="ATG9967" s="1328"/>
      <c r="ATI9967" s="1328"/>
      <c r="ATJ9967" s="1328">
        <v>8919645.2799999993</v>
      </c>
      <c r="ATK9967" s="1328"/>
      <c r="ATM9967" s="1328"/>
      <c r="ATN9967" s="1328"/>
      <c r="ATO9967" s="1328"/>
      <c r="ATQ9967" s="1328"/>
      <c r="ATR9967" s="1328">
        <v>8919645.2799999993</v>
      </c>
      <c r="ATS9967" s="1328"/>
      <c r="ATU9967" s="1328"/>
      <c r="ATV9967" s="1328"/>
      <c r="ATW9967" s="1328"/>
      <c r="ATY9967" s="1328"/>
      <c r="ATZ9967" s="1328">
        <v>8919645.2799999993</v>
      </c>
      <c r="AUA9967" s="1328"/>
      <c r="AUC9967" s="1328"/>
      <c r="AUD9967" s="1328"/>
      <c r="AUE9967" s="1328"/>
      <c r="AUG9967" s="1328"/>
      <c r="AUH9967" s="1328">
        <v>8919645.2799999993</v>
      </c>
      <c r="AUI9967" s="1328"/>
      <c r="AUK9967" s="1328"/>
      <c r="AUL9967" s="1328"/>
      <c r="AUM9967" s="1328"/>
      <c r="AUO9967" s="1328"/>
      <c r="AUP9967" s="1328">
        <v>8919645.2799999993</v>
      </c>
      <c r="AUQ9967" s="1328"/>
      <c r="AUS9967" s="1328"/>
      <c r="AUT9967" s="1328"/>
      <c r="AUU9967" s="1328"/>
      <c r="AUW9967" s="1328"/>
      <c r="AUX9967" s="1328">
        <v>8919645.2799999993</v>
      </c>
      <c r="AUY9967" s="1328"/>
      <c r="AVA9967" s="1328"/>
      <c r="AVB9967" s="1328"/>
      <c r="AVC9967" s="1328"/>
      <c r="AVE9967" s="1328"/>
      <c r="AVF9967" s="1328">
        <v>8919645.2799999993</v>
      </c>
      <c r="AVG9967" s="1328"/>
      <c r="AVI9967" s="1328"/>
      <c r="AVJ9967" s="1328"/>
      <c r="AVK9967" s="1328"/>
      <c r="AVM9967" s="1328"/>
      <c r="AVN9967" s="1328">
        <v>8919645.2799999993</v>
      </c>
      <c r="AVO9967" s="1328"/>
      <c r="AVQ9967" s="1328"/>
      <c r="AVR9967" s="1328"/>
      <c r="AVS9967" s="1328"/>
      <c r="AVU9967" s="1328"/>
      <c r="AVV9967" s="1328">
        <v>8919645.2799999993</v>
      </c>
      <c r="AVW9967" s="1328"/>
      <c r="AVY9967" s="1328"/>
      <c r="AVZ9967" s="1328"/>
      <c r="AWA9967" s="1328"/>
      <c r="AWC9967" s="1328"/>
      <c r="AWD9967" s="1328">
        <v>8919645.2799999993</v>
      </c>
      <c r="AWE9967" s="1328"/>
      <c r="AWG9967" s="1328"/>
      <c r="AWH9967" s="1328"/>
      <c r="AWI9967" s="1328"/>
      <c r="AWK9967" s="1328"/>
      <c r="AWL9967" s="1328">
        <v>8919645.2799999993</v>
      </c>
      <c r="AWM9967" s="1328"/>
      <c r="AWO9967" s="1328"/>
      <c r="AWP9967" s="1328"/>
      <c r="AWQ9967" s="1328"/>
      <c r="AWS9967" s="1328"/>
      <c r="AWT9967" s="1328">
        <v>8919645.2799999993</v>
      </c>
      <c r="AWU9967" s="1328"/>
      <c r="AWW9967" s="1328"/>
      <c r="AWX9967" s="1328"/>
      <c r="AWY9967" s="1328"/>
      <c r="AXA9967" s="1328"/>
      <c r="AXB9967" s="1328">
        <v>8919645.2799999993</v>
      </c>
      <c r="AXC9967" s="1328"/>
      <c r="AXE9967" s="1328"/>
      <c r="AXF9967" s="1328"/>
      <c r="AXG9967" s="1328"/>
      <c r="AXI9967" s="1328"/>
      <c r="AXJ9967" s="1328">
        <v>8919645.2799999993</v>
      </c>
      <c r="AXK9967" s="1328"/>
      <c r="AXM9967" s="1328"/>
      <c r="AXN9967" s="1328"/>
      <c r="AXO9967" s="1328"/>
      <c r="AXQ9967" s="1328"/>
      <c r="AXR9967" s="1328">
        <v>8919645.2799999993</v>
      </c>
      <c r="AXS9967" s="1328"/>
      <c r="AXU9967" s="1328"/>
      <c r="AXV9967" s="1328"/>
      <c r="AXW9967" s="1328"/>
      <c r="AXY9967" s="1328"/>
      <c r="AXZ9967" s="1328">
        <v>8919645.2799999993</v>
      </c>
      <c r="AYA9967" s="1328"/>
      <c r="AYC9967" s="1328"/>
      <c r="AYD9967" s="1328"/>
      <c r="AYE9967" s="1328"/>
      <c r="AYG9967" s="1328"/>
      <c r="AYH9967" s="1328">
        <v>8919645.2799999993</v>
      </c>
      <c r="AYI9967" s="1328"/>
      <c r="AYK9967" s="1328"/>
      <c r="AYL9967" s="1328"/>
      <c r="AYM9967" s="1328"/>
      <c r="AYO9967" s="1328"/>
      <c r="AYP9967" s="1328">
        <v>8919645.2799999993</v>
      </c>
      <c r="AYQ9967" s="1328"/>
      <c r="AYS9967" s="1328"/>
      <c r="AYT9967" s="1328"/>
      <c r="AYU9967" s="1328"/>
      <c r="AYW9967" s="1328"/>
      <c r="AYX9967" s="1328">
        <v>8919645.2799999993</v>
      </c>
      <c r="AYY9967" s="1328"/>
      <c r="AZA9967" s="1328"/>
      <c r="AZB9967" s="1328"/>
      <c r="AZC9967" s="1328"/>
      <c r="AZE9967" s="1328"/>
      <c r="AZF9967" s="1328">
        <v>8919645.2799999993</v>
      </c>
      <c r="AZG9967" s="1328"/>
      <c r="AZI9967" s="1328"/>
      <c r="AZJ9967" s="1328"/>
      <c r="AZK9967" s="1328"/>
      <c r="AZM9967" s="1328"/>
      <c r="AZN9967" s="1328">
        <v>8919645.2799999993</v>
      </c>
      <c r="AZO9967" s="1328"/>
      <c r="AZQ9967" s="1328"/>
      <c r="AZR9967" s="1328"/>
      <c r="AZS9967" s="1328"/>
      <c r="AZU9967" s="1328"/>
      <c r="AZV9967" s="1328">
        <v>8919645.2799999993</v>
      </c>
      <c r="AZW9967" s="1328"/>
      <c r="AZY9967" s="1328"/>
      <c r="AZZ9967" s="1328"/>
      <c r="BAA9967" s="1328"/>
      <c r="BAC9967" s="1328"/>
      <c r="BAD9967" s="1328">
        <v>8919645.2799999993</v>
      </c>
      <c r="BAE9967" s="1328"/>
      <c r="BAG9967" s="1328"/>
      <c r="BAH9967" s="1328"/>
      <c r="BAI9967" s="1328"/>
      <c r="BAK9967" s="1328"/>
      <c r="BAL9967" s="1328">
        <v>8919645.2799999993</v>
      </c>
      <c r="BAM9967" s="1328"/>
      <c r="BAO9967" s="1328"/>
      <c r="BAP9967" s="1328"/>
      <c r="BAQ9967" s="1328"/>
      <c r="BAS9967" s="1328"/>
      <c r="BAT9967" s="1328">
        <v>8919645.2799999993</v>
      </c>
      <c r="BAU9967" s="1328"/>
      <c r="BAW9967" s="1328"/>
      <c r="BAX9967" s="1328"/>
      <c r="BAY9967" s="1328"/>
      <c r="BBA9967" s="1328"/>
      <c r="BBB9967" s="1328">
        <v>8919645.2799999993</v>
      </c>
      <c r="BBC9967" s="1328"/>
      <c r="BBE9967" s="1328"/>
      <c r="BBF9967" s="1328"/>
      <c r="BBG9967" s="1328"/>
      <c r="BBI9967" s="1328"/>
      <c r="BBJ9967" s="1328">
        <v>8919645.2799999993</v>
      </c>
      <c r="BBK9967" s="1328"/>
      <c r="BBM9967" s="1328"/>
      <c r="BBN9967" s="1328"/>
      <c r="BBO9967" s="1328"/>
      <c r="BBQ9967" s="1328"/>
      <c r="BBR9967" s="1328">
        <v>8919645.2799999993</v>
      </c>
      <c r="BBS9967" s="1328"/>
      <c r="BBU9967" s="1328"/>
      <c r="BBV9967" s="1328"/>
      <c r="BBW9967" s="1328"/>
      <c r="BBY9967" s="1328"/>
      <c r="BBZ9967" s="1328">
        <v>8919645.2799999993</v>
      </c>
      <c r="BCA9967" s="1328"/>
      <c r="BCC9967" s="1328"/>
      <c r="BCD9967" s="1328"/>
      <c r="BCE9967" s="1328"/>
      <c r="BCG9967" s="1328"/>
      <c r="BCH9967" s="1328">
        <v>8919645.2799999993</v>
      </c>
      <c r="BCI9967" s="1328"/>
      <c r="BCK9967" s="1328"/>
      <c r="BCL9967" s="1328"/>
      <c r="BCM9967" s="1328"/>
      <c r="BCO9967" s="1328"/>
      <c r="BCP9967" s="1328">
        <v>8919645.2799999993</v>
      </c>
      <c r="BCQ9967" s="1328"/>
      <c r="BCS9967" s="1328"/>
      <c r="BCT9967" s="1328"/>
      <c r="BCU9967" s="1328"/>
      <c r="BCW9967" s="1328"/>
      <c r="BCX9967" s="1328">
        <v>8919645.2799999993</v>
      </c>
      <c r="BCY9967" s="1328"/>
      <c r="BDA9967" s="1328"/>
      <c r="BDB9967" s="1328"/>
      <c r="BDC9967" s="1328"/>
      <c r="BDE9967" s="1328"/>
      <c r="BDF9967" s="1328">
        <v>8919645.2799999993</v>
      </c>
      <c r="BDG9967" s="1328"/>
      <c r="BDI9967" s="1328"/>
      <c r="BDJ9967" s="1328"/>
      <c r="BDK9967" s="1328"/>
      <c r="BDM9967" s="1328"/>
      <c r="BDN9967" s="1328">
        <v>8919645.2799999993</v>
      </c>
      <c r="BDO9967" s="1328"/>
      <c r="BDQ9967" s="1328"/>
      <c r="BDR9967" s="1328"/>
      <c r="BDS9967" s="1328"/>
      <c r="BDU9967" s="1328"/>
      <c r="BDV9967" s="1328">
        <v>8919645.2799999993</v>
      </c>
      <c r="BDW9967" s="1328"/>
      <c r="BDY9967" s="1328"/>
      <c r="BDZ9967" s="1328"/>
      <c r="BEA9967" s="1328"/>
      <c r="BEC9967" s="1328"/>
      <c r="BED9967" s="1328">
        <v>8919645.2799999993</v>
      </c>
      <c r="BEE9967" s="1328"/>
      <c r="BEG9967" s="1328"/>
      <c r="BEH9967" s="1328"/>
      <c r="BEI9967" s="1328"/>
      <c r="BEK9967" s="1328"/>
      <c r="BEL9967" s="1328">
        <v>8919645.2799999993</v>
      </c>
      <c r="BEM9967" s="1328"/>
      <c r="BEO9967" s="1328"/>
      <c r="BEP9967" s="1328"/>
      <c r="BEQ9967" s="1328"/>
      <c r="BES9967" s="1328"/>
      <c r="BET9967" s="1328">
        <v>8919645.2799999993</v>
      </c>
      <c r="BEU9967" s="1328"/>
      <c r="BEW9967" s="1328"/>
      <c r="BEX9967" s="1328"/>
      <c r="BEY9967" s="1328"/>
      <c r="BFA9967" s="1328"/>
      <c r="BFB9967" s="1328">
        <v>8919645.2799999993</v>
      </c>
      <c r="BFC9967" s="1328"/>
      <c r="BFE9967" s="1328"/>
      <c r="BFF9967" s="1328"/>
      <c r="BFG9967" s="1328"/>
      <c r="BFI9967" s="1328"/>
      <c r="BFJ9967" s="1328">
        <v>8919645.2799999993</v>
      </c>
      <c r="BFK9967" s="1328"/>
      <c r="BFM9967" s="1328"/>
      <c r="BFN9967" s="1328"/>
      <c r="BFO9967" s="1328"/>
      <c r="BFQ9967" s="1328"/>
      <c r="BFR9967" s="1328">
        <v>8919645.2799999993</v>
      </c>
      <c r="BFS9967" s="1328"/>
      <c r="BFU9967" s="1328"/>
      <c r="BFV9967" s="1328"/>
      <c r="BFW9967" s="1328"/>
      <c r="BFY9967" s="1328"/>
      <c r="BFZ9967" s="1328">
        <v>8919645.2799999993</v>
      </c>
      <c r="BGA9967" s="1328"/>
      <c r="BGC9967" s="1328"/>
      <c r="BGD9967" s="1328"/>
      <c r="BGE9967" s="1328"/>
      <c r="BGG9967" s="1328"/>
      <c r="BGH9967" s="1328">
        <v>8919645.2799999993</v>
      </c>
      <c r="BGI9967" s="1328"/>
      <c r="BGK9967" s="1328"/>
      <c r="BGL9967" s="1328"/>
      <c r="BGM9967" s="1328"/>
      <c r="BGO9967" s="1328"/>
      <c r="BGP9967" s="1328">
        <v>8919645.2799999993</v>
      </c>
      <c r="BGQ9967" s="1328"/>
      <c r="BGS9967" s="1328"/>
      <c r="BGT9967" s="1328"/>
      <c r="BGU9967" s="1328"/>
      <c r="BGW9967" s="1328"/>
      <c r="BGX9967" s="1328">
        <v>8919645.2799999993</v>
      </c>
      <c r="BGY9967" s="1328"/>
      <c r="BHA9967" s="1328"/>
      <c r="BHB9967" s="1328"/>
      <c r="BHC9967" s="1328"/>
      <c r="BHE9967" s="1328"/>
      <c r="BHF9967" s="1328">
        <v>8919645.2799999993</v>
      </c>
      <c r="BHG9967" s="1328"/>
      <c r="BHI9967" s="1328"/>
      <c r="BHJ9967" s="1328"/>
      <c r="BHK9967" s="1328"/>
      <c r="BHM9967" s="1328"/>
      <c r="BHN9967" s="1328">
        <v>8919645.2799999993</v>
      </c>
      <c r="BHO9967" s="1328"/>
      <c r="BHQ9967" s="1328"/>
      <c r="BHR9967" s="1328"/>
      <c r="BHS9967" s="1328"/>
      <c r="BHU9967" s="1328"/>
      <c r="BHV9967" s="1328">
        <v>8919645.2799999993</v>
      </c>
      <c r="BHW9967" s="1328"/>
      <c r="BHY9967" s="1328"/>
      <c r="BHZ9967" s="1328"/>
      <c r="BIA9967" s="1328"/>
      <c r="BIC9967" s="1328"/>
      <c r="BID9967" s="1328">
        <v>8919645.2799999993</v>
      </c>
      <c r="BIE9967" s="1328"/>
      <c r="BIG9967" s="1328"/>
      <c r="BIH9967" s="1328"/>
      <c r="BII9967" s="1328"/>
      <c r="BIK9967" s="1328"/>
      <c r="BIL9967" s="1328">
        <v>8919645.2799999993</v>
      </c>
      <c r="BIM9967" s="1328"/>
      <c r="BIO9967" s="1328"/>
      <c r="BIP9967" s="1328"/>
      <c r="BIQ9967" s="1328"/>
      <c r="BIS9967" s="1328"/>
      <c r="BIT9967" s="1328">
        <v>8919645.2799999993</v>
      </c>
      <c r="BIU9967" s="1328"/>
      <c r="BIW9967" s="1328"/>
      <c r="BIX9967" s="1328"/>
      <c r="BIY9967" s="1328"/>
      <c r="BJA9967" s="1328"/>
      <c r="BJB9967" s="1328">
        <v>8919645.2799999993</v>
      </c>
      <c r="BJC9967" s="1328"/>
      <c r="BJE9967" s="1328"/>
      <c r="BJF9967" s="1328"/>
      <c r="BJG9967" s="1328"/>
      <c r="BJI9967" s="1328"/>
      <c r="BJJ9967" s="1328">
        <v>8919645.2799999993</v>
      </c>
      <c r="BJK9967" s="1328"/>
      <c r="BJM9967" s="1328"/>
      <c r="BJN9967" s="1328"/>
      <c r="BJO9967" s="1328"/>
      <c r="BJQ9967" s="1328"/>
      <c r="BJR9967" s="1328">
        <v>8919645.2799999993</v>
      </c>
      <c r="BJS9967" s="1328"/>
      <c r="BJU9967" s="1328"/>
      <c r="BJV9967" s="1328"/>
      <c r="BJW9967" s="1328"/>
      <c r="BJY9967" s="1328"/>
      <c r="BJZ9967" s="1328">
        <v>8919645.2799999993</v>
      </c>
      <c r="BKA9967" s="1328"/>
      <c r="BKC9967" s="1328"/>
      <c r="BKD9967" s="1328"/>
      <c r="BKE9967" s="1328"/>
      <c r="BKG9967" s="1328"/>
      <c r="BKH9967" s="1328">
        <v>8919645.2799999993</v>
      </c>
      <c r="BKI9967" s="1328"/>
      <c r="BKK9967" s="1328"/>
      <c r="BKL9967" s="1328"/>
      <c r="BKM9967" s="1328"/>
      <c r="BKO9967" s="1328"/>
      <c r="BKP9967" s="1328">
        <v>8919645.2799999993</v>
      </c>
      <c r="BKQ9967" s="1328"/>
      <c r="BKS9967" s="1328"/>
      <c r="BKT9967" s="1328"/>
      <c r="BKU9967" s="1328"/>
      <c r="BKW9967" s="1328"/>
      <c r="BKX9967" s="1328">
        <v>8919645.2799999993</v>
      </c>
      <c r="BKY9967" s="1328"/>
      <c r="BLA9967" s="1328"/>
      <c r="BLB9967" s="1328"/>
      <c r="BLC9967" s="1328"/>
      <c r="BLE9967" s="1328"/>
      <c r="BLF9967" s="1328">
        <v>8919645.2799999993</v>
      </c>
      <c r="BLG9967" s="1328"/>
      <c r="BLI9967" s="1328"/>
      <c r="BLJ9967" s="1328"/>
      <c r="BLK9967" s="1328"/>
      <c r="BLM9967" s="1328"/>
      <c r="BLN9967" s="1328">
        <v>8919645.2799999993</v>
      </c>
      <c r="BLO9967" s="1328"/>
      <c r="BLQ9967" s="1328"/>
      <c r="BLR9967" s="1328"/>
      <c r="BLS9967" s="1328"/>
      <c r="BLU9967" s="1328"/>
      <c r="BLV9967" s="1328">
        <v>8919645.2799999993</v>
      </c>
      <c r="BLW9967" s="1328"/>
      <c r="BLY9967" s="1328"/>
      <c r="BLZ9967" s="1328"/>
      <c r="BMA9967" s="1328"/>
      <c r="BMC9967" s="1328"/>
      <c r="BMD9967" s="1328">
        <v>8919645.2799999993</v>
      </c>
      <c r="BME9967" s="1328"/>
      <c r="BMG9967" s="1328"/>
      <c r="BMH9967" s="1328"/>
      <c r="BMI9967" s="1328"/>
      <c r="BMK9967" s="1328"/>
      <c r="BML9967" s="1328">
        <v>8919645.2799999993</v>
      </c>
      <c r="BMM9967" s="1328"/>
      <c r="BMO9967" s="1328"/>
      <c r="BMP9967" s="1328"/>
      <c r="BMQ9967" s="1328"/>
      <c r="BMS9967" s="1328"/>
      <c r="BMT9967" s="1328">
        <v>8919645.2799999993</v>
      </c>
      <c r="BMU9967" s="1328"/>
      <c r="BMW9967" s="1328"/>
      <c r="BMX9967" s="1328"/>
      <c r="BMY9967" s="1328"/>
      <c r="BNA9967" s="1328"/>
      <c r="BNB9967" s="1328">
        <v>8919645.2799999993</v>
      </c>
      <c r="BNC9967" s="1328"/>
      <c r="BNE9967" s="1328"/>
      <c r="BNF9967" s="1328"/>
      <c r="BNG9967" s="1328"/>
      <c r="BNI9967" s="1328"/>
      <c r="BNJ9967" s="1328">
        <v>8919645.2799999993</v>
      </c>
      <c r="BNK9967" s="1328"/>
      <c r="BNM9967" s="1328"/>
      <c r="BNN9967" s="1328"/>
      <c r="BNO9967" s="1328"/>
      <c r="BNQ9967" s="1328"/>
      <c r="BNR9967" s="1328">
        <v>8919645.2799999993</v>
      </c>
      <c r="BNS9967" s="1328"/>
      <c r="BNU9967" s="1328"/>
      <c r="BNV9967" s="1328"/>
      <c r="BNW9967" s="1328"/>
      <c r="BNY9967" s="1328"/>
      <c r="BNZ9967" s="1328">
        <v>8919645.2799999993</v>
      </c>
      <c r="BOA9967" s="1328"/>
      <c r="BOC9967" s="1328"/>
      <c r="BOD9967" s="1328"/>
      <c r="BOE9967" s="1328"/>
      <c r="BOG9967" s="1328"/>
      <c r="BOH9967" s="1328">
        <v>8919645.2799999993</v>
      </c>
      <c r="BOI9967" s="1328"/>
      <c r="BOK9967" s="1328"/>
      <c r="BOL9967" s="1328"/>
      <c r="BOM9967" s="1328"/>
      <c r="BOO9967" s="1328"/>
      <c r="BOP9967" s="1328">
        <v>8919645.2799999993</v>
      </c>
      <c r="BOQ9967" s="1328"/>
      <c r="BOS9967" s="1328"/>
      <c r="BOT9967" s="1328"/>
      <c r="BOU9967" s="1328"/>
      <c r="BOW9967" s="1328"/>
      <c r="BOX9967" s="1328">
        <v>8919645.2799999993</v>
      </c>
      <c r="BOY9967" s="1328"/>
      <c r="BPA9967" s="1328"/>
      <c r="BPB9967" s="1328"/>
      <c r="BPC9967" s="1328"/>
      <c r="BPE9967" s="1328"/>
      <c r="BPF9967" s="1328">
        <v>8919645.2799999993</v>
      </c>
      <c r="BPG9967" s="1328"/>
      <c r="BPI9967" s="1328"/>
      <c r="BPJ9967" s="1328"/>
      <c r="BPK9967" s="1328"/>
      <c r="BPM9967" s="1328"/>
      <c r="BPN9967" s="1328">
        <v>8919645.2799999993</v>
      </c>
      <c r="BPO9967" s="1328"/>
      <c r="BPQ9967" s="1328"/>
      <c r="BPR9967" s="1328"/>
      <c r="BPS9967" s="1328"/>
      <c r="BPU9967" s="1328"/>
      <c r="BPV9967" s="1328">
        <v>8919645.2799999993</v>
      </c>
      <c r="BPW9967" s="1328"/>
      <c r="BPY9967" s="1328"/>
      <c r="BPZ9967" s="1328"/>
      <c r="BQA9967" s="1328"/>
      <c r="BQC9967" s="1328"/>
      <c r="BQD9967" s="1328">
        <v>8919645.2799999993</v>
      </c>
      <c r="BQE9967" s="1328"/>
      <c r="BQG9967" s="1328"/>
      <c r="BQH9967" s="1328"/>
      <c r="BQI9967" s="1328"/>
      <c r="BQK9967" s="1328"/>
      <c r="BQL9967" s="1328">
        <v>8919645.2799999993</v>
      </c>
      <c r="BQM9967" s="1328"/>
      <c r="BQO9967" s="1328"/>
      <c r="BQP9967" s="1328"/>
      <c r="BQQ9967" s="1328"/>
      <c r="BQS9967" s="1328"/>
      <c r="BQT9967" s="1328">
        <v>8919645.2799999993</v>
      </c>
      <c r="BQU9967" s="1328"/>
      <c r="BQW9967" s="1328"/>
      <c r="BQX9967" s="1328"/>
      <c r="BQY9967" s="1328"/>
      <c r="BRA9967" s="1328"/>
      <c r="BRB9967" s="1328">
        <v>8919645.2799999993</v>
      </c>
      <c r="BRC9967" s="1328"/>
      <c r="BRE9967" s="1328"/>
      <c r="BRF9967" s="1328"/>
      <c r="BRG9967" s="1328"/>
      <c r="BRI9967" s="1328"/>
      <c r="BRJ9967" s="1328">
        <v>8919645.2799999993</v>
      </c>
      <c r="BRK9967" s="1328"/>
      <c r="BRM9967" s="1328"/>
      <c r="BRN9967" s="1328"/>
      <c r="BRO9967" s="1328"/>
      <c r="BRQ9967" s="1328"/>
      <c r="BRR9967" s="1328">
        <v>8919645.2799999993</v>
      </c>
      <c r="BRS9967" s="1328"/>
      <c r="BRU9967" s="1328"/>
      <c r="BRV9967" s="1328"/>
      <c r="BRW9967" s="1328"/>
      <c r="BRY9967" s="1328"/>
      <c r="BRZ9967" s="1328">
        <v>8919645.2799999993</v>
      </c>
      <c r="BSA9967" s="1328"/>
      <c r="BSC9967" s="1328"/>
      <c r="BSD9967" s="1328"/>
      <c r="BSE9967" s="1328"/>
      <c r="BSG9967" s="1328"/>
      <c r="BSH9967" s="1328">
        <v>8919645.2799999993</v>
      </c>
      <c r="BSI9967" s="1328"/>
      <c r="BSK9967" s="1328"/>
      <c r="BSL9967" s="1328"/>
      <c r="BSM9967" s="1328"/>
      <c r="BSO9967" s="1328"/>
      <c r="BSP9967" s="1328">
        <v>8919645.2799999993</v>
      </c>
      <c r="BSQ9967" s="1328"/>
      <c r="BSS9967" s="1328"/>
      <c r="BST9967" s="1328"/>
      <c r="BSU9967" s="1328"/>
      <c r="BSW9967" s="1328"/>
      <c r="BSX9967" s="1328">
        <v>8919645.2799999993</v>
      </c>
      <c r="BSY9967" s="1328"/>
      <c r="BTA9967" s="1328"/>
      <c r="BTB9967" s="1328"/>
      <c r="BTC9967" s="1328"/>
      <c r="BTE9967" s="1328"/>
      <c r="BTF9967" s="1328">
        <v>8919645.2799999993</v>
      </c>
      <c r="BTG9967" s="1328"/>
      <c r="BTI9967" s="1328"/>
      <c r="BTJ9967" s="1328"/>
      <c r="BTK9967" s="1328"/>
      <c r="BTM9967" s="1328"/>
      <c r="BTN9967" s="1328">
        <v>8919645.2799999993</v>
      </c>
      <c r="BTO9967" s="1328"/>
      <c r="BTQ9967" s="1328"/>
      <c r="BTR9967" s="1328"/>
      <c r="BTS9967" s="1328"/>
      <c r="BTU9967" s="1328"/>
      <c r="BTV9967" s="1328">
        <v>8919645.2799999993</v>
      </c>
      <c r="BTW9967" s="1328"/>
      <c r="BTY9967" s="1328"/>
      <c r="BTZ9967" s="1328"/>
      <c r="BUA9967" s="1328"/>
      <c r="BUC9967" s="1328"/>
      <c r="BUD9967" s="1328">
        <v>8919645.2799999993</v>
      </c>
      <c r="BUE9967" s="1328"/>
      <c r="BUG9967" s="1328"/>
      <c r="BUH9967" s="1328"/>
      <c r="BUI9967" s="1328"/>
      <c r="BUK9967" s="1328"/>
      <c r="BUL9967" s="1328">
        <v>8919645.2799999993</v>
      </c>
      <c r="BUM9967" s="1328"/>
      <c r="BUO9967" s="1328"/>
      <c r="BUP9967" s="1328"/>
      <c r="BUQ9967" s="1328"/>
      <c r="BUS9967" s="1328"/>
      <c r="BUT9967" s="1328">
        <v>8919645.2799999993</v>
      </c>
      <c r="BUU9967" s="1328"/>
      <c r="BUW9967" s="1328"/>
      <c r="BUX9967" s="1328"/>
      <c r="BUY9967" s="1328"/>
      <c r="BVA9967" s="1328"/>
      <c r="BVB9967" s="1328">
        <v>8919645.2799999993</v>
      </c>
      <c r="BVC9967" s="1328"/>
      <c r="BVE9967" s="1328"/>
      <c r="BVF9967" s="1328"/>
      <c r="BVG9967" s="1328"/>
      <c r="BVI9967" s="1328"/>
      <c r="BVJ9967" s="1328">
        <v>8919645.2799999993</v>
      </c>
      <c r="BVK9967" s="1328"/>
      <c r="BVM9967" s="1328"/>
      <c r="BVN9967" s="1328"/>
      <c r="BVO9967" s="1328"/>
      <c r="BVQ9967" s="1328"/>
      <c r="BVR9967" s="1328">
        <v>8919645.2799999993</v>
      </c>
      <c r="BVS9967" s="1328"/>
      <c r="BVU9967" s="1328"/>
      <c r="BVV9967" s="1328"/>
      <c r="BVW9967" s="1328"/>
      <c r="BVY9967" s="1328"/>
      <c r="BVZ9967" s="1328">
        <v>8919645.2799999993</v>
      </c>
      <c r="BWA9967" s="1328"/>
      <c r="BWC9967" s="1328"/>
      <c r="BWD9967" s="1328"/>
      <c r="BWE9967" s="1328"/>
      <c r="BWG9967" s="1328"/>
      <c r="BWH9967" s="1328">
        <v>8919645.2799999993</v>
      </c>
      <c r="BWI9967" s="1328"/>
      <c r="BWK9967" s="1328"/>
      <c r="BWL9967" s="1328"/>
      <c r="BWM9967" s="1328"/>
      <c r="BWO9967" s="1328"/>
      <c r="BWP9967" s="1328">
        <v>8919645.2799999993</v>
      </c>
      <c r="BWQ9967" s="1328"/>
      <c r="BWS9967" s="1328"/>
      <c r="BWT9967" s="1328"/>
      <c r="BWU9967" s="1328"/>
      <c r="BWW9967" s="1328"/>
      <c r="BWX9967" s="1328">
        <v>8919645.2799999993</v>
      </c>
      <c r="BWY9967" s="1328"/>
      <c r="BXA9967" s="1328"/>
      <c r="BXB9967" s="1328"/>
      <c r="BXC9967" s="1328"/>
      <c r="BXE9967" s="1328"/>
      <c r="BXF9967" s="1328">
        <v>8919645.2799999993</v>
      </c>
      <c r="BXG9967" s="1328"/>
      <c r="BXI9967" s="1328"/>
      <c r="BXJ9967" s="1328"/>
      <c r="BXK9967" s="1328"/>
      <c r="BXM9967" s="1328"/>
      <c r="BXN9967" s="1328">
        <v>8919645.2799999993</v>
      </c>
      <c r="BXO9967" s="1328"/>
      <c r="BXQ9967" s="1328"/>
      <c r="BXR9967" s="1328"/>
      <c r="BXS9967" s="1328"/>
      <c r="BXU9967" s="1328"/>
      <c r="BXV9967" s="1328">
        <v>8919645.2799999993</v>
      </c>
      <c r="BXW9967" s="1328"/>
      <c r="BXY9967" s="1328"/>
      <c r="BXZ9967" s="1328"/>
      <c r="BYA9967" s="1328"/>
      <c r="BYC9967" s="1328"/>
      <c r="BYD9967" s="1328">
        <v>8919645.2799999993</v>
      </c>
      <c r="BYE9967" s="1328"/>
      <c r="BYG9967" s="1328"/>
      <c r="BYH9967" s="1328"/>
      <c r="BYI9967" s="1328"/>
      <c r="BYK9967" s="1328"/>
      <c r="BYL9967" s="1328">
        <v>8919645.2799999993</v>
      </c>
      <c r="BYM9967" s="1328"/>
      <c r="BYO9967" s="1328"/>
      <c r="BYP9967" s="1328"/>
      <c r="BYQ9967" s="1328"/>
      <c r="BYS9967" s="1328"/>
      <c r="BYT9967" s="1328">
        <v>8919645.2799999993</v>
      </c>
      <c r="BYU9967" s="1328"/>
      <c r="BYW9967" s="1328"/>
      <c r="BYX9967" s="1328"/>
      <c r="BYY9967" s="1328"/>
      <c r="BZA9967" s="1328"/>
      <c r="BZB9967" s="1328">
        <v>8919645.2799999993</v>
      </c>
      <c r="BZC9967" s="1328"/>
      <c r="BZE9967" s="1328"/>
      <c r="BZF9967" s="1328"/>
      <c r="BZG9967" s="1328"/>
      <c r="BZI9967" s="1328"/>
      <c r="BZJ9967" s="1328">
        <v>8919645.2799999993</v>
      </c>
      <c r="BZK9967" s="1328"/>
      <c r="BZM9967" s="1328"/>
      <c r="BZN9967" s="1328"/>
      <c r="BZO9967" s="1328"/>
      <c r="BZQ9967" s="1328"/>
      <c r="BZR9967" s="1328">
        <v>8919645.2799999993</v>
      </c>
      <c r="BZS9967" s="1328"/>
      <c r="BZU9967" s="1328"/>
      <c r="BZV9967" s="1328"/>
      <c r="BZW9967" s="1328"/>
      <c r="BZY9967" s="1328"/>
      <c r="BZZ9967" s="1328">
        <v>8919645.2799999993</v>
      </c>
      <c r="CAA9967" s="1328"/>
      <c r="CAC9967" s="1328"/>
      <c r="CAD9967" s="1328"/>
      <c r="CAE9967" s="1328"/>
      <c r="CAG9967" s="1328"/>
      <c r="CAH9967" s="1328">
        <v>8919645.2799999993</v>
      </c>
      <c r="CAI9967" s="1328"/>
      <c r="CAK9967" s="1328"/>
      <c r="CAL9967" s="1328"/>
      <c r="CAM9967" s="1328"/>
      <c r="CAO9967" s="1328"/>
      <c r="CAP9967" s="1328">
        <v>8919645.2799999993</v>
      </c>
      <c r="CAQ9967" s="1328"/>
      <c r="CAS9967" s="1328"/>
      <c r="CAT9967" s="1328"/>
      <c r="CAU9967" s="1328"/>
      <c r="CAW9967" s="1328"/>
      <c r="CAX9967" s="1328">
        <v>8919645.2799999993</v>
      </c>
      <c r="CAY9967" s="1328"/>
      <c r="CBA9967" s="1328"/>
      <c r="CBB9967" s="1328"/>
      <c r="CBC9967" s="1328"/>
      <c r="CBE9967" s="1328"/>
      <c r="CBF9967" s="1328">
        <v>8919645.2799999993</v>
      </c>
      <c r="CBG9967" s="1328"/>
      <c r="CBI9967" s="1328"/>
      <c r="CBJ9967" s="1328"/>
      <c r="CBK9967" s="1328"/>
      <c r="CBM9967" s="1328"/>
      <c r="CBN9967" s="1328">
        <v>8919645.2799999993</v>
      </c>
      <c r="CBO9967" s="1328"/>
      <c r="CBQ9967" s="1328"/>
      <c r="CBR9967" s="1328"/>
      <c r="CBS9967" s="1328"/>
      <c r="CBU9967" s="1328"/>
      <c r="CBV9967" s="1328">
        <v>8919645.2799999993</v>
      </c>
      <c r="CBW9967" s="1328"/>
      <c r="CBY9967" s="1328"/>
      <c r="CBZ9967" s="1328"/>
      <c r="CCA9967" s="1328"/>
      <c r="CCC9967" s="1328"/>
      <c r="CCD9967" s="1328">
        <v>8919645.2799999993</v>
      </c>
      <c r="CCE9967" s="1328"/>
      <c r="CCG9967" s="1328"/>
      <c r="CCH9967" s="1328"/>
      <c r="CCI9967" s="1328"/>
      <c r="CCK9967" s="1328"/>
      <c r="CCL9967" s="1328">
        <v>8919645.2799999993</v>
      </c>
      <c r="CCM9967" s="1328"/>
      <c r="CCO9967" s="1328"/>
      <c r="CCP9967" s="1328"/>
      <c r="CCQ9967" s="1328"/>
      <c r="CCS9967" s="1328"/>
      <c r="CCT9967" s="1328">
        <v>8919645.2799999993</v>
      </c>
      <c r="CCU9967" s="1328"/>
      <c r="CCW9967" s="1328"/>
      <c r="CCX9967" s="1328"/>
      <c r="CCY9967" s="1328"/>
      <c r="CDA9967" s="1328"/>
      <c r="CDB9967" s="1328">
        <v>8919645.2799999993</v>
      </c>
      <c r="CDC9967" s="1328"/>
      <c r="CDE9967" s="1328"/>
      <c r="CDF9967" s="1328"/>
      <c r="CDG9967" s="1328"/>
      <c r="CDI9967" s="1328"/>
      <c r="CDJ9967" s="1328">
        <v>8919645.2799999993</v>
      </c>
      <c r="CDK9967" s="1328"/>
      <c r="CDM9967" s="1328"/>
      <c r="CDN9967" s="1328"/>
      <c r="CDO9967" s="1328"/>
      <c r="CDQ9967" s="1328"/>
      <c r="CDR9967" s="1328">
        <v>8919645.2799999993</v>
      </c>
      <c r="CDS9967" s="1328"/>
      <c r="CDU9967" s="1328"/>
      <c r="CDV9967" s="1328"/>
      <c r="CDW9967" s="1328"/>
      <c r="CDY9967" s="1328"/>
      <c r="CDZ9967" s="1328">
        <v>8919645.2799999993</v>
      </c>
      <c r="CEA9967" s="1328"/>
      <c r="CEC9967" s="1328"/>
      <c r="CED9967" s="1328"/>
      <c r="CEE9967" s="1328"/>
      <c r="CEG9967" s="1328"/>
      <c r="CEH9967" s="1328">
        <v>8919645.2799999993</v>
      </c>
      <c r="CEI9967" s="1328"/>
      <c r="CEK9967" s="1328"/>
      <c r="CEL9967" s="1328"/>
      <c r="CEM9967" s="1328"/>
      <c r="CEO9967" s="1328"/>
      <c r="CEP9967" s="1328">
        <v>8919645.2799999993</v>
      </c>
      <c r="CEQ9967" s="1328"/>
      <c r="CES9967" s="1328"/>
      <c r="CET9967" s="1328"/>
      <c r="CEU9967" s="1328"/>
      <c r="CEW9967" s="1328"/>
      <c r="CEX9967" s="1328">
        <v>8919645.2799999993</v>
      </c>
      <c r="CEY9967" s="1328"/>
      <c r="CFA9967" s="1328"/>
      <c r="CFB9967" s="1328"/>
      <c r="CFC9967" s="1328"/>
      <c r="CFE9967" s="1328"/>
      <c r="CFF9967" s="1328">
        <v>8919645.2799999993</v>
      </c>
      <c r="CFG9967" s="1328"/>
      <c r="CFI9967" s="1328"/>
      <c r="CFJ9967" s="1328"/>
      <c r="CFK9967" s="1328"/>
      <c r="CFM9967" s="1328"/>
      <c r="CFN9967" s="1328">
        <v>8919645.2799999993</v>
      </c>
      <c r="CFO9967" s="1328"/>
      <c r="CFQ9967" s="1328"/>
      <c r="CFR9967" s="1328"/>
      <c r="CFS9967" s="1328"/>
      <c r="CFU9967" s="1328"/>
      <c r="CFV9967" s="1328">
        <v>8919645.2799999993</v>
      </c>
      <c r="CFW9967" s="1328"/>
      <c r="CFY9967" s="1328"/>
      <c r="CFZ9967" s="1328"/>
      <c r="CGA9967" s="1328"/>
      <c r="CGC9967" s="1328"/>
      <c r="CGD9967" s="1328">
        <v>8919645.2799999993</v>
      </c>
      <c r="CGE9967" s="1328"/>
      <c r="CGG9967" s="1328"/>
      <c r="CGH9967" s="1328"/>
      <c r="CGI9967" s="1328"/>
      <c r="CGK9967" s="1328"/>
      <c r="CGL9967" s="1328">
        <v>8919645.2799999993</v>
      </c>
      <c r="CGM9967" s="1328"/>
      <c r="CGO9967" s="1328"/>
      <c r="CGP9967" s="1328"/>
      <c r="CGQ9967" s="1328"/>
      <c r="CGS9967" s="1328"/>
      <c r="CGT9967" s="1328">
        <v>8919645.2799999993</v>
      </c>
      <c r="CGU9967" s="1328"/>
      <c r="CGW9967" s="1328"/>
      <c r="CGX9967" s="1328"/>
      <c r="CGY9967" s="1328"/>
      <c r="CHA9967" s="1328"/>
      <c r="CHB9967" s="1328">
        <v>8919645.2799999993</v>
      </c>
      <c r="CHC9967" s="1328"/>
      <c r="CHE9967" s="1328"/>
      <c r="CHF9967" s="1328"/>
      <c r="CHG9967" s="1328"/>
      <c r="CHI9967" s="1328"/>
      <c r="CHJ9967" s="1328">
        <v>8919645.2799999993</v>
      </c>
      <c r="CHK9967" s="1328"/>
      <c r="CHM9967" s="1328"/>
      <c r="CHN9967" s="1328"/>
      <c r="CHO9967" s="1328"/>
      <c r="CHQ9967" s="1328"/>
      <c r="CHR9967" s="1328">
        <v>8919645.2799999993</v>
      </c>
      <c r="CHS9967" s="1328"/>
      <c r="CHU9967" s="1328"/>
      <c r="CHV9967" s="1328"/>
      <c r="CHW9967" s="1328"/>
      <c r="CHY9967" s="1328"/>
      <c r="CHZ9967" s="1328">
        <v>8919645.2799999993</v>
      </c>
      <c r="CIA9967" s="1328"/>
      <c r="CIC9967" s="1328"/>
      <c r="CID9967" s="1328"/>
      <c r="CIE9967" s="1328"/>
      <c r="CIG9967" s="1328"/>
      <c r="CIH9967" s="1328">
        <v>8919645.2799999993</v>
      </c>
      <c r="CII9967" s="1328"/>
      <c r="CIK9967" s="1328"/>
      <c r="CIL9967" s="1328"/>
      <c r="CIM9967" s="1328"/>
      <c r="CIO9967" s="1328"/>
      <c r="CIP9967" s="1328">
        <v>8919645.2799999993</v>
      </c>
      <c r="CIQ9967" s="1328"/>
      <c r="CIS9967" s="1328"/>
      <c r="CIT9967" s="1328"/>
      <c r="CIU9967" s="1328"/>
      <c r="CIW9967" s="1328"/>
      <c r="CIX9967" s="1328">
        <v>8919645.2799999993</v>
      </c>
      <c r="CIY9967" s="1328"/>
      <c r="CJA9967" s="1328"/>
      <c r="CJB9967" s="1328"/>
      <c r="CJC9967" s="1328"/>
      <c r="CJE9967" s="1328"/>
      <c r="CJF9967" s="1328">
        <v>8919645.2799999993</v>
      </c>
      <c r="CJG9967" s="1328"/>
      <c r="CJI9967" s="1328"/>
      <c r="CJJ9967" s="1328"/>
      <c r="CJK9967" s="1328"/>
      <c r="CJM9967" s="1328"/>
      <c r="CJN9967" s="1328">
        <v>8919645.2799999993</v>
      </c>
      <c r="CJO9967" s="1328"/>
      <c r="CJQ9967" s="1328"/>
      <c r="CJR9967" s="1328"/>
      <c r="CJS9967" s="1328"/>
      <c r="CJU9967" s="1328"/>
      <c r="CJV9967" s="1328">
        <v>8919645.2799999993</v>
      </c>
      <c r="CJW9967" s="1328"/>
      <c r="CJY9967" s="1328"/>
      <c r="CJZ9967" s="1328"/>
      <c r="CKA9967" s="1328"/>
      <c r="CKC9967" s="1328"/>
      <c r="CKD9967" s="1328">
        <v>8919645.2799999993</v>
      </c>
      <c r="CKE9967" s="1328"/>
      <c r="CKG9967" s="1328"/>
      <c r="CKH9967" s="1328"/>
      <c r="CKI9967" s="1328"/>
      <c r="CKK9967" s="1328"/>
      <c r="CKL9967" s="1328">
        <v>8919645.2799999993</v>
      </c>
      <c r="CKM9967" s="1328"/>
      <c r="CKO9967" s="1328"/>
      <c r="CKP9967" s="1328"/>
      <c r="CKQ9967" s="1328"/>
      <c r="CKS9967" s="1328"/>
      <c r="CKT9967" s="1328">
        <v>8919645.2799999993</v>
      </c>
      <c r="CKU9967" s="1328"/>
      <c r="CKW9967" s="1328"/>
      <c r="CKX9967" s="1328"/>
      <c r="CKY9967" s="1328"/>
      <c r="CLA9967" s="1328"/>
      <c r="CLB9967" s="1328">
        <v>8919645.2799999993</v>
      </c>
      <c r="CLC9967" s="1328"/>
      <c r="CLE9967" s="1328"/>
      <c r="CLF9967" s="1328"/>
      <c r="CLG9967" s="1328"/>
      <c r="CLI9967" s="1328"/>
      <c r="CLJ9967" s="1328">
        <v>8919645.2799999993</v>
      </c>
      <c r="CLK9967" s="1328"/>
      <c r="CLM9967" s="1328"/>
      <c r="CLN9967" s="1328"/>
      <c r="CLO9967" s="1328"/>
      <c r="CLQ9967" s="1328"/>
      <c r="CLR9967" s="1328">
        <v>8919645.2799999993</v>
      </c>
      <c r="CLS9967" s="1328"/>
      <c r="CLU9967" s="1328"/>
      <c r="CLV9967" s="1328"/>
      <c r="CLW9967" s="1328"/>
      <c r="CLY9967" s="1328"/>
      <c r="CLZ9967" s="1328">
        <v>8919645.2799999993</v>
      </c>
      <c r="CMA9967" s="1328"/>
      <c r="CMC9967" s="1328"/>
      <c r="CMD9967" s="1328"/>
      <c r="CME9967" s="1328"/>
      <c r="CMG9967" s="1328"/>
      <c r="CMH9967" s="1328">
        <v>8919645.2799999993</v>
      </c>
      <c r="CMI9967" s="1328"/>
      <c r="CMK9967" s="1328"/>
      <c r="CML9967" s="1328"/>
      <c r="CMM9967" s="1328"/>
      <c r="CMO9967" s="1328"/>
      <c r="CMP9967" s="1328">
        <v>8919645.2799999993</v>
      </c>
      <c r="CMQ9967" s="1328"/>
      <c r="CMS9967" s="1328"/>
      <c r="CMT9967" s="1328"/>
      <c r="CMU9967" s="1328"/>
      <c r="CMW9967" s="1328"/>
      <c r="CMX9967" s="1328">
        <v>8919645.2799999993</v>
      </c>
      <c r="CMY9967" s="1328"/>
      <c r="CNA9967" s="1328"/>
      <c r="CNB9967" s="1328"/>
      <c r="CNC9967" s="1328"/>
      <c r="CNE9967" s="1328"/>
      <c r="CNF9967" s="1328">
        <v>8919645.2799999993</v>
      </c>
      <c r="CNG9967" s="1328"/>
      <c r="CNI9967" s="1328"/>
      <c r="CNJ9967" s="1328"/>
      <c r="CNK9967" s="1328"/>
      <c r="CNM9967" s="1328"/>
      <c r="CNN9967" s="1328">
        <v>8919645.2799999993</v>
      </c>
      <c r="CNO9967" s="1328"/>
      <c r="CNQ9967" s="1328"/>
      <c r="CNR9967" s="1328"/>
      <c r="CNS9967" s="1328"/>
      <c r="CNU9967" s="1328"/>
      <c r="CNV9967" s="1328">
        <v>8919645.2799999993</v>
      </c>
      <c r="CNW9967" s="1328"/>
      <c r="CNY9967" s="1328"/>
      <c r="CNZ9967" s="1328"/>
      <c r="COA9967" s="1328"/>
      <c r="COC9967" s="1328"/>
      <c r="COD9967" s="1328">
        <v>8919645.2799999993</v>
      </c>
      <c r="COE9967" s="1328"/>
      <c r="COG9967" s="1328"/>
      <c r="COH9967" s="1328"/>
      <c r="COI9967" s="1328"/>
      <c r="COK9967" s="1328"/>
      <c r="COL9967" s="1328">
        <v>8919645.2799999993</v>
      </c>
      <c r="COM9967" s="1328"/>
      <c r="COO9967" s="1328"/>
      <c r="COP9967" s="1328"/>
      <c r="COQ9967" s="1328"/>
      <c r="COS9967" s="1328"/>
      <c r="COT9967" s="1328">
        <v>8919645.2799999993</v>
      </c>
      <c r="COU9967" s="1328"/>
      <c r="COW9967" s="1328"/>
      <c r="COX9967" s="1328"/>
      <c r="COY9967" s="1328"/>
      <c r="CPA9967" s="1328"/>
      <c r="CPB9967" s="1328">
        <v>8919645.2799999993</v>
      </c>
      <c r="CPC9967" s="1328"/>
      <c r="CPE9967" s="1328"/>
      <c r="CPF9967" s="1328"/>
      <c r="CPG9967" s="1328"/>
      <c r="CPI9967" s="1328"/>
      <c r="CPJ9967" s="1328">
        <v>8919645.2799999993</v>
      </c>
      <c r="CPK9967" s="1328"/>
      <c r="CPM9967" s="1328"/>
      <c r="CPN9967" s="1328"/>
      <c r="CPO9967" s="1328"/>
      <c r="CPQ9967" s="1328"/>
      <c r="CPR9967" s="1328">
        <v>8919645.2799999993</v>
      </c>
      <c r="CPS9967" s="1328"/>
      <c r="CPU9967" s="1328"/>
      <c r="CPV9967" s="1328"/>
      <c r="CPW9967" s="1328"/>
      <c r="CPY9967" s="1328"/>
      <c r="CPZ9967" s="1328">
        <v>8919645.2799999993</v>
      </c>
      <c r="CQA9967" s="1328"/>
      <c r="CQC9967" s="1328"/>
      <c r="CQD9967" s="1328"/>
      <c r="CQE9967" s="1328"/>
      <c r="CQG9967" s="1328"/>
      <c r="CQH9967" s="1328">
        <v>8919645.2799999993</v>
      </c>
      <c r="CQI9967" s="1328"/>
      <c r="CQK9967" s="1328"/>
      <c r="CQL9967" s="1328"/>
      <c r="CQM9967" s="1328"/>
      <c r="CQO9967" s="1328"/>
      <c r="CQP9967" s="1328">
        <v>8919645.2799999993</v>
      </c>
      <c r="CQQ9967" s="1328"/>
      <c r="CQS9967" s="1328"/>
      <c r="CQT9967" s="1328"/>
      <c r="CQU9967" s="1328"/>
      <c r="CQW9967" s="1328"/>
      <c r="CQX9967" s="1328">
        <v>8919645.2799999993</v>
      </c>
      <c r="CQY9967" s="1328"/>
      <c r="CRA9967" s="1328"/>
      <c r="CRB9967" s="1328"/>
      <c r="CRC9967" s="1328"/>
      <c r="CRE9967" s="1328"/>
      <c r="CRF9967" s="1328">
        <v>8919645.2799999993</v>
      </c>
      <c r="CRG9967" s="1328"/>
      <c r="CRI9967" s="1328"/>
      <c r="CRJ9967" s="1328"/>
      <c r="CRK9967" s="1328"/>
      <c r="CRM9967" s="1328"/>
      <c r="CRN9967" s="1328">
        <v>8919645.2799999993</v>
      </c>
      <c r="CRO9967" s="1328"/>
      <c r="CRQ9967" s="1328"/>
      <c r="CRR9967" s="1328"/>
      <c r="CRS9967" s="1328"/>
      <c r="CRU9967" s="1328"/>
      <c r="CRV9967" s="1328">
        <v>8919645.2799999993</v>
      </c>
      <c r="CRW9967" s="1328"/>
      <c r="CRY9967" s="1328"/>
      <c r="CRZ9967" s="1328"/>
      <c r="CSA9967" s="1328"/>
      <c r="CSC9967" s="1328"/>
      <c r="CSD9967" s="1328">
        <v>8919645.2799999993</v>
      </c>
      <c r="CSE9967" s="1328"/>
      <c r="CSG9967" s="1328"/>
      <c r="CSH9967" s="1328"/>
      <c r="CSI9967" s="1328"/>
      <c r="CSK9967" s="1328"/>
      <c r="CSL9967" s="1328">
        <v>8919645.2799999993</v>
      </c>
      <c r="CSM9967" s="1328"/>
      <c r="CSO9967" s="1328"/>
      <c r="CSP9967" s="1328"/>
      <c r="CSQ9967" s="1328"/>
      <c r="CSS9967" s="1328"/>
      <c r="CST9967" s="1328">
        <v>8919645.2799999993</v>
      </c>
      <c r="CSU9967" s="1328"/>
      <c r="CSW9967" s="1328"/>
      <c r="CSX9967" s="1328"/>
      <c r="CSY9967" s="1328"/>
      <c r="CTA9967" s="1328"/>
      <c r="CTB9967" s="1328">
        <v>8919645.2799999993</v>
      </c>
      <c r="CTC9967" s="1328"/>
      <c r="CTE9967" s="1328"/>
      <c r="CTF9967" s="1328"/>
      <c r="CTG9967" s="1328"/>
      <c r="CTI9967" s="1328"/>
      <c r="CTJ9967" s="1328">
        <v>8919645.2799999993</v>
      </c>
      <c r="CTK9967" s="1328"/>
      <c r="CTM9967" s="1328"/>
      <c r="CTN9967" s="1328"/>
      <c r="CTO9967" s="1328"/>
      <c r="CTQ9967" s="1328"/>
      <c r="CTR9967" s="1328">
        <v>8919645.2799999993</v>
      </c>
      <c r="CTS9967" s="1328"/>
      <c r="CTU9967" s="1328"/>
      <c r="CTV9967" s="1328"/>
      <c r="CTW9967" s="1328"/>
      <c r="CTY9967" s="1328"/>
      <c r="CTZ9967" s="1328">
        <v>8919645.2799999993</v>
      </c>
      <c r="CUA9967" s="1328"/>
      <c r="CUC9967" s="1328"/>
      <c r="CUD9967" s="1328"/>
      <c r="CUE9967" s="1328"/>
      <c r="CUG9967" s="1328"/>
      <c r="CUH9967" s="1328">
        <v>8919645.2799999993</v>
      </c>
      <c r="CUI9967" s="1328"/>
      <c r="CUK9967" s="1328"/>
      <c r="CUL9967" s="1328"/>
      <c r="CUM9967" s="1328"/>
      <c r="CUO9967" s="1328"/>
      <c r="CUP9967" s="1328">
        <v>8919645.2799999993</v>
      </c>
      <c r="CUQ9967" s="1328"/>
      <c r="CUS9967" s="1328"/>
      <c r="CUT9967" s="1328"/>
      <c r="CUU9967" s="1328"/>
      <c r="CUW9967" s="1328"/>
      <c r="CUX9967" s="1328">
        <v>8919645.2799999993</v>
      </c>
      <c r="CUY9967" s="1328"/>
      <c r="CVA9967" s="1328"/>
      <c r="CVB9967" s="1328"/>
      <c r="CVC9967" s="1328"/>
      <c r="CVE9967" s="1328"/>
      <c r="CVF9967" s="1328">
        <v>8919645.2799999993</v>
      </c>
      <c r="CVG9967" s="1328"/>
      <c r="CVI9967" s="1328"/>
      <c r="CVJ9967" s="1328"/>
      <c r="CVK9967" s="1328"/>
      <c r="CVM9967" s="1328"/>
      <c r="CVN9967" s="1328">
        <v>8919645.2799999993</v>
      </c>
      <c r="CVO9967" s="1328"/>
      <c r="CVQ9967" s="1328"/>
      <c r="CVR9967" s="1328"/>
      <c r="CVS9967" s="1328"/>
      <c r="CVU9967" s="1328"/>
      <c r="CVV9967" s="1328">
        <v>8919645.2799999993</v>
      </c>
      <c r="CVW9967" s="1328"/>
      <c r="CVY9967" s="1328"/>
      <c r="CVZ9967" s="1328"/>
      <c r="CWA9967" s="1328"/>
      <c r="CWC9967" s="1328"/>
      <c r="CWD9967" s="1328">
        <v>8919645.2799999993</v>
      </c>
      <c r="CWE9967" s="1328"/>
      <c r="CWG9967" s="1328"/>
      <c r="CWH9967" s="1328"/>
      <c r="CWI9967" s="1328"/>
      <c r="CWK9967" s="1328"/>
      <c r="CWL9967" s="1328">
        <v>8919645.2799999993</v>
      </c>
      <c r="CWM9967" s="1328"/>
      <c r="CWO9967" s="1328"/>
      <c r="CWP9967" s="1328"/>
      <c r="CWQ9967" s="1328"/>
      <c r="CWS9967" s="1328"/>
      <c r="CWT9967" s="1328">
        <v>8919645.2799999993</v>
      </c>
      <c r="CWU9967" s="1328"/>
      <c r="CWW9967" s="1328"/>
      <c r="CWX9967" s="1328"/>
      <c r="CWY9967" s="1328"/>
      <c r="CXA9967" s="1328"/>
      <c r="CXB9967" s="1328">
        <v>8919645.2799999993</v>
      </c>
      <c r="CXC9967" s="1328"/>
      <c r="CXE9967" s="1328"/>
      <c r="CXF9967" s="1328"/>
      <c r="CXG9967" s="1328"/>
      <c r="CXI9967" s="1328"/>
      <c r="CXJ9967" s="1328">
        <v>8919645.2799999993</v>
      </c>
      <c r="CXK9967" s="1328"/>
      <c r="CXM9967" s="1328"/>
      <c r="CXN9967" s="1328"/>
      <c r="CXO9967" s="1328"/>
      <c r="CXQ9967" s="1328"/>
      <c r="CXR9967" s="1328">
        <v>8919645.2799999993</v>
      </c>
      <c r="CXS9967" s="1328"/>
      <c r="CXU9967" s="1328"/>
      <c r="CXV9967" s="1328"/>
      <c r="CXW9967" s="1328"/>
      <c r="CXY9967" s="1328"/>
      <c r="CXZ9967" s="1328">
        <v>8919645.2799999993</v>
      </c>
      <c r="CYA9967" s="1328"/>
      <c r="CYC9967" s="1328"/>
      <c r="CYD9967" s="1328"/>
      <c r="CYE9967" s="1328"/>
      <c r="CYG9967" s="1328"/>
      <c r="CYH9967" s="1328">
        <v>8919645.2799999993</v>
      </c>
      <c r="CYI9967" s="1328"/>
      <c r="CYK9967" s="1328"/>
      <c r="CYL9967" s="1328"/>
      <c r="CYM9967" s="1328"/>
      <c r="CYO9967" s="1328"/>
      <c r="CYP9967" s="1328">
        <v>8919645.2799999993</v>
      </c>
      <c r="CYQ9967" s="1328"/>
      <c r="CYS9967" s="1328"/>
      <c r="CYT9967" s="1328"/>
      <c r="CYU9967" s="1328"/>
      <c r="CYW9967" s="1328"/>
      <c r="CYX9967" s="1328">
        <v>8919645.2799999993</v>
      </c>
      <c r="CYY9967" s="1328"/>
      <c r="CZA9967" s="1328"/>
      <c r="CZB9967" s="1328"/>
      <c r="CZC9967" s="1328"/>
      <c r="CZE9967" s="1328"/>
      <c r="CZF9967" s="1328">
        <v>8919645.2799999993</v>
      </c>
      <c r="CZG9967" s="1328"/>
      <c r="CZI9967" s="1328"/>
      <c r="CZJ9967" s="1328"/>
      <c r="CZK9967" s="1328"/>
      <c r="CZM9967" s="1328"/>
      <c r="CZN9967" s="1328">
        <v>8919645.2799999993</v>
      </c>
      <c r="CZO9967" s="1328"/>
      <c r="CZQ9967" s="1328"/>
      <c r="CZR9967" s="1328"/>
      <c r="CZS9967" s="1328"/>
      <c r="CZU9967" s="1328"/>
      <c r="CZV9967" s="1328">
        <v>8919645.2799999993</v>
      </c>
      <c r="CZW9967" s="1328"/>
      <c r="CZY9967" s="1328"/>
      <c r="CZZ9967" s="1328"/>
      <c r="DAA9967" s="1328"/>
      <c r="DAC9967" s="1328"/>
      <c r="DAD9967" s="1328">
        <v>8919645.2799999993</v>
      </c>
      <c r="DAE9967" s="1328"/>
      <c r="DAG9967" s="1328"/>
      <c r="DAH9967" s="1328"/>
      <c r="DAI9967" s="1328"/>
      <c r="DAK9967" s="1328"/>
      <c r="DAL9967" s="1328">
        <v>8919645.2799999993</v>
      </c>
      <c r="DAM9967" s="1328"/>
      <c r="DAO9967" s="1328"/>
      <c r="DAP9967" s="1328"/>
      <c r="DAQ9967" s="1328"/>
      <c r="DAS9967" s="1328"/>
      <c r="DAT9967" s="1328">
        <v>8919645.2799999993</v>
      </c>
      <c r="DAU9967" s="1328"/>
      <c r="DAW9967" s="1328"/>
      <c r="DAX9967" s="1328"/>
      <c r="DAY9967" s="1328"/>
      <c r="DBA9967" s="1328"/>
      <c r="DBB9967" s="1328">
        <v>8919645.2799999993</v>
      </c>
      <c r="DBC9967" s="1328"/>
      <c r="DBE9967" s="1328"/>
      <c r="DBF9967" s="1328"/>
      <c r="DBG9967" s="1328"/>
      <c r="DBI9967" s="1328"/>
      <c r="DBJ9967" s="1328">
        <v>8919645.2799999993</v>
      </c>
      <c r="DBK9967" s="1328"/>
      <c r="DBM9967" s="1328"/>
      <c r="DBN9967" s="1328"/>
      <c r="DBO9967" s="1328"/>
      <c r="DBQ9967" s="1328"/>
      <c r="DBR9967" s="1328">
        <v>8919645.2799999993</v>
      </c>
      <c r="DBS9967" s="1328"/>
      <c r="DBU9967" s="1328"/>
      <c r="DBV9967" s="1328"/>
      <c r="DBW9967" s="1328"/>
      <c r="DBY9967" s="1328"/>
      <c r="DBZ9967" s="1328">
        <v>8919645.2799999993</v>
      </c>
      <c r="DCA9967" s="1328"/>
      <c r="DCC9967" s="1328"/>
      <c r="DCD9967" s="1328"/>
      <c r="DCE9967" s="1328"/>
      <c r="DCG9967" s="1328"/>
      <c r="DCH9967" s="1328">
        <v>8919645.2799999993</v>
      </c>
      <c r="DCI9967" s="1328"/>
      <c r="DCK9967" s="1328"/>
      <c r="DCL9967" s="1328"/>
      <c r="DCM9967" s="1328"/>
      <c r="DCO9967" s="1328"/>
      <c r="DCP9967" s="1328">
        <v>8919645.2799999993</v>
      </c>
      <c r="DCQ9967" s="1328"/>
      <c r="DCS9967" s="1328"/>
      <c r="DCT9967" s="1328"/>
      <c r="DCU9967" s="1328"/>
      <c r="DCW9967" s="1328"/>
      <c r="DCX9967" s="1328">
        <v>8919645.2799999993</v>
      </c>
      <c r="DCY9967" s="1328"/>
      <c r="DDA9967" s="1328"/>
      <c r="DDB9967" s="1328"/>
      <c r="DDC9967" s="1328"/>
      <c r="DDE9967" s="1328"/>
      <c r="DDF9967" s="1328">
        <v>8919645.2799999993</v>
      </c>
      <c r="DDG9967" s="1328"/>
      <c r="DDI9967" s="1328"/>
      <c r="DDJ9967" s="1328"/>
      <c r="DDK9967" s="1328"/>
      <c r="DDM9967" s="1328"/>
      <c r="DDN9967" s="1328">
        <v>8919645.2799999993</v>
      </c>
      <c r="DDO9967" s="1328"/>
      <c r="DDQ9967" s="1328"/>
      <c r="DDR9967" s="1328"/>
      <c r="DDS9967" s="1328"/>
      <c r="DDU9967" s="1328"/>
      <c r="DDV9967" s="1328">
        <v>8919645.2799999993</v>
      </c>
      <c r="DDW9967" s="1328"/>
      <c r="DDY9967" s="1328"/>
      <c r="DDZ9967" s="1328"/>
      <c r="DEA9967" s="1328"/>
      <c r="DEC9967" s="1328"/>
      <c r="DED9967" s="1328">
        <v>8919645.2799999993</v>
      </c>
      <c r="DEE9967" s="1328"/>
      <c r="DEG9967" s="1328"/>
      <c r="DEH9967" s="1328"/>
      <c r="DEI9967" s="1328"/>
      <c r="DEK9967" s="1328"/>
      <c r="DEL9967" s="1328">
        <v>8919645.2799999993</v>
      </c>
      <c r="DEM9967" s="1328"/>
      <c r="DEO9967" s="1328"/>
      <c r="DEP9967" s="1328"/>
      <c r="DEQ9967" s="1328"/>
      <c r="DES9967" s="1328"/>
      <c r="DET9967" s="1328">
        <v>8919645.2799999993</v>
      </c>
      <c r="DEU9967" s="1328"/>
      <c r="DEW9967" s="1328"/>
      <c r="DEX9967" s="1328"/>
      <c r="DEY9967" s="1328"/>
      <c r="DFA9967" s="1328"/>
      <c r="DFB9967" s="1328">
        <v>8919645.2799999993</v>
      </c>
      <c r="DFC9967" s="1328"/>
      <c r="DFE9967" s="1328"/>
      <c r="DFF9967" s="1328"/>
      <c r="DFG9967" s="1328"/>
      <c r="DFI9967" s="1328"/>
      <c r="DFJ9967" s="1328">
        <v>8919645.2799999993</v>
      </c>
      <c r="DFK9967" s="1328"/>
      <c r="DFM9967" s="1328"/>
      <c r="DFN9967" s="1328"/>
      <c r="DFO9967" s="1328"/>
      <c r="DFQ9967" s="1328"/>
      <c r="DFR9967" s="1328">
        <v>8919645.2799999993</v>
      </c>
      <c r="DFS9967" s="1328"/>
      <c r="DFU9967" s="1328"/>
      <c r="DFV9967" s="1328"/>
      <c r="DFW9967" s="1328"/>
      <c r="DFY9967" s="1328"/>
      <c r="DFZ9967" s="1328">
        <v>8919645.2799999993</v>
      </c>
      <c r="DGA9967" s="1328"/>
      <c r="DGC9967" s="1328"/>
      <c r="DGD9967" s="1328"/>
      <c r="DGE9967" s="1328"/>
      <c r="DGG9967" s="1328"/>
      <c r="DGH9967" s="1328">
        <v>8919645.2799999993</v>
      </c>
      <c r="DGI9967" s="1328"/>
      <c r="DGK9967" s="1328"/>
      <c r="DGL9967" s="1328"/>
      <c r="DGM9967" s="1328"/>
      <c r="DGO9967" s="1328"/>
      <c r="DGP9967" s="1328">
        <v>8919645.2799999993</v>
      </c>
      <c r="DGQ9967" s="1328"/>
      <c r="DGS9967" s="1328"/>
      <c r="DGT9967" s="1328"/>
      <c r="DGU9967" s="1328"/>
      <c r="DGW9967" s="1328"/>
      <c r="DGX9967" s="1328">
        <v>8919645.2799999993</v>
      </c>
      <c r="DGY9967" s="1328"/>
      <c r="DHA9967" s="1328"/>
      <c r="DHB9967" s="1328"/>
      <c r="DHC9967" s="1328"/>
      <c r="DHE9967" s="1328"/>
      <c r="DHF9967" s="1328">
        <v>8919645.2799999993</v>
      </c>
      <c r="DHG9967" s="1328"/>
      <c r="DHI9967" s="1328"/>
      <c r="DHJ9967" s="1328"/>
      <c r="DHK9967" s="1328"/>
      <c r="DHM9967" s="1328"/>
      <c r="DHN9967" s="1328">
        <v>8919645.2799999993</v>
      </c>
      <c r="DHO9967" s="1328"/>
      <c r="DHQ9967" s="1328"/>
      <c r="DHR9967" s="1328"/>
      <c r="DHS9967" s="1328"/>
      <c r="DHU9967" s="1328"/>
      <c r="DHV9967" s="1328">
        <v>8919645.2799999993</v>
      </c>
      <c r="DHW9967" s="1328"/>
      <c r="DHY9967" s="1328"/>
      <c r="DHZ9967" s="1328"/>
      <c r="DIA9967" s="1328"/>
      <c r="DIC9967" s="1328"/>
      <c r="DID9967" s="1328">
        <v>8919645.2799999993</v>
      </c>
      <c r="DIE9967" s="1328"/>
      <c r="DIG9967" s="1328"/>
      <c r="DIH9967" s="1328"/>
      <c r="DII9967" s="1328"/>
      <c r="DIK9967" s="1328"/>
      <c r="DIL9967" s="1328">
        <v>8919645.2799999993</v>
      </c>
      <c r="DIM9967" s="1328"/>
      <c r="DIO9967" s="1328"/>
      <c r="DIP9967" s="1328"/>
      <c r="DIQ9967" s="1328"/>
      <c r="DIS9967" s="1328"/>
      <c r="DIT9967" s="1328">
        <v>8919645.2799999993</v>
      </c>
      <c r="DIU9967" s="1328"/>
      <c r="DIW9967" s="1328"/>
      <c r="DIX9967" s="1328"/>
      <c r="DIY9967" s="1328"/>
      <c r="DJA9967" s="1328"/>
      <c r="DJB9967" s="1328">
        <v>8919645.2799999993</v>
      </c>
      <c r="DJC9967" s="1328"/>
      <c r="DJE9967" s="1328"/>
      <c r="DJF9967" s="1328"/>
      <c r="DJG9967" s="1328"/>
      <c r="DJI9967" s="1328"/>
      <c r="DJJ9967" s="1328">
        <v>8919645.2799999993</v>
      </c>
      <c r="DJK9967" s="1328"/>
      <c r="DJM9967" s="1328"/>
      <c r="DJN9967" s="1328"/>
      <c r="DJO9967" s="1328"/>
      <c r="DJQ9967" s="1328"/>
      <c r="DJR9967" s="1328">
        <v>8919645.2799999993</v>
      </c>
      <c r="DJS9967" s="1328"/>
      <c r="DJU9967" s="1328"/>
      <c r="DJV9967" s="1328"/>
      <c r="DJW9967" s="1328"/>
      <c r="DJY9967" s="1328"/>
      <c r="DJZ9967" s="1328">
        <v>8919645.2799999993</v>
      </c>
      <c r="DKA9967" s="1328"/>
      <c r="DKC9967" s="1328"/>
      <c r="DKD9967" s="1328"/>
      <c r="DKE9967" s="1328"/>
      <c r="DKG9967" s="1328"/>
      <c r="DKH9967" s="1328">
        <v>8919645.2799999993</v>
      </c>
      <c r="DKI9967" s="1328"/>
      <c r="DKK9967" s="1328"/>
      <c r="DKL9967" s="1328"/>
      <c r="DKM9967" s="1328"/>
      <c r="DKO9967" s="1328"/>
      <c r="DKP9967" s="1328">
        <v>8919645.2799999993</v>
      </c>
      <c r="DKQ9967" s="1328"/>
      <c r="DKS9967" s="1328"/>
      <c r="DKT9967" s="1328"/>
      <c r="DKU9967" s="1328"/>
      <c r="DKW9967" s="1328"/>
      <c r="DKX9967" s="1328">
        <v>8919645.2799999993</v>
      </c>
      <c r="DKY9967" s="1328"/>
      <c r="DLA9967" s="1328"/>
      <c r="DLB9967" s="1328"/>
      <c r="DLC9967" s="1328"/>
      <c r="DLE9967" s="1328"/>
      <c r="DLF9967" s="1328">
        <v>8919645.2799999993</v>
      </c>
      <c r="DLG9967" s="1328"/>
      <c r="DLI9967" s="1328"/>
      <c r="DLJ9967" s="1328"/>
      <c r="DLK9967" s="1328"/>
      <c r="DLM9967" s="1328"/>
      <c r="DLN9967" s="1328">
        <v>8919645.2799999993</v>
      </c>
      <c r="DLO9967" s="1328"/>
      <c r="DLQ9967" s="1328"/>
      <c r="DLR9967" s="1328"/>
      <c r="DLS9967" s="1328"/>
      <c r="DLU9967" s="1328"/>
      <c r="DLV9967" s="1328">
        <v>8919645.2799999993</v>
      </c>
      <c r="DLW9967" s="1328"/>
      <c r="DLY9967" s="1328"/>
      <c r="DLZ9967" s="1328"/>
      <c r="DMA9967" s="1328"/>
      <c r="DMC9967" s="1328"/>
      <c r="DMD9967" s="1328">
        <v>8919645.2799999993</v>
      </c>
      <c r="DME9967" s="1328"/>
      <c r="DMG9967" s="1328"/>
      <c r="DMH9967" s="1328"/>
      <c r="DMI9967" s="1328"/>
      <c r="DMK9967" s="1328"/>
      <c r="DML9967" s="1328">
        <v>8919645.2799999993</v>
      </c>
      <c r="DMM9967" s="1328"/>
      <c r="DMO9967" s="1328"/>
      <c r="DMP9967" s="1328"/>
      <c r="DMQ9967" s="1328"/>
      <c r="DMS9967" s="1328"/>
      <c r="DMT9967" s="1328">
        <v>8919645.2799999993</v>
      </c>
      <c r="DMU9967" s="1328"/>
      <c r="DMW9967" s="1328"/>
      <c r="DMX9967" s="1328"/>
      <c r="DMY9967" s="1328"/>
      <c r="DNA9967" s="1328"/>
      <c r="DNB9967" s="1328">
        <v>8919645.2799999993</v>
      </c>
      <c r="DNC9967" s="1328"/>
      <c r="DNE9967" s="1328"/>
      <c r="DNF9967" s="1328"/>
      <c r="DNG9967" s="1328"/>
      <c r="DNI9967" s="1328"/>
      <c r="DNJ9967" s="1328">
        <v>8919645.2799999993</v>
      </c>
      <c r="DNK9967" s="1328"/>
      <c r="DNM9967" s="1328"/>
      <c r="DNN9967" s="1328"/>
      <c r="DNO9967" s="1328"/>
      <c r="DNQ9967" s="1328"/>
      <c r="DNR9967" s="1328">
        <v>8919645.2799999993</v>
      </c>
      <c r="DNS9967" s="1328"/>
      <c r="DNU9967" s="1328"/>
      <c r="DNV9967" s="1328"/>
      <c r="DNW9967" s="1328"/>
      <c r="DNY9967" s="1328"/>
      <c r="DNZ9967" s="1328">
        <v>8919645.2799999993</v>
      </c>
      <c r="DOA9967" s="1328"/>
      <c r="DOC9967" s="1328"/>
      <c r="DOD9967" s="1328"/>
      <c r="DOE9967" s="1328"/>
      <c r="DOG9967" s="1328"/>
      <c r="DOH9967" s="1328">
        <v>8919645.2799999993</v>
      </c>
      <c r="DOI9967" s="1328"/>
      <c r="DOK9967" s="1328"/>
      <c r="DOL9967" s="1328"/>
      <c r="DOM9967" s="1328"/>
      <c r="DOO9967" s="1328"/>
      <c r="DOP9967" s="1328">
        <v>8919645.2799999993</v>
      </c>
      <c r="DOQ9967" s="1328"/>
      <c r="DOS9967" s="1328"/>
      <c r="DOT9967" s="1328"/>
      <c r="DOU9967" s="1328"/>
      <c r="DOW9967" s="1328"/>
      <c r="DOX9967" s="1328">
        <v>8919645.2799999993</v>
      </c>
      <c r="DOY9967" s="1328"/>
      <c r="DPA9967" s="1328"/>
      <c r="DPB9967" s="1328"/>
      <c r="DPC9967" s="1328"/>
      <c r="DPE9967" s="1328"/>
      <c r="DPF9967" s="1328">
        <v>8919645.2799999993</v>
      </c>
      <c r="DPG9967" s="1328"/>
      <c r="DPI9967" s="1328"/>
      <c r="DPJ9967" s="1328"/>
      <c r="DPK9967" s="1328"/>
      <c r="DPM9967" s="1328"/>
      <c r="DPN9967" s="1328">
        <v>8919645.2799999993</v>
      </c>
      <c r="DPO9967" s="1328"/>
      <c r="DPQ9967" s="1328"/>
      <c r="DPR9967" s="1328"/>
      <c r="DPS9967" s="1328"/>
      <c r="DPU9967" s="1328"/>
      <c r="DPV9967" s="1328">
        <v>8919645.2799999993</v>
      </c>
      <c r="DPW9967" s="1328"/>
      <c r="DPY9967" s="1328"/>
      <c r="DPZ9967" s="1328"/>
      <c r="DQA9967" s="1328"/>
      <c r="DQC9967" s="1328"/>
      <c r="DQD9967" s="1328">
        <v>8919645.2799999993</v>
      </c>
      <c r="DQE9967" s="1328"/>
      <c r="DQG9967" s="1328"/>
      <c r="DQH9967" s="1328"/>
      <c r="DQI9967" s="1328"/>
      <c r="DQK9967" s="1328"/>
      <c r="DQL9967" s="1328">
        <v>8919645.2799999993</v>
      </c>
      <c r="DQM9967" s="1328"/>
      <c r="DQO9967" s="1328"/>
      <c r="DQP9967" s="1328"/>
      <c r="DQQ9967" s="1328"/>
      <c r="DQS9967" s="1328"/>
      <c r="DQT9967" s="1328">
        <v>8919645.2799999993</v>
      </c>
      <c r="DQU9967" s="1328"/>
      <c r="DQW9967" s="1328"/>
      <c r="DQX9967" s="1328"/>
      <c r="DQY9967" s="1328"/>
      <c r="DRA9967" s="1328"/>
      <c r="DRB9967" s="1328">
        <v>8919645.2799999993</v>
      </c>
      <c r="DRC9967" s="1328"/>
      <c r="DRE9967" s="1328"/>
      <c r="DRF9967" s="1328"/>
      <c r="DRG9967" s="1328"/>
      <c r="DRI9967" s="1328"/>
      <c r="DRJ9967" s="1328">
        <v>8919645.2799999993</v>
      </c>
      <c r="DRK9967" s="1328"/>
      <c r="DRM9967" s="1328"/>
      <c r="DRN9967" s="1328"/>
      <c r="DRO9967" s="1328"/>
      <c r="DRQ9967" s="1328"/>
      <c r="DRR9967" s="1328">
        <v>8919645.2799999993</v>
      </c>
      <c r="DRS9967" s="1328"/>
      <c r="DRU9967" s="1328"/>
      <c r="DRV9967" s="1328"/>
      <c r="DRW9967" s="1328"/>
      <c r="DRY9967" s="1328"/>
      <c r="DRZ9967" s="1328">
        <v>8919645.2799999993</v>
      </c>
      <c r="DSA9967" s="1328"/>
      <c r="DSC9967" s="1328"/>
      <c r="DSD9967" s="1328"/>
      <c r="DSE9967" s="1328"/>
      <c r="DSG9967" s="1328"/>
      <c r="DSH9967" s="1328">
        <v>8919645.2799999993</v>
      </c>
      <c r="DSI9967" s="1328"/>
      <c r="DSK9967" s="1328"/>
      <c r="DSL9967" s="1328"/>
      <c r="DSM9967" s="1328"/>
      <c r="DSO9967" s="1328"/>
      <c r="DSP9967" s="1328">
        <v>8919645.2799999993</v>
      </c>
      <c r="DSQ9967" s="1328"/>
      <c r="DSS9967" s="1328"/>
      <c r="DST9967" s="1328"/>
      <c r="DSU9967" s="1328"/>
      <c r="DSW9967" s="1328"/>
      <c r="DSX9967" s="1328">
        <v>8919645.2799999993</v>
      </c>
      <c r="DSY9967" s="1328"/>
      <c r="DTA9967" s="1328"/>
      <c r="DTB9967" s="1328"/>
      <c r="DTC9967" s="1328"/>
      <c r="DTE9967" s="1328"/>
      <c r="DTF9967" s="1328">
        <v>8919645.2799999993</v>
      </c>
      <c r="DTG9967" s="1328"/>
      <c r="DTI9967" s="1328"/>
      <c r="DTJ9967" s="1328"/>
      <c r="DTK9967" s="1328"/>
      <c r="DTM9967" s="1328"/>
      <c r="DTN9967" s="1328">
        <v>8919645.2799999993</v>
      </c>
      <c r="DTO9967" s="1328"/>
      <c r="DTQ9967" s="1328"/>
      <c r="DTR9967" s="1328"/>
      <c r="DTS9967" s="1328"/>
      <c r="DTU9967" s="1328"/>
      <c r="DTV9967" s="1328">
        <v>8919645.2799999993</v>
      </c>
      <c r="DTW9967" s="1328"/>
      <c r="DTY9967" s="1328"/>
      <c r="DTZ9967" s="1328"/>
      <c r="DUA9967" s="1328"/>
      <c r="DUC9967" s="1328"/>
      <c r="DUD9967" s="1328">
        <v>8919645.2799999993</v>
      </c>
      <c r="DUE9967" s="1328"/>
      <c r="DUG9967" s="1328"/>
      <c r="DUH9967" s="1328"/>
      <c r="DUI9967" s="1328"/>
      <c r="DUK9967" s="1328"/>
      <c r="DUL9967" s="1328">
        <v>8919645.2799999993</v>
      </c>
      <c r="DUM9967" s="1328"/>
      <c r="DUO9967" s="1328"/>
      <c r="DUP9967" s="1328"/>
      <c r="DUQ9967" s="1328"/>
      <c r="DUS9967" s="1328"/>
      <c r="DUT9967" s="1328">
        <v>8919645.2799999993</v>
      </c>
      <c r="DUU9967" s="1328"/>
      <c r="DUW9967" s="1328"/>
      <c r="DUX9967" s="1328"/>
      <c r="DUY9967" s="1328"/>
      <c r="DVA9967" s="1328"/>
      <c r="DVB9967" s="1328">
        <v>8919645.2799999993</v>
      </c>
      <c r="DVC9967" s="1328"/>
      <c r="DVE9967" s="1328"/>
      <c r="DVF9967" s="1328"/>
      <c r="DVG9967" s="1328"/>
      <c r="DVI9967" s="1328"/>
      <c r="DVJ9967" s="1328">
        <v>8919645.2799999993</v>
      </c>
      <c r="DVK9967" s="1328"/>
      <c r="DVM9967" s="1328"/>
      <c r="DVN9967" s="1328"/>
      <c r="DVO9967" s="1328"/>
      <c r="DVQ9967" s="1328"/>
      <c r="DVR9967" s="1328">
        <v>8919645.2799999993</v>
      </c>
      <c r="DVS9967" s="1328"/>
      <c r="DVU9967" s="1328"/>
      <c r="DVV9967" s="1328"/>
      <c r="DVW9967" s="1328"/>
      <c r="DVY9967" s="1328"/>
      <c r="DVZ9967" s="1328">
        <v>8919645.2799999993</v>
      </c>
      <c r="DWA9967" s="1328"/>
      <c r="DWC9967" s="1328"/>
      <c r="DWD9967" s="1328"/>
      <c r="DWE9967" s="1328"/>
      <c r="DWG9967" s="1328"/>
      <c r="DWH9967" s="1328">
        <v>8919645.2799999993</v>
      </c>
      <c r="DWI9967" s="1328"/>
      <c r="DWK9967" s="1328"/>
      <c r="DWL9967" s="1328"/>
      <c r="DWM9967" s="1328"/>
      <c r="DWO9967" s="1328"/>
      <c r="DWP9967" s="1328">
        <v>8919645.2799999993</v>
      </c>
      <c r="DWQ9967" s="1328"/>
      <c r="DWS9967" s="1328"/>
      <c r="DWT9967" s="1328"/>
      <c r="DWU9967" s="1328"/>
      <c r="DWW9967" s="1328"/>
      <c r="DWX9967" s="1328">
        <v>8919645.2799999993</v>
      </c>
      <c r="DWY9967" s="1328"/>
      <c r="DXA9967" s="1328"/>
      <c r="DXB9967" s="1328"/>
      <c r="DXC9967" s="1328"/>
      <c r="DXE9967" s="1328"/>
      <c r="DXF9967" s="1328">
        <v>8919645.2799999993</v>
      </c>
      <c r="DXG9967" s="1328"/>
      <c r="DXI9967" s="1328"/>
      <c r="DXJ9967" s="1328"/>
      <c r="DXK9967" s="1328"/>
      <c r="DXM9967" s="1328"/>
      <c r="DXN9967" s="1328">
        <v>8919645.2799999993</v>
      </c>
      <c r="DXO9967" s="1328"/>
      <c r="DXQ9967" s="1328"/>
      <c r="DXR9967" s="1328"/>
      <c r="DXS9967" s="1328"/>
      <c r="DXU9967" s="1328"/>
      <c r="DXV9967" s="1328">
        <v>8919645.2799999993</v>
      </c>
      <c r="DXW9967" s="1328"/>
      <c r="DXY9967" s="1328"/>
      <c r="DXZ9967" s="1328"/>
      <c r="DYA9967" s="1328"/>
      <c r="DYC9967" s="1328"/>
      <c r="DYD9967" s="1328">
        <v>8919645.2799999993</v>
      </c>
      <c r="DYE9967" s="1328"/>
      <c r="DYG9967" s="1328"/>
      <c r="DYH9967" s="1328"/>
      <c r="DYI9967" s="1328"/>
      <c r="DYK9967" s="1328"/>
      <c r="DYL9967" s="1328">
        <v>8919645.2799999993</v>
      </c>
      <c r="DYM9967" s="1328"/>
      <c r="DYO9967" s="1328"/>
      <c r="DYP9967" s="1328"/>
      <c r="DYQ9967" s="1328"/>
      <c r="DYS9967" s="1328"/>
      <c r="DYT9967" s="1328">
        <v>8919645.2799999993</v>
      </c>
      <c r="DYU9967" s="1328"/>
      <c r="DYW9967" s="1328"/>
      <c r="DYX9967" s="1328"/>
      <c r="DYY9967" s="1328"/>
      <c r="DZA9967" s="1328"/>
      <c r="DZB9967" s="1328">
        <v>8919645.2799999993</v>
      </c>
      <c r="DZC9967" s="1328"/>
      <c r="DZE9967" s="1328"/>
      <c r="DZF9967" s="1328"/>
      <c r="DZG9967" s="1328"/>
      <c r="DZI9967" s="1328"/>
      <c r="DZJ9967" s="1328">
        <v>8919645.2799999993</v>
      </c>
      <c r="DZK9967" s="1328"/>
      <c r="DZM9967" s="1328"/>
      <c r="DZN9967" s="1328"/>
      <c r="DZO9967" s="1328"/>
      <c r="DZQ9967" s="1328"/>
      <c r="DZR9967" s="1328">
        <v>8919645.2799999993</v>
      </c>
      <c r="DZS9967" s="1328"/>
      <c r="DZU9967" s="1328"/>
      <c r="DZV9967" s="1328"/>
      <c r="DZW9967" s="1328"/>
      <c r="DZY9967" s="1328"/>
      <c r="DZZ9967" s="1328">
        <v>8919645.2799999993</v>
      </c>
      <c r="EAA9967" s="1328"/>
      <c r="EAC9967" s="1328"/>
      <c r="EAD9967" s="1328"/>
      <c r="EAE9967" s="1328"/>
      <c r="EAG9967" s="1328"/>
      <c r="EAH9967" s="1328">
        <v>8919645.2799999993</v>
      </c>
      <c r="EAI9967" s="1328"/>
      <c r="EAK9967" s="1328"/>
      <c r="EAL9967" s="1328"/>
      <c r="EAM9967" s="1328"/>
      <c r="EAO9967" s="1328"/>
      <c r="EAP9967" s="1328">
        <v>8919645.2799999993</v>
      </c>
      <c r="EAQ9967" s="1328"/>
      <c r="EAS9967" s="1328"/>
      <c r="EAT9967" s="1328"/>
      <c r="EAU9967" s="1328"/>
      <c r="EAW9967" s="1328"/>
      <c r="EAX9967" s="1328">
        <v>8919645.2799999993</v>
      </c>
      <c r="EAY9967" s="1328"/>
      <c r="EBA9967" s="1328"/>
      <c r="EBB9967" s="1328"/>
      <c r="EBC9967" s="1328"/>
      <c r="EBE9967" s="1328"/>
      <c r="EBF9967" s="1328">
        <v>8919645.2799999993</v>
      </c>
      <c r="EBG9967" s="1328"/>
      <c r="EBI9967" s="1328"/>
      <c r="EBJ9967" s="1328"/>
      <c r="EBK9967" s="1328"/>
      <c r="EBM9967" s="1328"/>
      <c r="EBN9967" s="1328">
        <v>8919645.2799999993</v>
      </c>
      <c r="EBO9967" s="1328"/>
      <c r="EBQ9967" s="1328"/>
      <c r="EBR9967" s="1328"/>
      <c r="EBS9967" s="1328"/>
      <c r="EBU9967" s="1328"/>
      <c r="EBV9967" s="1328">
        <v>8919645.2799999993</v>
      </c>
      <c r="EBW9967" s="1328"/>
      <c r="EBY9967" s="1328"/>
      <c r="EBZ9967" s="1328"/>
      <c r="ECA9967" s="1328"/>
      <c r="ECC9967" s="1328"/>
      <c r="ECD9967" s="1328">
        <v>8919645.2799999993</v>
      </c>
      <c r="ECE9967" s="1328"/>
      <c r="ECG9967" s="1328"/>
      <c r="ECH9967" s="1328"/>
      <c r="ECI9967" s="1328"/>
      <c r="ECK9967" s="1328"/>
      <c r="ECL9967" s="1328">
        <v>8919645.2799999993</v>
      </c>
      <c r="ECM9967" s="1328"/>
      <c r="ECO9967" s="1328"/>
      <c r="ECP9967" s="1328"/>
      <c r="ECQ9967" s="1328"/>
      <c r="ECS9967" s="1328"/>
      <c r="ECT9967" s="1328">
        <v>8919645.2799999993</v>
      </c>
      <c r="ECU9967" s="1328"/>
      <c r="ECW9967" s="1328"/>
      <c r="ECX9967" s="1328"/>
      <c r="ECY9967" s="1328"/>
      <c r="EDA9967" s="1328"/>
      <c r="EDB9967" s="1328">
        <v>8919645.2799999993</v>
      </c>
      <c r="EDC9967" s="1328"/>
      <c r="EDE9967" s="1328"/>
      <c r="EDF9967" s="1328"/>
      <c r="EDG9967" s="1328"/>
      <c r="EDI9967" s="1328"/>
      <c r="EDJ9967" s="1328">
        <v>8919645.2799999993</v>
      </c>
      <c r="EDK9967" s="1328"/>
      <c r="EDM9967" s="1328"/>
      <c r="EDN9967" s="1328"/>
      <c r="EDO9967" s="1328"/>
      <c r="EDQ9967" s="1328"/>
      <c r="EDR9967" s="1328">
        <v>8919645.2799999993</v>
      </c>
      <c r="EDS9967" s="1328"/>
      <c r="EDU9967" s="1328"/>
      <c r="EDV9967" s="1328"/>
      <c r="EDW9967" s="1328"/>
      <c r="EDY9967" s="1328"/>
      <c r="EDZ9967" s="1328">
        <v>8919645.2799999993</v>
      </c>
      <c r="EEA9967" s="1328"/>
      <c r="EEC9967" s="1328"/>
      <c r="EED9967" s="1328"/>
      <c r="EEE9967" s="1328"/>
      <c r="EEG9967" s="1328"/>
      <c r="EEH9967" s="1328">
        <v>8919645.2799999993</v>
      </c>
      <c r="EEI9967" s="1328"/>
      <c r="EEK9967" s="1328"/>
      <c r="EEL9967" s="1328"/>
      <c r="EEM9967" s="1328"/>
      <c r="EEO9967" s="1328"/>
      <c r="EEP9967" s="1328">
        <v>8919645.2799999993</v>
      </c>
      <c r="EEQ9967" s="1328"/>
      <c r="EES9967" s="1328"/>
      <c r="EET9967" s="1328"/>
      <c r="EEU9967" s="1328"/>
      <c r="EEW9967" s="1328"/>
      <c r="EEX9967" s="1328">
        <v>8919645.2799999993</v>
      </c>
      <c r="EEY9967" s="1328"/>
      <c r="EFA9967" s="1328"/>
      <c r="EFB9967" s="1328"/>
      <c r="EFC9967" s="1328"/>
      <c r="EFE9967" s="1328"/>
      <c r="EFF9967" s="1328">
        <v>8919645.2799999993</v>
      </c>
      <c r="EFG9967" s="1328"/>
      <c r="EFI9967" s="1328"/>
      <c r="EFJ9967" s="1328"/>
      <c r="EFK9967" s="1328"/>
      <c r="EFM9967" s="1328"/>
      <c r="EFN9967" s="1328">
        <v>8919645.2799999993</v>
      </c>
      <c r="EFO9967" s="1328"/>
      <c r="EFQ9967" s="1328"/>
      <c r="EFR9967" s="1328"/>
      <c r="EFS9967" s="1328"/>
      <c r="EFU9967" s="1328"/>
      <c r="EFV9967" s="1328">
        <v>8919645.2799999993</v>
      </c>
      <c r="EFW9967" s="1328"/>
      <c r="EFY9967" s="1328"/>
      <c r="EFZ9967" s="1328"/>
      <c r="EGA9967" s="1328"/>
      <c r="EGC9967" s="1328"/>
      <c r="EGD9967" s="1328">
        <v>8919645.2799999993</v>
      </c>
      <c r="EGE9967" s="1328"/>
      <c r="EGG9967" s="1328"/>
      <c r="EGH9967" s="1328"/>
      <c r="EGI9967" s="1328"/>
      <c r="EGK9967" s="1328"/>
      <c r="EGL9967" s="1328">
        <v>8919645.2799999993</v>
      </c>
      <c r="EGM9967" s="1328"/>
      <c r="EGO9967" s="1328"/>
      <c r="EGP9967" s="1328"/>
      <c r="EGQ9967" s="1328"/>
      <c r="EGS9967" s="1328"/>
      <c r="EGT9967" s="1328">
        <v>8919645.2799999993</v>
      </c>
      <c r="EGU9967" s="1328"/>
      <c r="EGW9967" s="1328"/>
      <c r="EGX9967" s="1328"/>
      <c r="EGY9967" s="1328"/>
      <c r="EHA9967" s="1328"/>
      <c r="EHB9967" s="1328">
        <v>8919645.2799999993</v>
      </c>
      <c r="EHC9967" s="1328"/>
      <c r="EHE9967" s="1328"/>
      <c r="EHF9967" s="1328"/>
      <c r="EHG9967" s="1328"/>
      <c r="EHI9967" s="1328"/>
      <c r="EHJ9967" s="1328">
        <v>8919645.2799999993</v>
      </c>
      <c r="EHK9967" s="1328"/>
      <c r="EHM9967" s="1328"/>
      <c r="EHN9967" s="1328"/>
      <c r="EHO9967" s="1328"/>
      <c r="EHQ9967" s="1328"/>
      <c r="EHR9967" s="1328">
        <v>8919645.2799999993</v>
      </c>
      <c r="EHS9967" s="1328"/>
      <c r="EHU9967" s="1328"/>
      <c r="EHV9967" s="1328"/>
      <c r="EHW9967" s="1328"/>
      <c r="EHY9967" s="1328"/>
      <c r="EHZ9967" s="1328">
        <v>8919645.2799999993</v>
      </c>
      <c r="EIA9967" s="1328"/>
      <c r="EIC9967" s="1328"/>
      <c r="EID9967" s="1328"/>
      <c r="EIE9967" s="1328"/>
      <c r="EIG9967" s="1328"/>
      <c r="EIH9967" s="1328">
        <v>8919645.2799999993</v>
      </c>
      <c r="EII9967" s="1328"/>
      <c r="EIK9967" s="1328"/>
      <c r="EIL9967" s="1328"/>
      <c r="EIM9967" s="1328"/>
      <c r="EIO9967" s="1328"/>
      <c r="EIP9967" s="1328">
        <v>8919645.2799999993</v>
      </c>
      <c r="EIQ9967" s="1328"/>
      <c r="EIS9967" s="1328"/>
      <c r="EIT9967" s="1328"/>
      <c r="EIU9967" s="1328"/>
      <c r="EIW9967" s="1328"/>
      <c r="EIX9967" s="1328">
        <v>8919645.2799999993</v>
      </c>
      <c r="EIY9967" s="1328"/>
      <c r="EJA9967" s="1328"/>
      <c r="EJB9967" s="1328"/>
      <c r="EJC9967" s="1328"/>
      <c r="EJE9967" s="1328"/>
      <c r="EJF9967" s="1328">
        <v>8919645.2799999993</v>
      </c>
      <c r="EJG9967" s="1328"/>
      <c r="EJI9967" s="1328"/>
      <c r="EJJ9967" s="1328"/>
      <c r="EJK9967" s="1328"/>
      <c r="EJM9967" s="1328"/>
      <c r="EJN9967" s="1328">
        <v>8919645.2799999993</v>
      </c>
      <c r="EJO9967" s="1328"/>
      <c r="EJQ9967" s="1328"/>
      <c r="EJR9967" s="1328"/>
      <c r="EJS9967" s="1328"/>
      <c r="EJU9967" s="1328"/>
      <c r="EJV9967" s="1328">
        <v>8919645.2799999993</v>
      </c>
      <c r="EJW9967" s="1328"/>
      <c r="EJY9967" s="1328"/>
      <c r="EJZ9967" s="1328"/>
      <c r="EKA9967" s="1328"/>
      <c r="EKC9967" s="1328"/>
      <c r="EKD9967" s="1328">
        <v>8919645.2799999993</v>
      </c>
      <c r="EKE9967" s="1328"/>
      <c r="EKG9967" s="1328"/>
      <c r="EKH9967" s="1328"/>
      <c r="EKI9967" s="1328"/>
      <c r="EKK9967" s="1328"/>
      <c r="EKL9967" s="1328">
        <v>8919645.2799999993</v>
      </c>
      <c r="EKM9967" s="1328"/>
      <c r="EKO9967" s="1328"/>
      <c r="EKP9967" s="1328"/>
      <c r="EKQ9967" s="1328"/>
      <c r="EKS9967" s="1328"/>
      <c r="EKT9967" s="1328">
        <v>8919645.2799999993</v>
      </c>
      <c r="EKU9967" s="1328"/>
      <c r="EKW9967" s="1328"/>
      <c r="EKX9967" s="1328"/>
      <c r="EKY9967" s="1328"/>
      <c r="ELA9967" s="1328"/>
      <c r="ELB9967" s="1328">
        <v>8919645.2799999993</v>
      </c>
      <c r="ELC9967" s="1328"/>
      <c r="ELE9967" s="1328"/>
      <c r="ELF9967" s="1328"/>
      <c r="ELG9967" s="1328"/>
      <c r="ELI9967" s="1328"/>
      <c r="ELJ9967" s="1328">
        <v>8919645.2799999993</v>
      </c>
      <c r="ELK9967" s="1328"/>
      <c r="ELM9967" s="1328"/>
      <c r="ELN9967" s="1328"/>
      <c r="ELO9967" s="1328"/>
      <c r="ELQ9967" s="1328"/>
      <c r="ELR9967" s="1328">
        <v>8919645.2799999993</v>
      </c>
      <c r="ELS9967" s="1328"/>
      <c r="ELU9967" s="1328"/>
      <c r="ELV9967" s="1328"/>
      <c r="ELW9967" s="1328"/>
      <c r="ELY9967" s="1328"/>
      <c r="ELZ9967" s="1328">
        <v>8919645.2799999993</v>
      </c>
      <c r="EMA9967" s="1328"/>
      <c r="EMC9967" s="1328"/>
      <c r="EMD9967" s="1328"/>
      <c r="EME9967" s="1328"/>
      <c r="EMG9967" s="1328"/>
      <c r="EMH9967" s="1328">
        <v>8919645.2799999993</v>
      </c>
      <c r="EMI9967" s="1328"/>
      <c r="EMK9967" s="1328"/>
      <c r="EML9967" s="1328"/>
      <c r="EMM9967" s="1328"/>
      <c r="EMO9967" s="1328"/>
      <c r="EMP9967" s="1328">
        <v>8919645.2799999993</v>
      </c>
      <c r="EMQ9967" s="1328"/>
      <c r="EMS9967" s="1328"/>
      <c r="EMT9967" s="1328"/>
      <c r="EMU9967" s="1328"/>
      <c r="EMW9967" s="1328"/>
      <c r="EMX9967" s="1328">
        <v>8919645.2799999993</v>
      </c>
      <c r="EMY9967" s="1328"/>
      <c r="ENA9967" s="1328"/>
      <c r="ENB9967" s="1328"/>
      <c r="ENC9967" s="1328"/>
      <c r="ENE9967" s="1328"/>
      <c r="ENF9967" s="1328">
        <v>8919645.2799999993</v>
      </c>
      <c r="ENG9967" s="1328"/>
      <c r="ENI9967" s="1328"/>
      <c r="ENJ9967" s="1328"/>
      <c r="ENK9967" s="1328"/>
      <c r="ENM9967" s="1328"/>
      <c r="ENN9967" s="1328">
        <v>8919645.2799999993</v>
      </c>
      <c r="ENO9967" s="1328"/>
      <c r="ENQ9967" s="1328"/>
      <c r="ENR9967" s="1328"/>
      <c r="ENS9967" s="1328"/>
      <c r="ENU9967" s="1328"/>
      <c r="ENV9967" s="1328">
        <v>8919645.2799999993</v>
      </c>
      <c r="ENW9967" s="1328"/>
      <c r="ENY9967" s="1328"/>
      <c r="ENZ9967" s="1328"/>
      <c r="EOA9967" s="1328"/>
      <c r="EOC9967" s="1328"/>
      <c r="EOD9967" s="1328">
        <v>8919645.2799999993</v>
      </c>
      <c r="EOE9967" s="1328"/>
      <c r="EOG9967" s="1328"/>
      <c r="EOH9967" s="1328"/>
      <c r="EOI9967" s="1328"/>
      <c r="EOK9967" s="1328"/>
      <c r="EOL9967" s="1328">
        <v>8919645.2799999993</v>
      </c>
      <c r="EOM9967" s="1328"/>
      <c r="EOO9967" s="1328"/>
      <c r="EOP9967" s="1328"/>
      <c r="EOQ9967" s="1328"/>
      <c r="EOS9967" s="1328"/>
      <c r="EOT9967" s="1328">
        <v>8919645.2799999993</v>
      </c>
      <c r="EOU9967" s="1328"/>
      <c r="EOW9967" s="1328"/>
      <c r="EOX9967" s="1328"/>
      <c r="EOY9967" s="1328"/>
      <c r="EPA9967" s="1328"/>
      <c r="EPB9967" s="1328">
        <v>8919645.2799999993</v>
      </c>
      <c r="EPC9967" s="1328"/>
      <c r="EPE9967" s="1328"/>
      <c r="EPF9967" s="1328"/>
      <c r="EPG9967" s="1328"/>
      <c r="EPI9967" s="1328"/>
      <c r="EPJ9967" s="1328">
        <v>8919645.2799999993</v>
      </c>
      <c r="EPK9967" s="1328"/>
      <c r="EPM9967" s="1328"/>
      <c r="EPN9967" s="1328"/>
      <c r="EPO9967" s="1328"/>
      <c r="EPQ9967" s="1328"/>
      <c r="EPR9967" s="1328">
        <v>8919645.2799999993</v>
      </c>
      <c r="EPS9967" s="1328"/>
      <c r="EPU9967" s="1328"/>
      <c r="EPV9967" s="1328"/>
      <c r="EPW9967" s="1328"/>
      <c r="EPY9967" s="1328"/>
      <c r="EPZ9967" s="1328">
        <v>8919645.2799999993</v>
      </c>
      <c r="EQA9967" s="1328"/>
      <c r="EQC9967" s="1328"/>
      <c r="EQD9967" s="1328"/>
      <c r="EQE9967" s="1328"/>
      <c r="EQG9967" s="1328"/>
      <c r="EQH9967" s="1328">
        <v>8919645.2799999993</v>
      </c>
      <c r="EQI9967" s="1328"/>
      <c r="EQK9967" s="1328"/>
      <c r="EQL9967" s="1328"/>
      <c r="EQM9967" s="1328"/>
      <c r="EQO9967" s="1328"/>
      <c r="EQP9967" s="1328">
        <v>8919645.2799999993</v>
      </c>
      <c r="EQQ9967" s="1328"/>
      <c r="EQS9967" s="1328"/>
      <c r="EQT9967" s="1328"/>
      <c r="EQU9967" s="1328"/>
      <c r="EQW9967" s="1328"/>
      <c r="EQX9967" s="1328">
        <v>8919645.2799999993</v>
      </c>
      <c r="EQY9967" s="1328"/>
      <c r="ERA9967" s="1328"/>
      <c r="ERB9967" s="1328"/>
      <c r="ERC9967" s="1328"/>
      <c r="ERE9967" s="1328"/>
      <c r="ERF9967" s="1328">
        <v>8919645.2799999993</v>
      </c>
      <c r="ERG9967" s="1328"/>
      <c r="ERI9967" s="1328"/>
      <c r="ERJ9967" s="1328"/>
      <c r="ERK9967" s="1328"/>
      <c r="ERM9967" s="1328"/>
      <c r="ERN9967" s="1328">
        <v>8919645.2799999993</v>
      </c>
      <c r="ERO9967" s="1328"/>
      <c r="ERQ9967" s="1328"/>
      <c r="ERR9967" s="1328"/>
      <c r="ERS9967" s="1328"/>
      <c r="ERU9967" s="1328"/>
      <c r="ERV9967" s="1328">
        <v>8919645.2799999993</v>
      </c>
      <c r="ERW9967" s="1328"/>
      <c r="ERY9967" s="1328"/>
      <c r="ERZ9967" s="1328"/>
      <c r="ESA9967" s="1328"/>
      <c r="ESC9967" s="1328"/>
      <c r="ESD9967" s="1328">
        <v>8919645.2799999993</v>
      </c>
      <c r="ESE9967" s="1328"/>
      <c r="ESG9967" s="1328"/>
      <c r="ESH9967" s="1328"/>
      <c r="ESI9967" s="1328"/>
      <c r="ESK9967" s="1328"/>
      <c r="ESL9967" s="1328">
        <v>8919645.2799999993</v>
      </c>
      <c r="ESM9967" s="1328"/>
      <c r="ESO9967" s="1328"/>
      <c r="ESP9967" s="1328"/>
      <c r="ESQ9967" s="1328"/>
      <c r="ESS9967" s="1328"/>
      <c r="EST9967" s="1328">
        <v>8919645.2799999993</v>
      </c>
      <c r="ESU9967" s="1328"/>
      <c r="ESW9967" s="1328"/>
      <c r="ESX9967" s="1328"/>
      <c r="ESY9967" s="1328"/>
      <c r="ETA9967" s="1328"/>
      <c r="ETB9967" s="1328">
        <v>8919645.2799999993</v>
      </c>
      <c r="ETC9967" s="1328"/>
      <c r="ETE9967" s="1328"/>
      <c r="ETF9967" s="1328"/>
      <c r="ETG9967" s="1328"/>
      <c r="ETI9967" s="1328"/>
      <c r="ETJ9967" s="1328">
        <v>8919645.2799999993</v>
      </c>
      <c r="ETK9967" s="1328"/>
      <c r="ETM9967" s="1328"/>
      <c r="ETN9967" s="1328"/>
      <c r="ETO9967" s="1328"/>
      <c r="ETQ9967" s="1328"/>
      <c r="ETR9967" s="1328">
        <v>8919645.2799999993</v>
      </c>
      <c r="ETS9967" s="1328"/>
      <c r="ETU9967" s="1328"/>
      <c r="ETV9967" s="1328"/>
      <c r="ETW9967" s="1328"/>
      <c r="ETY9967" s="1328"/>
      <c r="ETZ9967" s="1328">
        <v>8919645.2799999993</v>
      </c>
      <c r="EUA9967" s="1328"/>
      <c r="EUC9967" s="1328"/>
      <c r="EUD9967" s="1328"/>
      <c r="EUE9967" s="1328"/>
      <c r="EUG9967" s="1328"/>
      <c r="EUH9967" s="1328">
        <v>8919645.2799999993</v>
      </c>
      <c r="EUI9967" s="1328"/>
      <c r="EUK9967" s="1328"/>
      <c r="EUL9967" s="1328"/>
      <c r="EUM9967" s="1328"/>
      <c r="EUO9967" s="1328"/>
      <c r="EUP9967" s="1328">
        <v>8919645.2799999993</v>
      </c>
      <c r="EUQ9967" s="1328"/>
      <c r="EUS9967" s="1328"/>
      <c r="EUT9967" s="1328"/>
      <c r="EUU9967" s="1328"/>
      <c r="EUW9967" s="1328"/>
      <c r="EUX9967" s="1328">
        <v>8919645.2799999993</v>
      </c>
      <c r="EUY9967" s="1328"/>
      <c r="EVA9967" s="1328"/>
      <c r="EVB9967" s="1328"/>
      <c r="EVC9967" s="1328"/>
      <c r="EVE9967" s="1328"/>
      <c r="EVF9967" s="1328">
        <v>8919645.2799999993</v>
      </c>
      <c r="EVG9967" s="1328"/>
      <c r="EVI9967" s="1328"/>
      <c r="EVJ9967" s="1328"/>
      <c r="EVK9967" s="1328"/>
      <c r="EVM9967" s="1328"/>
      <c r="EVN9967" s="1328">
        <v>8919645.2799999993</v>
      </c>
      <c r="EVO9967" s="1328"/>
      <c r="EVQ9967" s="1328"/>
      <c r="EVR9967" s="1328"/>
      <c r="EVS9967" s="1328"/>
      <c r="EVU9967" s="1328"/>
      <c r="EVV9967" s="1328">
        <v>8919645.2799999993</v>
      </c>
      <c r="EVW9967" s="1328"/>
      <c r="EVY9967" s="1328"/>
      <c r="EVZ9967" s="1328"/>
      <c r="EWA9967" s="1328"/>
      <c r="EWC9967" s="1328"/>
      <c r="EWD9967" s="1328">
        <v>8919645.2799999993</v>
      </c>
      <c r="EWE9967" s="1328"/>
      <c r="EWG9967" s="1328"/>
      <c r="EWH9967" s="1328"/>
      <c r="EWI9967" s="1328"/>
      <c r="EWK9967" s="1328"/>
      <c r="EWL9967" s="1328">
        <v>8919645.2799999993</v>
      </c>
      <c r="EWM9967" s="1328"/>
      <c r="EWO9967" s="1328"/>
      <c r="EWP9967" s="1328"/>
      <c r="EWQ9967" s="1328"/>
      <c r="EWS9967" s="1328"/>
      <c r="EWT9967" s="1328">
        <v>8919645.2799999993</v>
      </c>
      <c r="EWU9967" s="1328"/>
      <c r="EWW9967" s="1328"/>
      <c r="EWX9967" s="1328"/>
      <c r="EWY9967" s="1328"/>
      <c r="EXA9967" s="1328"/>
      <c r="EXB9967" s="1328">
        <v>8919645.2799999993</v>
      </c>
      <c r="EXC9967" s="1328"/>
      <c r="EXE9967" s="1328"/>
      <c r="EXF9967" s="1328"/>
      <c r="EXG9967" s="1328"/>
      <c r="EXI9967" s="1328"/>
      <c r="EXJ9967" s="1328">
        <v>8919645.2799999993</v>
      </c>
      <c r="EXK9967" s="1328"/>
      <c r="EXM9967" s="1328"/>
      <c r="EXN9967" s="1328"/>
      <c r="EXO9967" s="1328"/>
      <c r="EXQ9967" s="1328"/>
      <c r="EXR9967" s="1328">
        <v>8919645.2799999993</v>
      </c>
      <c r="EXS9967" s="1328"/>
      <c r="EXU9967" s="1328"/>
      <c r="EXV9967" s="1328"/>
      <c r="EXW9967" s="1328"/>
      <c r="EXY9967" s="1328"/>
      <c r="EXZ9967" s="1328">
        <v>8919645.2799999993</v>
      </c>
      <c r="EYA9967" s="1328"/>
      <c r="EYC9967" s="1328"/>
      <c r="EYD9967" s="1328"/>
      <c r="EYE9967" s="1328"/>
      <c r="EYG9967" s="1328"/>
      <c r="EYH9967" s="1328">
        <v>8919645.2799999993</v>
      </c>
      <c r="EYI9967" s="1328"/>
      <c r="EYK9967" s="1328"/>
      <c r="EYL9967" s="1328"/>
      <c r="EYM9967" s="1328"/>
      <c r="EYO9967" s="1328"/>
      <c r="EYP9967" s="1328">
        <v>8919645.2799999993</v>
      </c>
      <c r="EYQ9967" s="1328"/>
      <c r="EYS9967" s="1328"/>
      <c r="EYT9967" s="1328"/>
      <c r="EYU9967" s="1328"/>
      <c r="EYW9967" s="1328"/>
      <c r="EYX9967" s="1328">
        <v>8919645.2799999993</v>
      </c>
      <c r="EYY9967" s="1328"/>
      <c r="EZA9967" s="1328"/>
      <c r="EZB9967" s="1328"/>
      <c r="EZC9967" s="1328"/>
      <c r="EZE9967" s="1328"/>
      <c r="EZF9967" s="1328">
        <v>8919645.2799999993</v>
      </c>
      <c r="EZG9967" s="1328"/>
      <c r="EZI9967" s="1328"/>
      <c r="EZJ9967" s="1328"/>
      <c r="EZK9967" s="1328"/>
      <c r="EZM9967" s="1328"/>
      <c r="EZN9967" s="1328">
        <v>8919645.2799999993</v>
      </c>
      <c r="EZO9967" s="1328"/>
      <c r="EZQ9967" s="1328"/>
      <c r="EZR9967" s="1328"/>
      <c r="EZS9967" s="1328"/>
      <c r="EZU9967" s="1328"/>
      <c r="EZV9967" s="1328">
        <v>8919645.2799999993</v>
      </c>
      <c r="EZW9967" s="1328"/>
      <c r="EZY9967" s="1328"/>
      <c r="EZZ9967" s="1328"/>
      <c r="FAA9967" s="1328"/>
      <c r="FAC9967" s="1328"/>
      <c r="FAD9967" s="1328">
        <v>8919645.2799999993</v>
      </c>
      <c r="FAE9967" s="1328"/>
      <c r="FAG9967" s="1328"/>
      <c r="FAH9967" s="1328"/>
      <c r="FAI9967" s="1328"/>
      <c r="FAK9967" s="1328"/>
      <c r="FAL9967" s="1328">
        <v>8919645.2799999993</v>
      </c>
      <c r="FAM9967" s="1328"/>
      <c r="FAO9967" s="1328"/>
      <c r="FAP9967" s="1328"/>
      <c r="FAQ9967" s="1328"/>
      <c r="FAS9967" s="1328"/>
      <c r="FAT9967" s="1328">
        <v>8919645.2799999993</v>
      </c>
      <c r="FAU9967" s="1328"/>
      <c r="FAW9967" s="1328"/>
      <c r="FAX9967" s="1328"/>
      <c r="FAY9967" s="1328"/>
      <c r="FBA9967" s="1328"/>
      <c r="FBB9967" s="1328">
        <v>8919645.2799999993</v>
      </c>
      <c r="FBC9967" s="1328"/>
      <c r="FBE9967" s="1328"/>
      <c r="FBF9967" s="1328"/>
      <c r="FBG9967" s="1328"/>
      <c r="FBI9967" s="1328"/>
      <c r="FBJ9967" s="1328">
        <v>8919645.2799999993</v>
      </c>
      <c r="FBK9967" s="1328"/>
      <c r="FBM9967" s="1328"/>
      <c r="FBN9967" s="1328"/>
      <c r="FBO9967" s="1328"/>
      <c r="FBQ9967" s="1328"/>
      <c r="FBR9967" s="1328">
        <v>8919645.2799999993</v>
      </c>
      <c r="FBS9967" s="1328"/>
      <c r="FBU9967" s="1328"/>
      <c r="FBV9967" s="1328"/>
      <c r="FBW9967" s="1328"/>
      <c r="FBY9967" s="1328"/>
      <c r="FBZ9967" s="1328">
        <v>8919645.2799999993</v>
      </c>
      <c r="FCA9967" s="1328"/>
      <c r="FCC9967" s="1328"/>
      <c r="FCD9967" s="1328"/>
      <c r="FCE9967" s="1328"/>
      <c r="FCG9967" s="1328"/>
      <c r="FCH9967" s="1328">
        <v>8919645.2799999993</v>
      </c>
      <c r="FCI9967" s="1328"/>
      <c r="FCK9967" s="1328"/>
      <c r="FCL9967" s="1328"/>
      <c r="FCM9967" s="1328"/>
      <c r="FCO9967" s="1328"/>
      <c r="FCP9967" s="1328">
        <v>8919645.2799999993</v>
      </c>
      <c r="FCQ9967" s="1328"/>
      <c r="FCS9967" s="1328"/>
      <c r="FCT9967" s="1328"/>
      <c r="FCU9967" s="1328"/>
      <c r="FCW9967" s="1328"/>
      <c r="FCX9967" s="1328">
        <v>8919645.2799999993</v>
      </c>
      <c r="FCY9967" s="1328"/>
      <c r="FDA9967" s="1328"/>
      <c r="FDB9967" s="1328"/>
      <c r="FDC9967" s="1328"/>
      <c r="FDE9967" s="1328"/>
      <c r="FDF9967" s="1328">
        <v>8919645.2799999993</v>
      </c>
      <c r="FDG9967" s="1328"/>
      <c r="FDI9967" s="1328"/>
      <c r="FDJ9967" s="1328"/>
      <c r="FDK9967" s="1328"/>
      <c r="FDM9967" s="1328"/>
      <c r="FDN9967" s="1328">
        <v>8919645.2799999993</v>
      </c>
      <c r="FDO9967" s="1328"/>
      <c r="FDQ9967" s="1328"/>
      <c r="FDR9967" s="1328"/>
      <c r="FDS9967" s="1328"/>
      <c r="FDU9967" s="1328"/>
      <c r="FDV9967" s="1328">
        <v>8919645.2799999993</v>
      </c>
      <c r="FDW9967" s="1328"/>
      <c r="FDY9967" s="1328"/>
      <c r="FDZ9967" s="1328"/>
      <c r="FEA9967" s="1328"/>
      <c r="FEC9967" s="1328"/>
      <c r="FED9967" s="1328">
        <v>8919645.2799999993</v>
      </c>
      <c r="FEE9967" s="1328"/>
      <c r="FEG9967" s="1328"/>
      <c r="FEH9967" s="1328"/>
      <c r="FEI9967" s="1328"/>
      <c r="FEK9967" s="1328"/>
      <c r="FEL9967" s="1328">
        <v>8919645.2799999993</v>
      </c>
      <c r="FEM9967" s="1328"/>
      <c r="FEO9967" s="1328"/>
      <c r="FEP9967" s="1328"/>
      <c r="FEQ9967" s="1328"/>
      <c r="FES9967" s="1328"/>
      <c r="FET9967" s="1328">
        <v>8919645.2799999993</v>
      </c>
      <c r="FEU9967" s="1328"/>
      <c r="FEW9967" s="1328"/>
      <c r="FEX9967" s="1328"/>
      <c r="FEY9967" s="1328"/>
      <c r="FFA9967" s="1328"/>
      <c r="FFB9967" s="1328">
        <v>8919645.2799999993</v>
      </c>
      <c r="FFC9967" s="1328"/>
      <c r="FFE9967" s="1328"/>
      <c r="FFF9967" s="1328"/>
      <c r="FFG9967" s="1328"/>
      <c r="FFI9967" s="1328"/>
      <c r="FFJ9967" s="1328">
        <v>8919645.2799999993</v>
      </c>
      <c r="FFK9967" s="1328"/>
      <c r="FFM9967" s="1328"/>
      <c r="FFN9967" s="1328"/>
      <c r="FFO9967" s="1328"/>
      <c r="FFQ9967" s="1328"/>
      <c r="FFR9967" s="1328">
        <v>8919645.2799999993</v>
      </c>
      <c r="FFS9967" s="1328"/>
      <c r="FFU9967" s="1328"/>
      <c r="FFV9967" s="1328"/>
      <c r="FFW9967" s="1328"/>
      <c r="FFY9967" s="1328"/>
      <c r="FFZ9967" s="1328">
        <v>8919645.2799999993</v>
      </c>
      <c r="FGA9967" s="1328"/>
      <c r="FGC9967" s="1328"/>
      <c r="FGD9967" s="1328"/>
      <c r="FGE9967" s="1328"/>
      <c r="FGG9967" s="1328"/>
      <c r="FGH9967" s="1328">
        <v>8919645.2799999993</v>
      </c>
      <c r="FGI9967" s="1328"/>
      <c r="FGK9967" s="1328"/>
      <c r="FGL9967" s="1328"/>
      <c r="FGM9967" s="1328"/>
      <c r="FGO9967" s="1328"/>
      <c r="FGP9967" s="1328">
        <v>8919645.2799999993</v>
      </c>
      <c r="FGQ9967" s="1328"/>
      <c r="FGS9967" s="1328"/>
      <c r="FGT9967" s="1328"/>
      <c r="FGU9967" s="1328"/>
      <c r="FGW9967" s="1328"/>
      <c r="FGX9967" s="1328">
        <v>8919645.2799999993</v>
      </c>
      <c r="FGY9967" s="1328"/>
      <c r="FHA9967" s="1328"/>
      <c r="FHB9967" s="1328"/>
      <c r="FHC9967" s="1328"/>
      <c r="FHE9967" s="1328"/>
      <c r="FHF9967" s="1328">
        <v>8919645.2799999993</v>
      </c>
      <c r="FHG9967" s="1328"/>
      <c r="FHI9967" s="1328"/>
      <c r="FHJ9967" s="1328"/>
      <c r="FHK9967" s="1328"/>
      <c r="FHM9967" s="1328"/>
      <c r="FHN9967" s="1328">
        <v>8919645.2799999993</v>
      </c>
      <c r="FHO9967" s="1328"/>
      <c r="FHQ9967" s="1328"/>
      <c r="FHR9967" s="1328"/>
      <c r="FHS9967" s="1328"/>
      <c r="FHU9967" s="1328"/>
      <c r="FHV9967" s="1328">
        <v>8919645.2799999993</v>
      </c>
      <c r="FHW9967" s="1328"/>
      <c r="FHY9967" s="1328"/>
      <c r="FHZ9967" s="1328"/>
      <c r="FIA9967" s="1328"/>
      <c r="FIC9967" s="1328"/>
      <c r="FID9967" s="1328">
        <v>8919645.2799999993</v>
      </c>
      <c r="FIE9967" s="1328"/>
      <c r="FIG9967" s="1328"/>
      <c r="FIH9967" s="1328"/>
      <c r="FII9967" s="1328"/>
      <c r="FIK9967" s="1328"/>
      <c r="FIL9967" s="1328">
        <v>8919645.2799999993</v>
      </c>
      <c r="FIM9967" s="1328"/>
      <c r="FIO9967" s="1328"/>
      <c r="FIP9967" s="1328"/>
      <c r="FIQ9967" s="1328"/>
      <c r="FIS9967" s="1328"/>
      <c r="FIT9967" s="1328">
        <v>8919645.2799999993</v>
      </c>
      <c r="FIU9967" s="1328"/>
      <c r="FIW9967" s="1328"/>
      <c r="FIX9967" s="1328"/>
      <c r="FIY9967" s="1328"/>
      <c r="FJA9967" s="1328"/>
      <c r="FJB9967" s="1328">
        <v>8919645.2799999993</v>
      </c>
      <c r="FJC9967" s="1328"/>
      <c r="FJE9967" s="1328"/>
      <c r="FJF9967" s="1328"/>
      <c r="FJG9967" s="1328"/>
      <c r="FJI9967" s="1328"/>
      <c r="FJJ9967" s="1328">
        <v>8919645.2799999993</v>
      </c>
      <c r="FJK9967" s="1328"/>
      <c r="FJM9967" s="1328"/>
      <c r="FJN9967" s="1328"/>
      <c r="FJO9967" s="1328"/>
      <c r="FJQ9967" s="1328"/>
      <c r="FJR9967" s="1328">
        <v>8919645.2799999993</v>
      </c>
      <c r="FJS9967" s="1328"/>
      <c r="FJU9967" s="1328"/>
      <c r="FJV9967" s="1328"/>
      <c r="FJW9967" s="1328"/>
      <c r="FJY9967" s="1328"/>
      <c r="FJZ9967" s="1328">
        <v>8919645.2799999993</v>
      </c>
      <c r="FKA9967" s="1328"/>
      <c r="FKC9967" s="1328"/>
      <c r="FKD9967" s="1328"/>
      <c r="FKE9967" s="1328"/>
      <c r="FKG9967" s="1328"/>
      <c r="FKH9967" s="1328">
        <v>8919645.2799999993</v>
      </c>
      <c r="FKI9967" s="1328"/>
      <c r="FKK9967" s="1328"/>
      <c r="FKL9967" s="1328"/>
      <c r="FKM9967" s="1328"/>
      <c r="FKO9967" s="1328"/>
      <c r="FKP9967" s="1328">
        <v>8919645.2799999993</v>
      </c>
      <c r="FKQ9967" s="1328"/>
      <c r="FKS9967" s="1328"/>
      <c r="FKT9967" s="1328"/>
      <c r="FKU9967" s="1328"/>
      <c r="FKW9967" s="1328"/>
      <c r="FKX9967" s="1328">
        <v>8919645.2799999993</v>
      </c>
      <c r="FKY9967" s="1328"/>
      <c r="FLA9967" s="1328"/>
      <c r="FLB9967" s="1328"/>
      <c r="FLC9967" s="1328"/>
      <c r="FLE9967" s="1328"/>
      <c r="FLF9967" s="1328">
        <v>8919645.2799999993</v>
      </c>
      <c r="FLG9967" s="1328"/>
      <c r="FLI9967" s="1328"/>
      <c r="FLJ9967" s="1328"/>
      <c r="FLK9967" s="1328"/>
      <c r="FLM9967" s="1328"/>
      <c r="FLN9967" s="1328">
        <v>8919645.2799999993</v>
      </c>
      <c r="FLO9967" s="1328"/>
      <c r="FLQ9967" s="1328"/>
      <c r="FLR9967" s="1328"/>
      <c r="FLS9967" s="1328"/>
      <c r="FLU9967" s="1328"/>
      <c r="FLV9967" s="1328">
        <v>8919645.2799999993</v>
      </c>
      <c r="FLW9967" s="1328"/>
      <c r="FLY9967" s="1328"/>
      <c r="FLZ9967" s="1328"/>
      <c r="FMA9967" s="1328"/>
      <c r="FMC9967" s="1328"/>
      <c r="FMD9967" s="1328">
        <v>8919645.2799999993</v>
      </c>
      <c r="FME9967" s="1328"/>
      <c r="FMG9967" s="1328"/>
      <c r="FMH9967" s="1328"/>
      <c r="FMI9967" s="1328"/>
      <c r="FMK9967" s="1328"/>
      <c r="FML9967" s="1328">
        <v>8919645.2799999993</v>
      </c>
      <c r="FMM9967" s="1328"/>
      <c r="FMO9967" s="1328"/>
      <c r="FMP9967" s="1328"/>
      <c r="FMQ9967" s="1328"/>
      <c r="FMS9967" s="1328"/>
      <c r="FMT9967" s="1328">
        <v>8919645.2799999993</v>
      </c>
      <c r="FMU9967" s="1328"/>
      <c r="FMW9967" s="1328"/>
      <c r="FMX9967" s="1328"/>
      <c r="FMY9967" s="1328"/>
      <c r="FNA9967" s="1328"/>
      <c r="FNB9967" s="1328">
        <v>8919645.2799999993</v>
      </c>
      <c r="FNC9967" s="1328"/>
      <c r="FNE9967" s="1328"/>
      <c r="FNF9967" s="1328"/>
      <c r="FNG9967" s="1328"/>
      <c r="FNI9967" s="1328"/>
      <c r="FNJ9967" s="1328">
        <v>8919645.2799999993</v>
      </c>
      <c r="FNK9967" s="1328"/>
      <c r="FNM9967" s="1328"/>
      <c r="FNN9967" s="1328"/>
      <c r="FNO9967" s="1328"/>
      <c r="FNQ9967" s="1328"/>
      <c r="FNR9967" s="1328">
        <v>8919645.2799999993</v>
      </c>
      <c r="FNS9967" s="1328"/>
      <c r="FNU9967" s="1328"/>
      <c r="FNV9967" s="1328"/>
      <c r="FNW9967" s="1328"/>
      <c r="FNY9967" s="1328"/>
      <c r="FNZ9967" s="1328">
        <v>8919645.2799999993</v>
      </c>
      <c r="FOA9967" s="1328"/>
      <c r="FOC9967" s="1328"/>
      <c r="FOD9967" s="1328"/>
      <c r="FOE9967" s="1328"/>
      <c r="FOG9967" s="1328"/>
      <c r="FOH9967" s="1328">
        <v>8919645.2799999993</v>
      </c>
      <c r="FOI9967" s="1328"/>
      <c r="FOK9967" s="1328"/>
      <c r="FOL9967" s="1328"/>
      <c r="FOM9967" s="1328"/>
      <c r="FOO9967" s="1328"/>
      <c r="FOP9967" s="1328">
        <v>8919645.2799999993</v>
      </c>
      <c r="FOQ9967" s="1328"/>
      <c r="FOS9967" s="1328"/>
      <c r="FOT9967" s="1328"/>
      <c r="FOU9967" s="1328"/>
      <c r="FOW9967" s="1328"/>
      <c r="FOX9967" s="1328">
        <v>8919645.2799999993</v>
      </c>
      <c r="FOY9967" s="1328"/>
      <c r="FPA9967" s="1328"/>
      <c r="FPB9967" s="1328"/>
      <c r="FPC9967" s="1328"/>
      <c r="FPE9967" s="1328"/>
      <c r="FPF9967" s="1328">
        <v>8919645.2799999993</v>
      </c>
      <c r="FPG9967" s="1328"/>
      <c r="FPI9967" s="1328"/>
      <c r="FPJ9967" s="1328"/>
      <c r="FPK9967" s="1328"/>
      <c r="FPM9967" s="1328"/>
      <c r="FPN9967" s="1328">
        <v>8919645.2799999993</v>
      </c>
      <c r="FPO9967" s="1328"/>
      <c r="FPQ9967" s="1328"/>
      <c r="FPR9967" s="1328"/>
      <c r="FPS9967" s="1328"/>
      <c r="FPU9967" s="1328"/>
      <c r="FPV9967" s="1328">
        <v>8919645.2799999993</v>
      </c>
      <c r="FPW9967" s="1328"/>
      <c r="FPY9967" s="1328"/>
      <c r="FPZ9967" s="1328"/>
      <c r="FQA9967" s="1328"/>
      <c r="FQC9967" s="1328"/>
      <c r="FQD9967" s="1328">
        <v>8919645.2799999993</v>
      </c>
      <c r="FQE9967" s="1328"/>
      <c r="FQG9967" s="1328"/>
      <c r="FQH9967" s="1328"/>
      <c r="FQI9967" s="1328"/>
      <c r="FQK9967" s="1328"/>
      <c r="FQL9967" s="1328">
        <v>8919645.2799999993</v>
      </c>
      <c r="FQM9967" s="1328"/>
      <c r="FQO9967" s="1328"/>
      <c r="FQP9967" s="1328"/>
      <c r="FQQ9967" s="1328"/>
      <c r="FQS9967" s="1328"/>
      <c r="FQT9967" s="1328">
        <v>8919645.2799999993</v>
      </c>
      <c r="FQU9967" s="1328"/>
      <c r="FQW9967" s="1328"/>
      <c r="FQX9967" s="1328"/>
      <c r="FQY9967" s="1328"/>
      <c r="FRA9967" s="1328"/>
      <c r="FRB9967" s="1328">
        <v>8919645.2799999993</v>
      </c>
      <c r="FRC9967" s="1328"/>
      <c r="FRE9967" s="1328"/>
      <c r="FRF9967" s="1328"/>
      <c r="FRG9967" s="1328"/>
      <c r="FRI9967" s="1328"/>
      <c r="FRJ9967" s="1328">
        <v>8919645.2799999993</v>
      </c>
      <c r="FRK9967" s="1328"/>
      <c r="FRM9967" s="1328"/>
      <c r="FRN9967" s="1328"/>
      <c r="FRO9967" s="1328"/>
      <c r="FRQ9967" s="1328"/>
      <c r="FRR9967" s="1328">
        <v>8919645.2799999993</v>
      </c>
      <c r="FRS9967" s="1328"/>
      <c r="FRU9967" s="1328"/>
      <c r="FRV9967" s="1328"/>
      <c r="FRW9967" s="1328"/>
      <c r="FRY9967" s="1328"/>
      <c r="FRZ9967" s="1328">
        <v>8919645.2799999993</v>
      </c>
      <c r="FSA9967" s="1328"/>
      <c r="FSC9967" s="1328"/>
      <c r="FSD9967" s="1328"/>
      <c r="FSE9967" s="1328"/>
      <c r="FSG9967" s="1328"/>
      <c r="FSH9967" s="1328">
        <v>8919645.2799999993</v>
      </c>
      <c r="FSI9967" s="1328"/>
      <c r="FSK9967" s="1328"/>
      <c r="FSL9967" s="1328"/>
      <c r="FSM9967" s="1328"/>
      <c r="FSO9967" s="1328"/>
      <c r="FSP9967" s="1328">
        <v>8919645.2799999993</v>
      </c>
      <c r="FSQ9967" s="1328"/>
      <c r="FSS9967" s="1328"/>
      <c r="FST9967" s="1328"/>
      <c r="FSU9967" s="1328"/>
      <c r="FSW9967" s="1328"/>
      <c r="FSX9967" s="1328">
        <v>8919645.2799999993</v>
      </c>
      <c r="FSY9967" s="1328"/>
      <c r="FTA9967" s="1328"/>
      <c r="FTB9967" s="1328"/>
      <c r="FTC9967" s="1328"/>
      <c r="FTE9967" s="1328"/>
      <c r="FTF9967" s="1328">
        <v>8919645.2799999993</v>
      </c>
      <c r="FTG9967" s="1328"/>
      <c r="FTI9967" s="1328"/>
      <c r="FTJ9967" s="1328"/>
      <c r="FTK9967" s="1328"/>
      <c r="FTM9967" s="1328"/>
      <c r="FTN9967" s="1328">
        <v>8919645.2799999993</v>
      </c>
      <c r="FTO9967" s="1328"/>
      <c r="FTQ9967" s="1328"/>
      <c r="FTR9967" s="1328"/>
      <c r="FTS9967" s="1328"/>
      <c r="FTU9967" s="1328"/>
      <c r="FTV9967" s="1328">
        <v>8919645.2799999993</v>
      </c>
      <c r="FTW9967" s="1328"/>
      <c r="FTY9967" s="1328"/>
      <c r="FTZ9967" s="1328"/>
      <c r="FUA9967" s="1328"/>
      <c r="FUC9967" s="1328"/>
      <c r="FUD9967" s="1328">
        <v>8919645.2799999993</v>
      </c>
      <c r="FUE9967" s="1328"/>
      <c r="FUG9967" s="1328"/>
      <c r="FUH9967" s="1328"/>
      <c r="FUI9967" s="1328"/>
      <c r="FUK9967" s="1328"/>
      <c r="FUL9967" s="1328">
        <v>8919645.2799999993</v>
      </c>
      <c r="FUM9967" s="1328"/>
      <c r="FUO9967" s="1328"/>
      <c r="FUP9967" s="1328"/>
      <c r="FUQ9967" s="1328"/>
      <c r="FUS9967" s="1328"/>
      <c r="FUT9967" s="1328">
        <v>8919645.2799999993</v>
      </c>
      <c r="FUU9967" s="1328"/>
      <c r="FUW9967" s="1328"/>
      <c r="FUX9967" s="1328"/>
      <c r="FUY9967" s="1328"/>
      <c r="FVA9967" s="1328"/>
      <c r="FVB9967" s="1328">
        <v>8919645.2799999993</v>
      </c>
      <c r="FVC9967" s="1328"/>
      <c r="FVE9967" s="1328"/>
      <c r="FVF9967" s="1328"/>
      <c r="FVG9967" s="1328"/>
      <c r="FVI9967" s="1328"/>
      <c r="FVJ9967" s="1328">
        <v>8919645.2799999993</v>
      </c>
      <c r="FVK9967" s="1328"/>
      <c r="FVM9967" s="1328"/>
      <c r="FVN9967" s="1328"/>
      <c r="FVO9967" s="1328"/>
      <c r="FVQ9967" s="1328"/>
      <c r="FVR9967" s="1328">
        <v>8919645.2799999993</v>
      </c>
      <c r="FVS9967" s="1328"/>
      <c r="FVU9967" s="1328"/>
      <c r="FVV9967" s="1328"/>
      <c r="FVW9967" s="1328"/>
      <c r="FVY9967" s="1328"/>
      <c r="FVZ9967" s="1328">
        <v>8919645.2799999993</v>
      </c>
      <c r="FWA9967" s="1328"/>
      <c r="FWC9967" s="1328"/>
      <c r="FWD9967" s="1328"/>
      <c r="FWE9967" s="1328"/>
      <c r="FWG9967" s="1328"/>
      <c r="FWH9967" s="1328">
        <v>8919645.2799999993</v>
      </c>
      <c r="FWI9967" s="1328"/>
      <c r="FWK9967" s="1328"/>
      <c r="FWL9967" s="1328"/>
      <c r="FWM9967" s="1328"/>
      <c r="FWO9967" s="1328"/>
      <c r="FWP9967" s="1328">
        <v>8919645.2799999993</v>
      </c>
      <c r="FWQ9967" s="1328"/>
      <c r="FWS9967" s="1328"/>
      <c r="FWT9967" s="1328"/>
      <c r="FWU9967" s="1328"/>
      <c r="FWW9967" s="1328"/>
      <c r="FWX9967" s="1328">
        <v>8919645.2799999993</v>
      </c>
      <c r="FWY9967" s="1328"/>
      <c r="FXA9967" s="1328"/>
      <c r="FXB9967" s="1328"/>
      <c r="FXC9967" s="1328"/>
      <c r="FXE9967" s="1328"/>
      <c r="FXF9967" s="1328">
        <v>8919645.2799999993</v>
      </c>
      <c r="FXG9967" s="1328"/>
      <c r="FXI9967" s="1328"/>
      <c r="FXJ9967" s="1328"/>
      <c r="FXK9967" s="1328"/>
      <c r="FXM9967" s="1328"/>
      <c r="FXN9967" s="1328">
        <v>8919645.2799999993</v>
      </c>
      <c r="FXO9967" s="1328"/>
      <c r="FXQ9967" s="1328"/>
      <c r="FXR9967" s="1328"/>
      <c r="FXS9967" s="1328"/>
      <c r="FXU9967" s="1328"/>
      <c r="FXV9967" s="1328">
        <v>8919645.2799999993</v>
      </c>
      <c r="FXW9967" s="1328"/>
      <c r="FXY9967" s="1328"/>
      <c r="FXZ9967" s="1328"/>
      <c r="FYA9967" s="1328"/>
      <c r="FYC9967" s="1328"/>
      <c r="FYD9967" s="1328">
        <v>8919645.2799999993</v>
      </c>
      <c r="FYE9967" s="1328"/>
      <c r="FYG9967" s="1328"/>
      <c r="FYH9967" s="1328"/>
      <c r="FYI9967" s="1328"/>
      <c r="FYK9967" s="1328"/>
      <c r="FYL9967" s="1328">
        <v>8919645.2799999993</v>
      </c>
      <c r="FYM9967" s="1328"/>
      <c r="FYO9967" s="1328"/>
      <c r="FYP9967" s="1328"/>
      <c r="FYQ9967" s="1328"/>
      <c r="FYS9967" s="1328"/>
      <c r="FYT9967" s="1328">
        <v>8919645.2799999993</v>
      </c>
      <c r="FYU9967" s="1328"/>
      <c r="FYW9967" s="1328"/>
      <c r="FYX9967" s="1328"/>
      <c r="FYY9967" s="1328"/>
      <c r="FZA9967" s="1328"/>
      <c r="FZB9967" s="1328">
        <v>8919645.2799999993</v>
      </c>
      <c r="FZC9967" s="1328"/>
      <c r="FZE9967" s="1328"/>
      <c r="FZF9967" s="1328"/>
      <c r="FZG9967" s="1328"/>
      <c r="FZI9967" s="1328"/>
      <c r="FZJ9967" s="1328">
        <v>8919645.2799999993</v>
      </c>
      <c r="FZK9967" s="1328"/>
      <c r="FZM9967" s="1328"/>
      <c r="FZN9967" s="1328"/>
      <c r="FZO9967" s="1328"/>
      <c r="FZQ9967" s="1328"/>
      <c r="FZR9967" s="1328">
        <v>8919645.2799999993</v>
      </c>
      <c r="FZS9967" s="1328"/>
      <c r="FZU9967" s="1328"/>
      <c r="FZV9967" s="1328"/>
      <c r="FZW9967" s="1328"/>
      <c r="FZY9967" s="1328"/>
      <c r="FZZ9967" s="1328">
        <v>8919645.2799999993</v>
      </c>
      <c r="GAA9967" s="1328"/>
      <c r="GAC9967" s="1328"/>
      <c r="GAD9967" s="1328"/>
      <c r="GAE9967" s="1328"/>
      <c r="GAG9967" s="1328"/>
      <c r="GAH9967" s="1328">
        <v>8919645.2799999993</v>
      </c>
      <c r="GAI9967" s="1328"/>
      <c r="GAK9967" s="1328"/>
      <c r="GAL9967" s="1328"/>
      <c r="GAM9967" s="1328"/>
      <c r="GAO9967" s="1328"/>
      <c r="GAP9967" s="1328">
        <v>8919645.2799999993</v>
      </c>
      <c r="GAQ9967" s="1328"/>
      <c r="GAS9967" s="1328"/>
      <c r="GAT9967" s="1328"/>
      <c r="GAU9967" s="1328"/>
      <c r="GAW9967" s="1328"/>
      <c r="GAX9967" s="1328">
        <v>8919645.2799999993</v>
      </c>
      <c r="GAY9967" s="1328"/>
      <c r="GBA9967" s="1328"/>
      <c r="GBB9967" s="1328"/>
      <c r="GBC9967" s="1328"/>
      <c r="GBE9967" s="1328"/>
      <c r="GBF9967" s="1328">
        <v>8919645.2799999993</v>
      </c>
      <c r="GBG9967" s="1328"/>
      <c r="GBI9967" s="1328"/>
      <c r="GBJ9967" s="1328"/>
      <c r="GBK9967" s="1328"/>
      <c r="GBM9967" s="1328"/>
      <c r="GBN9967" s="1328">
        <v>8919645.2799999993</v>
      </c>
      <c r="GBO9967" s="1328"/>
      <c r="GBQ9967" s="1328"/>
      <c r="GBR9967" s="1328"/>
      <c r="GBS9967" s="1328"/>
      <c r="GBU9967" s="1328"/>
      <c r="GBV9967" s="1328">
        <v>8919645.2799999993</v>
      </c>
      <c r="GBW9967" s="1328"/>
      <c r="GBY9967" s="1328"/>
      <c r="GBZ9967" s="1328"/>
      <c r="GCA9967" s="1328"/>
      <c r="GCC9967" s="1328"/>
      <c r="GCD9967" s="1328">
        <v>8919645.2799999993</v>
      </c>
      <c r="GCE9967" s="1328"/>
      <c r="GCG9967" s="1328"/>
      <c r="GCH9967" s="1328"/>
      <c r="GCI9967" s="1328"/>
      <c r="GCK9967" s="1328"/>
      <c r="GCL9967" s="1328">
        <v>8919645.2799999993</v>
      </c>
      <c r="GCM9967" s="1328"/>
      <c r="GCO9967" s="1328"/>
      <c r="GCP9967" s="1328"/>
      <c r="GCQ9967" s="1328"/>
      <c r="GCS9967" s="1328"/>
      <c r="GCT9967" s="1328">
        <v>8919645.2799999993</v>
      </c>
      <c r="GCU9967" s="1328"/>
      <c r="GCW9967" s="1328"/>
      <c r="GCX9967" s="1328"/>
      <c r="GCY9967" s="1328"/>
      <c r="GDA9967" s="1328"/>
      <c r="GDB9967" s="1328">
        <v>8919645.2799999993</v>
      </c>
      <c r="GDC9967" s="1328"/>
      <c r="GDE9967" s="1328"/>
      <c r="GDF9967" s="1328"/>
      <c r="GDG9967" s="1328"/>
      <c r="GDI9967" s="1328"/>
      <c r="GDJ9967" s="1328">
        <v>8919645.2799999993</v>
      </c>
      <c r="GDK9967" s="1328"/>
      <c r="GDM9967" s="1328"/>
      <c r="GDN9967" s="1328"/>
      <c r="GDO9967" s="1328"/>
      <c r="GDQ9967" s="1328"/>
      <c r="GDR9967" s="1328">
        <v>8919645.2799999993</v>
      </c>
      <c r="GDS9967" s="1328"/>
      <c r="GDU9967" s="1328"/>
      <c r="GDV9967" s="1328"/>
      <c r="GDW9967" s="1328"/>
      <c r="GDY9967" s="1328"/>
      <c r="GDZ9967" s="1328">
        <v>8919645.2799999993</v>
      </c>
      <c r="GEA9967" s="1328"/>
      <c r="GEC9967" s="1328"/>
      <c r="GED9967" s="1328"/>
      <c r="GEE9967" s="1328"/>
      <c r="GEG9967" s="1328"/>
      <c r="GEH9967" s="1328">
        <v>8919645.2799999993</v>
      </c>
      <c r="GEI9967" s="1328"/>
      <c r="GEK9967" s="1328"/>
      <c r="GEL9967" s="1328"/>
      <c r="GEM9967" s="1328"/>
      <c r="GEO9967" s="1328"/>
      <c r="GEP9967" s="1328">
        <v>8919645.2799999993</v>
      </c>
      <c r="GEQ9967" s="1328"/>
      <c r="GES9967" s="1328"/>
      <c r="GET9967" s="1328"/>
      <c r="GEU9967" s="1328"/>
      <c r="GEW9967" s="1328"/>
      <c r="GEX9967" s="1328">
        <v>8919645.2799999993</v>
      </c>
      <c r="GEY9967" s="1328"/>
      <c r="GFA9967" s="1328"/>
      <c r="GFB9967" s="1328"/>
      <c r="GFC9967" s="1328"/>
      <c r="GFE9967" s="1328"/>
      <c r="GFF9967" s="1328">
        <v>8919645.2799999993</v>
      </c>
      <c r="GFG9967" s="1328"/>
      <c r="GFI9967" s="1328"/>
      <c r="GFJ9967" s="1328"/>
      <c r="GFK9967" s="1328"/>
      <c r="GFM9967" s="1328"/>
      <c r="GFN9967" s="1328">
        <v>8919645.2799999993</v>
      </c>
      <c r="GFO9967" s="1328"/>
      <c r="GFQ9967" s="1328"/>
      <c r="GFR9967" s="1328"/>
      <c r="GFS9967" s="1328"/>
      <c r="GFU9967" s="1328"/>
      <c r="GFV9967" s="1328">
        <v>8919645.2799999993</v>
      </c>
      <c r="GFW9967" s="1328"/>
      <c r="GFY9967" s="1328"/>
      <c r="GFZ9967" s="1328"/>
      <c r="GGA9967" s="1328"/>
      <c r="GGC9967" s="1328"/>
      <c r="GGD9967" s="1328">
        <v>8919645.2799999993</v>
      </c>
      <c r="GGE9967" s="1328"/>
      <c r="GGG9967" s="1328"/>
      <c r="GGH9967" s="1328"/>
      <c r="GGI9967" s="1328"/>
      <c r="GGK9967" s="1328"/>
      <c r="GGL9967" s="1328">
        <v>8919645.2799999993</v>
      </c>
      <c r="GGM9967" s="1328"/>
      <c r="GGO9967" s="1328"/>
      <c r="GGP9967" s="1328"/>
      <c r="GGQ9967" s="1328"/>
      <c r="GGS9967" s="1328"/>
      <c r="GGT9967" s="1328">
        <v>8919645.2799999993</v>
      </c>
      <c r="GGU9967" s="1328"/>
      <c r="GGW9967" s="1328"/>
      <c r="GGX9967" s="1328"/>
      <c r="GGY9967" s="1328"/>
      <c r="GHA9967" s="1328"/>
      <c r="GHB9967" s="1328">
        <v>8919645.2799999993</v>
      </c>
      <c r="GHC9967" s="1328"/>
      <c r="GHE9967" s="1328"/>
      <c r="GHF9967" s="1328"/>
      <c r="GHG9967" s="1328"/>
      <c r="GHI9967" s="1328"/>
      <c r="GHJ9967" s="1328">
        <v>8919645.2799999993</v>
      </c>
      <c r="GHK9967" s="1328"/>
      <c r="GHM9967" s="1328"/>
      <c r="GHN9967" s="1328"/>
      <c r="GHO9967" s="1328"/>
      <c r="GHQ9967" s="1328"/>
      <c r="GHR9967" s="1328">
        <v>8919645.2799999993</v>
      </c>
      <c r="GHS9967" s="1328"/>
      <c r="GHU9967" s="1328"/>
      <c r="GHV9967" s="1328"/>
      <c r="GHW9967" s="1328"/>
      <c r="GHY9967" s="1328"/>
      <c r="GHZ9967" s="1328">
        <v>8919645.2799999993</v>
      </c>
      <c r="GIA9967" s="1328"/>
      <c r="GIC9967" s="1328"/>
      <c r="GID9967" s="1328"/>
      <c r="GIE9967" s="1328"/>
      <c r="GIG9967" s="1328"/>
      <c r="GIH9967" s="1328">
        <v>8919645.2799999993</v>
      </c>
      <c r="GII9967" s="1328"/>
      <c r="GIK9967" s="1328"/>
      <c r="GIL9967" s="1328"/>
      <c r="GIM9967" s="1328"/>
      <c r="GIO9967" s="1328"/>
      <c r="GIP9967" s="1328">
        <v>8919645.2799999993</v>
      </c>
      <c r="GIQ9967" s="1328"/>
      <c r="GIS9967" s="1328"/>
      <c r="GIT9967" s="1328"/>
      <c r="GIU9967" s="1328"/>
      <c r="GIW9967" s="1328"/>
      <c r="GIX9967" s="1328">
        <v>8919645.2799999993</v>
      </c>
      <c r="GIY9967" s="1328"/>
      <c r="GJA9967" s="1328"/>
      <c r="GJB9967" s="1328"/>
      <c r="GJC9967" s="1328"/>
      <c r="GJE9967" s="1328"/>
      <c r="GJF9967" s="1328">
        <v>8919645.2799999993</v>
      </c>
      <c r="GJG9967" s="1328"/>
      <c r="GJI9967" s="1328"/>
      <c r="GJJ9967" s="1328"/>
      <c r="GJK9967" s="1328"/>
      <c r="GJM9967" s="1328"/>
      <c r="GJN9967" s="1328">
        <v>8919645.2799999993</v>
      </c>
      <c r="GJO9967" s="1328"/>
      <c r="GJQ9967" s="1328"/>
      <c r="GJR9967" s="1328"/>
      <c r="GJS9967" s="1328"/>
      <c r="GJU9967" s="1328"/>
      <c r="GJV9967" s="1328">
        <v>8919645.2799999993</v>
      </c>
      <c r="GJW9967" s="1328"/>
      <c r="GJY9967" s="1328"/>
      <c r="GJZ9967" s="1328"/>
      <c r="GKA9967" s="1328"/>
      <c r="GKC9967" s="1328"/>
      <c r="GKD9967" s="1328">
        <v>8919645.2799999993</v>
      </c>
      <c r="GKE9967" s="1328"/>
      <c r="GKG9967" s="1328"/>
      <c r="GKH9967" s="1328"/>
      <c r="GKI9967" s="1328"/>
      <c r="GKK9967" s="1328"/>
      <c r="GKL9967" s="1328">
        <v>8919645.2799999993</v>
      </c>
      <c r="GKM9967" s="1328"/>
      <c r="GKO9967" s="1328"/>
      <c r="GKP9967" s="1328"/>
      <c r="GKQ9967" s="1328"/>
      <c r="GKS9967" s="1328"/>
      <c r="GKT9967" s="1328">
        <v>8919645.2799999993</v>
      </c>
      <c r="GKU9967" s="1328"/>
      <c r="GKW9967" s="1328"/>
      <c r="GKX9967" s="1328"/>
      <c r="GKY9967" s="1328"/>
      <c r="GLA9967" s="1328"/>
      <c r="GLB9967" s="1328">
        <v>8919645.2799999993</v>
      </c>
      <c r="GLC9967" s="1328"/>
      <c r="GLE9967" s="1328"/>
      <c r="GLF9967" s="1328"/>
      <c r="GLG9967" s="1328"/>
      <c r="GLI9967" s="1328"/>
      <c r="GLJ9967" s="1328">
        <v>8919645.2799999993</v>
      </c>
      <c r="GLK9967" s="1328"/>
      <c r="GLM9967" s="1328"/>
      <c r="GLN9967" s="1328"/>
      <c r="GLO9967" s="1328"/>
      <c r="GLQ9967" s="1328"/>
      <c r="GLR9967" s="1328">
        <v>8919645.2799999993</v>
      </c>
      <c r="GLS9967" s="1328"/>
      <c r="GLU9967" s="1328"/>
      <c r="GLV9967" s="1328"/>
      <c r="GLW9967" s="1328"/>
      <c r="GLY9967" s="1328"/>
      <c r="GLZ9967" s="1328">
        <v>8919645.2799999993</v>
      </c>
      <c r="GMA9967" s="1328"/>
      <c r="GMC9967" s="1328"/>
      <c r="GMD9967" s="1328"/>
      <c r="GME9967" s="1328"/>
      <c r="GMG9967" s="1328"/>
      <c r="GMH9967" s="1328">
        <v>8919645.2799999993</v>
      </c>
      <c r="GMI9967" s="1328"/>
      <c r="GMK9967" s="1328"/>
      <c r="GML9967" s="1328"/>
      <c r="GMM9967" s="1328"/>
      <c r="GMO9967" s="1328"/>
      <c r="GMP9967" s="1328">
        <v>8919645.2799999993</v>
      </c>
      <c r="GMQ9967" s="1328"/>
      <c r="GMS9967" s="1328"/>
      <c r="GMT9967" s="1328"/>
      <c r="GMU9967" s="1328"/>
      <c r="GMW9967" s="1328"/>
      <c r="GMX9967" s="1328">
        <v>8919645.2799999993</v>
      </c>
      <c r="GMY9967" s="1328"/>
      <c r="GNA9967" s="1328"/>
      <c r="GNB9967" s="1328"/>
      <c r="GNC9967" s="1328"/>
      <c r="GNE9967" s="1328"/>
      <c r="GNF9967" s="1328">
        <v>8919645.2799999993</v>
      </c>
      <c r="GNG9967" s="1328"/>
      <c r="GNI9967" s="1328"/>
      <c r="GNJ9967" s="1328"/>
      <c r="GNK9967" s="1328"/>
      <c r="GNM9967" s="1328"/>
      <c r="GNN9967" s="1328">
        <v>8919645.2799999993</v>
      </c>
      <c r="GNO9967" s="1328"/>
      <c r="GNQ9967" s="1328"/>
      <c r="GNR9967" s="1328"/>
      <c r="GNS9967" s="1328"/>
      <c r="GNU9967" s="1328"/>
      <c r="GNV9967" s="1328">
        <v>8919645.2799999993</v>
      </c>
      <c r="GNW9967" s="1328"/>
      <c r="GNY9967" s="1328"/>
      <c r="GNZ9967" s="1328"/>
      <c r="GOA9967" s="1328"/>
      <c r="GOC9967" s="1328"/>
      <c r="GOD9967" s="1328">
        <v>8919645.2799999993</v>
      </c>
      <c r="GOE9967" s="1328"/>
      <c r="GOG9967" s="1328"/>
      <c r="GOH9967" s="1328"/>
      <c r="GOI9967" s="1328"/>
      <c r="GOK9967" s="1328"/>
      <c r="GOL9967" s="1328">
        <v>8919645.2799999993</v>
      </c>
      <c r="GOM9967" s="1328"/>
      <c r="GOO9967" s="1328"/>
      <c r="GOP9967" s="1328"/>
      <c r="GOQ9967" s="1328"/>
      <c r="GOS9967" s="1328"/>
      <c r="GOT9967" s="1328">
        <v>8919645.2799999993</v>
      </c>
      <c r="GOU9967" s="1328"/>
      <c r="GOW9967" s="1328"/>
      <c r="GOX9967" s="1328"/>
      <c r="GOY9967" s="1328"/>
      <c r="GPA9967" s="1328"/>
      <c r="GPB9967" s="1328">
        <v>8919645.2799999993</v>
      </c>
      <c r="GPC9967" s="1328"/>
      <c r="GPE9967" s="1328"/>
      <c r="GPF9967" s="1328"/>
      <c r="GPG9967" s="1328"/>
      <c r="GPI9967" s="1328"/>
      <c r="GPJ9967" s="1328">
        <v>8919645.2799999993</v>
      </c>
      <c r="GPK9967" s="1328"/>
      <c r="GPM9967" s="1328"/>
      <c r="GPN9967" s="1328"/>
      <c r="GPO9967" s="1328"/>
      <c r="GPQ9967" s="1328"/>
      <c r="GPR9967" s="1328">
        <v>8919645.2799999993</v>
      </c>
      <c r="GPS9967" s="1328"/>
      <c r="GPU9967" s="1328"/>
      <c r="GPV9967" s="1328"/>
      <c r="GPW9967" s="1328"/>
      <c r="GPY9967" s="1328"/>
      <c r="GPZ9967" s="1328">
        <v>8919645.2799999993</v>
      </c>
      <c r="GQA9967" s="1328"/>
      <c r="GQC9967" s="1328"/>
      <c r="GQD9967" s="1328"/>
      <c r="GQE9967" s="1328"/>
      <c r="GQG9967" s="1328"/>
      <c r="GQH9967" s="1328">
        <v>8919645.2799999993</v>
      </c>
      <c r="GQI9967" s="1328"/>
      <c r="GQK9967" s="1328"/>
      <c r="GQL9967" s="1328"/>
      <c r="GQM9967" s="1328"/>
      <c r="GQO9967" s="1328"/>
      <c r="GQP9967" s="1328">
        <v>8919645.2799999993</v>
      </c>
      <c r="GQQ9967" s="1328"/>
      <c r="GQS9967" s="1328"/>
      <c r="GQT9967" s="1328"/>
      <c r="GQU9967" s="1328"/>
      <c r="GQW9967" s="1328"/>
      <c r="GQX9967" s="1328">
        <v>8919645.2799999993</v>
      </c>
      <c r="GQY9967" s="1328"/>
      <c r="GRA9967" s="1328"/>
      <c r="GRB9967" s="1328"/>
      <c r="GRC9967" s="1328"/>
      <c r="GRE9967" s="1328"/>
      <c r="GRF9967" s="1328">
        <v>8919645.2799999993</v>
      </c>
      <c r="GRG9967" s="1328"/>
      <c r="GRI9967" s="1328"/>
      <c r="GRJ9967" s="1328"/>
      <c r="GRK9967" s="1328"/>
      <c r="GRM9967" s="1328"/>
      <c r="GRN9967" s="1328">
        <v>8919645.2799999993</v>
      </c>
      <c r="GRO9967" s="1328"/>
      <c r="GRQ9967" s="1328"/>
      <c r="GRR9967" s="1328"/>
      <c r="GRS9967" s="1328"/>
      <c r="GRU9967" s="1328"/>
      <c r="GRV9967" s="1328">
        <v>8919645.2799999993</v>
      </c>
      <c r="GRW9967" s="1328"/>
      <c r="GRY9967" s="1328"/>
      <c r="GRZ9967" s="1328"/>
      <c r="GSA9967" s="1328"/>
      <c r="GSC9967" s="1328"/>
      <c r="GSD9967" s="1328">
        <v>8919645.2799999993</v>
      </c>
      <c r="GSE9967" s="1328"/>
      <c r="GSG9967" s="1328"/>
      <c r="GSH9967" s="1328"/>
      <c r="GSI9967" s="1328"/>
      <c r="GSK9967" s="1328"/>
      <c r="GSL9967" s="1328">
        <v>8919645.2799999993</v>
      </c>
      <c r="GSM9967" s="1328"/>
      <c r="GSO9967" s="1328"/>
      <c r="GSP9967" s="1328"/>
      <c r="GSQ9967" s="1328"/>
      <c r="GSS9967" s="1328"/>
      <c r="GST9967" s="1328">
        <v>8919645.2799999993</v>
      </c>
      <c r="GSU9967" s="1328"/>
      <c r="GSW9967" s="1328"/>
      <c r="GSX9967" s="1328"/>
      <c r="GSY9967" s="1328"/>
      <c r="GTA9967" s="1328"/>
      <c r="GTB9967" s="1328">
        <v>8919645.2799999993</v>
      </c>
      <c r="GTC9967" s="1328"/>
      <c r="GTE9967" s="1328"/>
      <c r="GTF9967" s="1328"/>
      <c r="GTG9967" s="1328"/>
      <c r="GTI9967" s="1328"/>
      <c r="GTJ9967" s="1328">
        <v>8919645.2799999993</v>
      </c>
      <c r="GTK9967" s="1328"/>
      <c r="GTM9967" s="1328"/>
      <c r="GTN9967" s="1328"/>
      <c r="GTO9967" s="1328"/>
      <c r="GTQ9967" s="1328"/>
      <c r="GTR9967" s="1328">
        <v>8919645.2799999993</v>
      </c>
      <c r="GTS9967" s="1328"/>
      <c r="GTU9967" s="1328"/>
      <c r="GTV9967" s="1328"/>
      <c r="GTW9967" s="1328"/>
      <c r="GTY9967" s="1328"/>
      <c r="GTZ9967" s="1328">
        <v>8919645.2799999993</v>
      </c>
      <c r="GUA9967" s="1328"/>
      <c r="GUC9967" s="1328"/>
      <c r="GUD9967" s="1328"/>
      <c r="GUE9967" s="1328"/>
      <c r="GUG9967" s="1328"/>
      <c r="GUH9967" s="1328">
        <v>8919645.2799999993</v>
      </c>
      <c r="GUI9967" s="1328"/>
      <c r="GUK9967" s="1328"/>
      <c r="GUL9967" s="1328"/>
      <c r="GUM9967" s="1328"/>
      <c r="GUO9967" s="1328"/>
      <c r="GUP9967" s="1328">
        <v>8919645.2799999993</v>
      </c>
      <c r="GUQ9967" s="1328"/>
      <c r="GUS9967" s="1328"/>
      <c r="GUT9967" s="1328"/>
      <c r="GUU9967" s="1328"/>
      <c r="GUW9967" s="1328"/>
      <c r="GUX9967" s="1328">
        <v>8919645.2799999993</v>
      </c>
      <c r="GUY9967" s="1328"/>
      <c r="GVA9967" s="1328"/>
      <c r="GVB9967" s="1328"/>
      <c r="GVC9967" s="1328"/>
      <c r="GVE9967" s="1328"/>
      <c r="GVF9967" s="1328">
        <v>8919645.2799999993</v>
      </c>
      <c r="GVG9967" s="1328"/>
      <c r="GVI9967" s="1328"/>
      <c r="GVJ9967" s="1328"/>
      <c r="GVK9967" s="1328"/>
      <c r="GVM9967" s="1328"/>
      <c r="GVN9967" s="1328">
        <v>8919645.2799999993</v>
      </c>
      <c r="GVO9967" s="1328"/>
      <c r="GVQ9967" s="1328"/>
      <c r="GVR9967" s="1328"/>
      <c r="GVS9967" s="1328"/>
      <c r="GVU9967" s="1328"/>
      <c r="GVV9967" s="1328">
        <v>8919645.2799999993</v>
      </c>
      <c r="GVW9967" s="1328"/>
      <c r="GVY9967" s="1328"/>
      <c r="GVZ9967" s="1328"/>
      <c r="GWA9967" s="1328"/>
      <c r="GWC9967" s="1328"/>
      <c r="GWD9967" s="1328">
        <v>8919645.2799999993</v>
      </c>
      <c r="GWE9967" s="1328"/>
      <c r="GWG9967" s="1328"/>
      <c r="GWH9967" s="1328"/>
      <c r="GWI9967" s="1328"/>
      <c r="GWK9967" s="1328"/>
      <c r="GWL9967" s="1328">
        <v>8919645.2799999993</v>
      </c>
      <c r="GWM9967" s="1328"/>
      <c r="GWO9967" s="1328"/>
      <c r="GWP9967" s="1328"/>
      <c r="GWQ9967" s="1328"/>
      <c r="GWS9967" s="1328"/>
      <c r="GWT9967" s="1328">
        <v>8919645.2799999993</v>
      </c>
      <c r="GWU9967" s="1328"/>
      <c r="GWW9967" s="1328"/>
      <c r="GWX9967" s="1328"/>
      <c r="GWY9967" s="1328"/>
      <c r="GXA9967" s="1328"/>
      <c r="GXB9967" s="1328">
        <v>8919645.2799999993</v>
      </c>
      <c r="GXC9967" s="1328"/>
      <c r="GXE9967" s="1328"/>
      <c r="GXF9967" s="1328"/>
      <c r="GXG9967" s="1328"/>
      <c r="GXI9967" s="1328"/>
      <c r="GXJ9967" s="1328">
        <v>8919645.2799999993</v>
      </c>
      <c r="GXK9967" s="1328"/>
      <c r="GXM9967" s="1328"/>
      <c r="GXN9967" s="1328"/>
      <c r="GXO9967" s="1328"/>
      <c r="GXQ9967" s="1328"/>
      <c r="GXR9967" s="1328">
        <v>8919645.2799999993</v>
      </c>
      <c r="GXS9967" s="1328"/>
      <c r="GXU9967" s="1328"/>
      <c r="GXV9967" s="1328"/>
      <c r="GXW9967" s="1328"/>
      <c r="GXY9967" s="1328"/>
      <c r="GXZ9967" s="1328">
        <v>8919645.2799999993</v>
      </c>
      <c r="GYA9967" s="1328"/>
      <c r="GYC9967" s="1328"/>
      <c r="GYD9967" s="1328"/>
      <c r="GYE9967" s="1328"/>
      <c r="GYG9967" s="1328"/>
      <c r="GYH9967" s="1328">
        <v>8919645.2799999993</v>
      </c>
      <c r="GYI9967" s="1328"/>
      <c r="GYK9967" s="1328"/>
      <c r="GYL9967" s="1328"/>
      <c r="GYM9967" s="1328"/>
      <c r="GYO9967" s="1328"/>
      <c r="GYP9967" s="1328">
        <v>8919645.2799999993</v>
      </c>
      <c r="GYQ9967" s="1328"/>
      <c r="GYS9967" s="1328"/>
      <c r="GYT9967" s="1328"/>
      <c r="GYU9967" s="1328"/>
      <c r="GYW9967" s="1328"/>
      <c r="GYX9967" s="1328">
        <v>8919645.2799999993</v>
      </c>
      <c r="GYY9967" s="1328"/>
      <c r="GZA9967" s="1328"/>
      <c r="GZB9967" s="1328"/>
      <c r="GZC9967" s="1328"/>
      <c r="GZE9967" s="1328"/>
      <c r="GZF9967" s="1328">
        <v>8919645.2799999993</v>
      </c>
      <c r="GZG9967" s="1328"/>
      <c r="GZI9967" s="1328"/>
      <c r="GZJ9967" s="1328"/>
      <c r="GZK9967" s="1328"/>
      <c r="GZM9967" s="1328"/>
      <c r="GZN9967" s="1328">
        <v>8919645.2799999993</v>
      </c>
      <c r="GZO9967" s="1328"/>
      <c r="GZQ9967" s="1328"/>
      <c r="GZR9967" s="1328"/>
      <c r="GZS9967" s="1328"/>
      <c r="GZU9967" s="1328"/>
      <c r="GZV9967" s="1328">
        <v>8919645.2799999993</v>
      </c>
      <c r="GZW9967" s="1328"/>
      <c r="GZY9967" s="1328"/>
      <c r="GZZ9967" s="1328"/>
      <c r="HAA9967" s="1328"/>
      <c r="HAC9967" s="1328"/>
      <c r="HAD9967" s="1328">
        <v>8919645.2799999993</v>
      </c>
      <c r="HAE9967" s="1328"/>
      <c r="HAG9967" s="1328"/>
      <c r="HAH9967" s="1328"/>
      <c r="HAI9967" s="1328"/>
      <c r="HAK9967" s="1328"/>
      <c r="HAL9967" s="1328">
        <v>8919645.2799999993</v>
      </c>
      <c r="HAM9967" s="1328"/>
      <c r="HAO9967" s="1328"/>
      <c r="HAP9967" s="1328"/>
      <c r="HAQ9967" s="1328"/>
      <c r="HAS9967" s="1328"/>
      <c r="HAT9967" s="1328">
        <v>8919645.2799999993</v>
      </c>
      <c r="HAU9967" s="1328"/>
      <c r="HAW9967" s="1328"/>
      <c r="HAX9967" s="1328"/>
      <c r="HAY9967" s="1328"/>
      <c r="HBA9967" s="1328"/>
      <c r="HBB9967" s="1328">
        <v>8919645.2799999993</v>
      </c>
      <c r="HBC9967" s="1328"/>
      <c r="HBE9967" s="1328"/>
      <c r="HBF9967" s="1328"/>
      <c r="HBG9967" s="1328"/>
      <c r="HBI9967" s="1328"/>
      <c r="HBJ9967" s="1328">
        <v>8919645.2799999993</v>
      </c>
      <c r="HBK9967" s="1328"/>
      <c r="HBM9967" s="1328"/>
      <c r="HBN9967" s="1328"/>
      <c r="HBO9967" s="1328"/>
      <c r="HBQ9967" s="1328"/>
      <c r="HBR9967" s="1328">
        <v>8919645.2799999993</v>
      </c>
      <c r="HBS9967" s="1328"/>
      <c r="HBU9967" s="1328"/>
      <c r="HBV9967" s="1328"/>
      <c r="HBW9967" s="1328"/>
      <c r="HBY9967" s="1328"/>
      <c r="HBZ9967" s="1328">
        <v>8919645.2799999993</v>
      </c>
      <c r="HCA9967" s="1328"/>
      <c r="HCC9967" s="1328"/>
      <c r="HCD9967" s="1328"/>
      <c r="HCE9967" s="1328"/>
      <c r="HCG9967" s="1328"/>
      <c r="HCH9967" s="1328">
        <v>8919645.2799999993</v>
      </c>
      <c r="HCI9967" s="1328"/>
      <c r="HCK9967" s="1328"/>
      <c r="HCL9967" s="1328"/>
      <c r="HCM9967" s="1328"/>
      <c r="HCO9967" s="1328"/>
      <c r="HCP9967" s="1328">
        <v>8919645.2799999993</v>
      </c>
      <c r="HCQ9967" s="1328"/>
      <c r="HCS9967" s="1328"/>
      <c r="HCT9967" s="1328"/>
      <c r="HCU9967" s="1328"/>
      <c r="HCW9967" s="1328"/>
      <c r="HCX9967" s="1328">
        <v>8919645.2799999993</v>
      </c>
      <c r="HCY9967" s="1328"/>
      <c r="HDA9967" s="1328"/>
      <c r="HDB9967" s="1328"/>
      <c r="HDC9967" s="1328"/>
      <c r="HDE9967" s="1328"/>
      <c r="HDF9967" s="1328">
        <v>8919645.2799999993</v>
      </c>
      <c r="HDG9967" s="1328"/>
      <c r="HDI9967" s="1328"/>
      <c r="HDJ9967" s="1328"/>
      <c r="HDK9967" s="1328"/>
      <c r="HDM9967" s="1328"/>
      <c r="HDN9967" s="1328">
        <v>8919645.2799999993</v>
      </c>
      <c r="HDO9967" s="1328"/>
      <c r="HDQ9967" s="1328"/>
      <c r="HDR9967" s="1328"/>
      <c r="HDS9967" s="1328"/>
      <c r="HDU9967" s="1328"/>
      <c r="HDV9967" s="1328">
        <v>8919645.2799999993</v>
      </c>
      <c r="HDW9967" s="1328"/>
      <c r="HDY9967" s="1328"/>
      <c r="HDZ9967" s="1328"/>
      <c r="HEA9967" s="1328"/>
      <c r="HEC9967" s="1328"/>
      <c r="HED9967" s="1328">
        <v>8919645.2799999993</v>
      </c>
      <c r="HEE9967" s="1328"/>
      <c r="HEG9967" s="1328"/>
      <c r="HEH9967" s="1328"/>
      <c r="HEI9967" s="1328"/>
      <c r="HEK9967" s="1328"/>
      <c r="HEL9967" s="1328">
        <v>8919645.2799999993</v>
      </c>
      <c r="HEM9967" s="1328"/>
      <c r="HEO9967" s="1328"/>
      <c r="HEP9967" s="1328"/>
      <c r="HEQ9967" s="1328"/>
      <c r="HES9967" s="1328"/>
      <c r="HET9967" s="1328">
        <v>8919645.2799999993</v>
      </c>
      <c r="HEU9967" s="1328"/>
      <c r="HEW9967" s="1328"/>
      <c r="HEX9967" s="1328"/>
      <c r="HEY9967" s="1328"/>
      <c r="HFA9967" s="1328"/>
      <c r="HFB9967" s="1328">
        <v>8919645.2799999993</v>
      </c>
      <c r="HFC9967" s="1328"/>
      <c r="HFE9967" s="1328"/>
      <c r="HFF9967" s="1328"/>
      <c r="HFG9967" s="1328"/>
      <c r="HFI9967" s="1328"/>
      <c r="HFJ9967" s="1328">
        <v>8919645.2799999993</v>
      </c>
      <c r="HFK9967" s="1328"/>
      <c r="HFM9967" s="1328"/>
      <c r="HFN9967" s="1328"/>
      <c r="HFO9967" s="1328"/>
      <c r="HFQ9967" s="1328"/>
      <c r="HFR9967" s="1328">
        <v>8919645.2799999993</v>
      </c>
      <c r="HFS9967" s="1328"/>
      <c r="HFU9967" s="1328"/>
      <c r="HFV9967" s="1328"/>
      <c r="HFW9967" s="1328"/>
      <c r="HFY9967" s="1328"/>
      <c r="HFZ9967" s="1328">
        <v>8919645.2799999993</v>
      </c>
      <c r="HGA9967" s="1328"/>
      <c r="HGC9967" s="1328"/>
      <c r="HGD9967" s="1328"/>
      <c r="HGE9967" s="1328"/>
      <c r="HGG9967" s="1328"/>
      <c r="HGH9967" s="1328">
        <v>8919645.2799999993</v>
      </c>
      <c r="HGI9967" s="1328"/>
      <c r="HGK9967" s="1328"/>
      <c r="HGL9967" s="1328"/>
      <c r="HGM9967" s="1328"/>
      <c r="HGO9967" s="1328"/>
      <c r="HGP9967" s="1328">
        <v>8919645.2799999993</v>
      </c>
      <c r="HGQ9967" s="1328"/>
      <c r="HGS9967" s="1328"/>
      <c r="HGT9967" s="1328"/>
      <c r="HGU9967" s="1328"/>
      <c r="HGW9967" s="1328"/>
      <c r="HGX9967" s="1328">
        <v>8919645.2799999993</v>
      </c>
      <c r="HGY9967" s="1328"/>
      <c r="HHA9967" s="1328"/>
      <c r="HHB9967" s="1328"/>
      <c r="HHC9967" s="1328"/>
      <c r="HHE9967" s="1328"/>
      <c r="HHF9967" s="1328">
        <v>8919645.2799999993</v>
      </c>
      <c r="HHG9967" s="1328"/>
      <c r="HHI9967" s="1328"/>
      <c r="HHJ9967" s="1328"/>
      <c r="HHK9967" s="1328"/>
      <c r="HHM9967" s="1328"/>
      <c r="HHN9967" s="1328">
        <v>8919645.2799999993</v>
      </c>
      <c r="HHO9967" s="1328"/>
      <c r="HHQ9967" s="1328"/>
      <c r="HHR9967" s="1328"/>
      <c r="HHS9967" s="1328"/>
      <c r="HHU9967" s="1328"/>
      <c r="HHV9967" s="1328">
        <v>8919645.2799999993</v>
      </c>
      <c r="HHW9967" s="1328"/>
      <c r="HHY9967" s="1328"/>
      <c r="HHZ9967" s="1328"/>
      <c r="HIA9967" s="1328"/>
      <c r="HIC9967" s="1328"/>
      <c r="HID9967" s="1328">
        <v>8919645.2799999993</v>
      </c>
      <c r="HIE9967" s="1328"/>
      <c r="HIG9967" s="1328"/>
      <c r="HIH9967" s="1328"/>
      <c r="HII9967" s="1328"/>
      <c r="HIK9967" s="1328"/>
      <c r="HIL9967" s="1328">
        <v>8919645.2799999993</v>
      </c>
      <c r="HIM9967" s="1328"/>
      <c r="HIO9967" s="1328"/>
      <c r="HIP9967" s="1328"/>
      <c r="HIQ9967" s="1328"/>
      <c r="HIS9967" s="1328"/>
      <c r="HIT9967" s="1328">
        <v>8919645.2799999993</v>
      </c>
      <c r="HIU9967" s="1328"/>
      <c r="HIW9967" s="1328"/>
      <c r="HIX9967" s="1328"/>
      <c r="HIY9967" s="1328"/>
      <c r="HJA9967" s="1328"/>
      <c r="HJB9967" s="1328">
        <v>8919645.2799999993</v>
      </c>
      <c r="HJC9967" s="1328"/>
      <c r="HJE9967" s="1328"/>
      <c r="HJF9967" s="1328"/>
      <c r="HJG9967" s="1328"/>
      <c r="HJI9967" s="1328"/>
      <c r="HJJ9967" s="1328">
        <v>8919645.2799999993</v>
      </c>
      <c r="HJK9967" s="1328"/>
      <c r="HJM9967" s="1328"/>
      <c r="HJN9967" s="1328"/>
      <c r="HJO9967" s="1328"/>
      <c r="HJQ9967" s="1328"/>
      <c r="HJR9967" s="1328">
        <v>8919645.2799999993</v>
      </c>
      <c r="HJS9967" s="1328"/>
      <c r="HJU9967" s="1328"/>
      <c r="HJV9967" s="1328"/>
      <c r="HJW9967" s="1328"/>
      <c r="HJY9967" s="1328"/>
      <c r="HJZ9967" s="1328">
        <v>8919645.2799999993</v>
      </c>
      <c r="HKA9967" s="1328"/>
      <c r="HKC9967" s="1328"/>
      <c r="HKD9967" s="1328"/>
      <c r="HKE9967" s="1328"/>
      <c r="HKG9967" s="1328"/>
      <c r="HKH9967" s="1328">
        <v>8919645.2799999993</v>
      </c>
      <c r="HKI9967" s="1328"/>
      <c r="HKK9967" s="1328"/>
      <c r="HKL9967" s="1328"/>
      <c r="HKM9967" s="1328"/>
      <c r="HKO9967" s="1328"/>
      <c r="HKP9967" s="1328">
        <v>8919645.2799999993</v>
      </c>
      <c r="HKQ9967" s="1328"/>
      <c r="HKS9967" s="1328"/>
      <c r="HKT9967" s="1328"/>
      <c r="HKU9967" s="1328"/>
      <c r="HKW9967" s="1328"/>
      <c r="HKX9967" s="1328">
        <v>8919645.2799999993</v>
      </c>
      <c r="HKY9967" s="1328"/>
      <c r="HLA9967" s="1328"/>
      <c r="HLB9967" s="1328"/>
      <c r="HLC9967" s="1328"/>
      <c r="HLE9967" s="1328"/>
      <c r="HLF9967" s="1328">
        <v>8919645.2799999993</v>
      </c>
      <c r="HLG9967" s="1328"/>
      <c r="HLI9967" s="1328"/>
      <c r="HLJ9967" s="1328"/>
      <c r="HLK9967" s="1328"/>
      <c r="HLM9967" s="1328"/>
      <c r="HLN9967" s="1328">
        <v>8919645.2799999993</v>
      </c>
      <c r="HLO9967" s="1328"/>
      <c r="HLQ9967" s="1328"/>
      <c r="HLR9967" s="1328"/>
      <c r="HLS9967" s="1328"/>
      <c r="HLU9967" s="1328"/>
      <c r="HLV9967" s="1328">
        <v>8919645.2799999993</v>
      </c>
      <c r="HLW9967" s="1328"/>
      <c r="HLY9967" s="1328"/>
      <c r="HLZ9967" s="1328"/>
      <c r="HMA9967" s="1328"/>
      <c r="HMC9967" s="1328"/>
      <c r="HMD9967" s="1328">
        <v>8919645.2799999993</v>
      </c>
      <c r="HME9967" s="1328"/>
      <c r="HMG9967" s="1328"/>
      <c r="HMH9967" s="1328"/>
      <c r="HMI9967" s="1328"/>
      <c r="HMK9967" s="1328"/>
      <c r="HML9967" s="1328">
        <v>8919645.2799999993</v>
      </c>
      <c r="HMM9967" s="1328"/>
      <c r="HMO9967" s="1328"/>
      <c r="HMP9967" s="1328"/>
      <c r="HMQ9967" s="1328"/>
      <c r="HMS9967" s="1328"/>
      <c r="HMT9967" s="1328">
        <v>8919645.2799999993</v>
      </c>
      <c r="HMU9967" s="1328"/>
      <c r="HMW9967" s="1328"/>
      <c r="HMX9967" s="1328"/>
      <c r="HMY9967" s="1328"/>
      <c r="HNA9967" s="1328"/>
      <c r="HNB9967" s="1328">
        <v>8919645.2799999993</v>
      </c>
      <c r="HNC9967" s="1328"/>
      <c r="HNE9967" s="1328"/>
      <c r="HNF9967" s="1328"/>
      <c r="HNG9967" s="1328"/>
      <c r="HNI9967" s="1328"/>
      <c r="HNJ9967" s="1328">
        <v>8919645.2799999993</v>
      </c>
      <c r="HNK9967" s="1328"/>
      <c r="HNM9967" s="1328"/>
      <c r="HNN9967" s="1328"/>
      <c r="HNO9967" s="1328"/>
      <c r="HNQ9967" s="1328"/>
      <c r="HNR9967" s="1328">
        <v>8919645.2799999993</v>
      </c>
      <c r="HNS9967" s="1328"/>
      <c r="HNU9967" s="1328"/>
      <c r="HNV9967" s="1328"/>
      <c r="HNW9967" s="1328"/>
      <c r="HNY9967" s="1328"/>
      <c r="HNZ9967" s="1328">
        <v>8919645.2799999993</v>
      </c>
      <c r="HOA9967" s="1328"/>
      <c r="HOC9967" s="1328"/>
      <c r="HOD9967" s="1328"/>
      <c r="HOE9967" s="1328"/>
      <c r="HOG9967" s="1328"/>
      <c r="HOH9967" s="1328">
        <v>8919645.2799999993</v>
      </c>
      <c r="HOI9967" s="1328"/>
      <c r="HOK9967" s="1328"/>
      <c r="HOL9967" s="1328"/>
      <c r="HOM9967" s="1328"/>
      <c r="HOO9967" s="1328"/>
      <c r="HOP9967" s="1328">
        <v>8919645.2799999993</v>
      </c>
      <c r="HOQ9967" s="1328"/>
      <c r="HOS9967" s="1328"/>
      <c r="HOT9967" s="1328"/>
      <c r="HOU9967" s="1328"/>
      <c r="HOW9967" s="1328"/>
      <c r="HOX9967" s="1328">
        <v>8919645.2799999993</v>
      </c>
      <c r="HOY9967" s="1328"/>
      <c r="HPA9967" s="1328"/>
      <c r="HPB9967" s="1328"/>
      <c r="HPC9967" s="1328"/>
      <c r="HPE9967" s="1328"/>
      <c r="HPF9967" s="1328">
        <v>8919645.2799999993</v>
      </c>
      <c r="HPG9967" s="1328"/>
      <c r="HPI9967" s="1328"/>
      <c r="HPJ9967" s="1328"/>
      <c r="HPK9967" s="1328"/>
      <c r="HPM9967" s="1328"/>
      <c r="HPN9967" s="1328">
        <v>8919645.2799999993</v>
      </c>
      <c r="HPO9967" s="1328"/>
      <c r="HPQ9967" s="1328"/>
      <c r="HPR9967" s="1328"/>
      <c r="HPS9967" s="1328"/>
      <c r="HPU9967" s="1328"/>
      <c r="HPV9967" s="1328">
        <v>8919645.2799999993</v>
      </c>
      <c r="HPW9967" s="1328"/>
      <c r="HPY9967" s="1328"/>
      <c r="HPZ9967" s="1328"/>
      <c r="HQA9967" s="1328"/>
      <c r="HQC9967" s="1328"/>
      <c r="HQD9967" s="1328">
        <v>8919645.2799999993</v>
      </c>
      <c r="HQE9967" s="1328"/>
      <c r="HQG9967" s="1328"/>
      <c r="HQH9967" s="1328"/>
      <c r="HQI9967" s="1328"/>
      <c r="HQK9967" s="1328"/>
      <c r="HQL9967" s="1328">
        <v>8919645.2799999993</v>
      </c>
      <c r="HQM9967" s="1328"/>
      <c r="HQO9967" s="1328"/>
      <c r="HQP9967" s="1328"/>
      <c r="HQQ9967" s="1328"/>
      <c r="HQS9967" s="1328"/>
      <c r="HQT9967" s="1328">
        <v>8919645.2799999993</v>
      </c>
      <c r="HQU9967" s="1328"/>
      <c r="HQW9967" s="1328"/>
      <c r="HQX9967" s="1328"/>
      <c r="HQY9967" s="1328"/>
      <c r="HRA9967" s="1328"/>
      <c r="HRB9967" s="1328">
        <v>8919645.2799999993</v>
      </c>
      <c r="HRC9967" s="1328"/>
      <c r="HRE9967" s="1328"/>
      <c r="HRF9967" s="1328"/>
      <c r="HRG9967" s="1328"/>
      <c r="HRI9967" s="1328"/>
      <c r="HRJ9967" s="1328">
        <v>8919645.2799999993</v>
      </c>
      <c r="HRK9967" s="1328"/>
      <c r="HRM9967" s="1328"/>
      <c r="HRN9967" s="1328"/>
      <c r="HRO9967" s="1328"/>
      <c r="HRQ9967" s="1328"/>
      <c r="HRR9967" s="1328">
        <v>8919645.2799999993</v>
      </c>
      <c r="HRS9967" s="1328"/>
      <c r="HRU9967" s="1328"/>
      <c r="HRV9967" s="1328"/>
      <c r="HRW9967" s="1328"/>
      <c r="HRY9967" s="1328"/>
      <c r="HRZ9967" s="1328">
        <v>8919645.2799999993</v>
      </c>
      <c r="HSA9967" s="1328"/>
      <c r="HSC9967" s="1328"/>
      <c r="HSD9967" s="1328"/>
      <c r="HSE9967" s="1328"/>
      <c r="HSG9967" s="1328"/>
      <c r="HSH9967" s="1328">
        <v>8919645.2799999993</v>
      </c>
      <c r="HSI9967" s="1328"/>
      <c r="HSK9967" s="1328"/>
      <c r="HSL9967" s="1328"/>
      <c r="HSM9967" s="1328"/>
      <c r="HSO9967" s="1328"/>
      <c r="HSP9967" s="1328">
        <v>8919645.2799999993</v>
      </c>
      <c r="HSQ9967" s="1328"/>
      <c r="HSS9967" s="1328"/>
      <c r="HST9967" s="1328"/>
      <c r="HSU9967" s="1328"/>
      <c r="HSW9967" s="1328"/>
      <c r="HSX9967" s="1328">
        <v>8919645.2799999993</v>
      </c>
      <c r="HSY9967" s="1328"/>
      <c r="HTA9967" s="1328"/>
      <c r="HTB9967" s="1328"/>
      <c r="HTC9967" s="1328"/>
      <c r="HTE9967" s="1328"/>
      <c r="HTF9967" s="1328">
        <v>8919645.2799999993</v>
      </c>
      <c r="HTG9967" s="1328"/>
      <c r="HTI9967" s="1328"/>
      <c r="HTJ9967" s="1328"/>
      <c r="HTK9967" s="1328"/>
      <c r="HTM9967" s="1328"/>
      <c r="HTN9967" s="1328">
        <v>8919645.2799999993</v>
      </c>
      <c r="HTO9967" s="1328"/>
      <c r="HTQ9967" s="1328"/>
      <c r="HTR9967" s="1328"/>
      <c r="HTS9967" s="1328"/>
      <c r="HTU9967" s="1328"/>
      <c r="HTV9967" s="1328">
        <v>8919645.2799999993</v>
      </c>
      <c r="HTW9967" s="1328"/>
      <c r="HTY9967" s="1328"/>
      <c r="HTZ9967" s="1328"/>
      <c r="HUA9967" s="1328"/>
      <c r="HUC9967" s="1328"/>
      <c r="HUD9967" s="1328">
        <v>8919645.2799999993</v>
      </c>
      <c r="HUE9967" s="1328"/>
      <c r="HUG9967" s="1328"/>
      <c r="HUH9967" s="1328"/>
      <c r="HUI9967" s="1328"/>
      <c r="HUK9967" s="1328"/>
      <c r="HUL9967" s="1328">
        <v>8919645.2799999993</v>
      </c>
      <c r="HUM9967" s="1328"/>
      <c r="HUO9967" s="1328"/>
      <c r="HUP9967" s="1328"/>
      <c r="HUQ9967" s="1328"/>
      <c r="HUS9967" s="1328"/>
      <c r="HUT9967" s="1328">
        <v>8919645.2799999993</v>
      </c>
      <c r="HUU9967" s="1328"/>
      <c r="HUW9967" s="1328"/>
      <c r="HUX9967" s="1328"/>
      <c r="HUY9967" s="1328"/>
      <c r="HVA9967" s="1328"/>
      <c r="HVB9967" s="1328">
        <v>8919645.2799999993</v>
      </c>
      <c r="HVC9967" s="1328"/>
      <c r="HVE9967" s="1328"/>
      <c r="HVF9967" s="1328"/>
      <c r="HVG9967" s="1328"/>
      <c r="HVI9967" s="1328"/>
      <c r="HVJ9967" s="1328">
        <v>8919645.2799999993</v>
      </c>
      <c r="HVK9967" s="1328"/>
      <c r="HVM9967" s="1328"/>
      <c r="HVN9967" s="1328"/>
      <c r="HVO9967" s="1328"/>
      <c r="HVQ9967" s="1328"/>
      <c r="HVR9967" s="1328">
        <v>8919645.2799999993</v>
      </c>
      <c r="HVS9967" s="1328"/>
      <c r="HVU9967" s="1328"/>
      <c r="HVV9967" s="1328"/>
      <c r="HVW9967" s="1328"/>
      <c r="HVY9967" s="1328"/>
      <c r="HVZ9967" s="1328">
        <v>8919645.2799999993</v>
      </c>
      <c r="HWA9967" s="1328"/>
      <c r="HWC9967" s="1328"/>
      <c r="HWD9967" s="1328"/>
      <c r="HWE9967" s="1328"/>
      <c r="HWG9967" s="1328"/>
      <c r="HWH9967" s="1328">
        <v>8919645.2799999993</v>
      </c>
      <c r="HWI9967" s="1328"/>
      <c r="HWK9967" s="1328"/>
      <c r="HWL9967" s="1328"/>
      <c r="HWM9967" s="1328"/>
      <c r="HWO9967" s="1328"/>
      <c r="HWP9967" s="1328">
        <v>8919645.2799999993</v>
      </c>
      <c r="HWQ9967" s="1328"/>
      <c r="HWS9967" s="1328"/>
      <c r="HWT9967" s="1328"/>
      <c r="HWU9967" s="1328"/>
      <c r="HWW9967" s="1328"/>
      <c r="HWX9967" s="1328">
        <v>8919645.2799999993</v>
      </c>
      <c r="HWY9967" s="1328"/>
      <c r="HXA9967" s="1328"/>
      <c r="HXB9967" s="1328"/>
      <c r="HXC9967" s="1328"/>
      <c r="HXE9967" s="1328"/>
      <c r="HXF9967" s="1328">
        <v>8919645.2799999993</v>
      </c>
      <c r="HXG9967" s="1328"/>
      <c r="HXI9967" s="1328"/>
      <c r="HXJ9967" s="1328"/>
      <c r="HXK9967" s="1328"/>
      <c r="HXM9967" s="1328"/>
      <c r="HXN9967" s="1328">
        <v>8919645.2799999993</v>
      </c>
      <c r="HXO9967" s="1328"/>
      <c r="HXQ9967" s="1328"/>
      <c r="HXR9967" s="1328"/>
      <c r="HXS9967" s="1328"/>
      <c r="HXU9967" s="1328"/>
      <c r="HXV9967" s="1328">
        <v>8919645.2799999993</v>
      </c>
      <c r="HXW9967" s="1328"/>
      <c r="HXY9967" s="1328"/>
      <c r="HXZ9967" s="1328"/>
      <c r="HYA9967" s="1328"/>
      <c r="HYC9967" s="1328"/>
      <c r="HYD9967" s="1328">
        <v>8919645.2799999993</v>
      </c>
      <c r="HYE9967" s="1328"/>
      <c r="HYG9967" s="1328"/>
      <c r="HYH9967" s="1328"/>
      <c r="HYI9967" s="1328"/>
      <c r="HYK9967" s="1328"/>
      <c r="HYL9967" s="1328">
        <v>8919645.2799999993</v>
      </c>
      <c r="HYM9967" s="1328"/>
      <c r="HYO9967" s="1328"/>
      <c r="HYP9967" s="1328"/>
      <c r="HYQ9967" s="1328"/>
      <c r="HYS9967" s="1328"/>
      <c r="HYT9967" s="1328">
        <v>8919645.2799999993</v>
      </c>
      <c r="HYU9967" s="1328"/>
      <c r="HYW9967" s="1328"/>
      <c r="HYX9967" s="1328"/>
      <c r="HYY9967" s="1328"/>
      <c r="HZA9967" s="1328"/>
      <c r="HZB9967" s="1328">
        <v>8919645.2799999993</v>
      </c>
      <c r="HZC9967" s="1328"/>
      <c r="HZE9967" s="1328"/>
      <c r="HZF9967" s="1328"/>
      <c r="HZG9967" s="1328"/>
      <c r="HZI9967" s="1328"/>
      <c r="HZJ9967" s="1328">
        <v>8919645.2799999993</v>
      </c>
      <c r="HZK9967" s="1328"/>
      <c r="HZM9967" s="1328"/>
      <c r="HZN9967" s="1328"/>
      <c r="HZO9967" s="1328"/>
      <c r="HZQ9967" s="1328"/>
      <c r="HZR9967" s="1328">
        <v>8919645.2799999993</v>
      </c>
      <c r="HZS9967" s="1328"/>
      <c r="HZU9967" s="1328"/>
      <c r="HZV9967" s="1328"/>
      <c r="HZW9967" s="1328"/>
      <c r="HZY9967" s="1328"/>
      <c r="HZZ9967" s="1328">
        <v>8919645.2799999993</v>
      </c>
      <c r="IAA9967" s="1328"/>
      <c r="IAC9967" s="1328"/>
      <c r="IAD9967" s="1328"/>
      <c r="IAE9967" s="1328"/>
      <c r="IAG9967" s="1328"/>
      <c r="IAH9967" s="1328">
        <v>8919645.2799999993</v>
      </c>
      <c r="IAI9967" s="1328"/>
      <c r="IAK9967" s="1328"/>
      <c r="IAL9967" s="1328"/>
      <c r="IAM9967" s="1328"/>
      <c r="IAO9967" s="1328"/>
      <c r="IAP9967" s="1328">
        <v>8919645.2799999993</v>
      </c>
      <c r="IAQ9967" s="1328"/>
      <c r="IAS9967" s="1328"/>
      <c r="IAT9967" s="1328"/>
      <c r="IAU9967" s="1328"/>
      <c r="IAW9967" s="1328"/>
      <c r="IAX9967" s="1328">
        <v>8919645.2799999993</v>
      </c>
      <c r="IAY9967" s="1328"/>
      <c r="IBA9967" s="1328"/>
      <c r="IBB9967" s="1328"/>
      <c r="IBC9967" s="1328"/>
      <c r="IBE9967" s="1328"/>
      <c r="IBF9967" s="1328">
        <v>8919645.2799999993</v>
      </c>
      <c r="IBG9967" s="1328"/>
      <c r="IBI9967" s="1328"/>
      <c r="IBJ9967" s="1328"/>
      <c r="IBK9967" s="1328"/>
      <c r="IBM9967" s="1328"/>
      <c r="IBN9967" s="1328">
        <v>8919645.2799999993</v>
      </c>
      <c r="IBO9967" s="1328"/>
      <c r="IBQ9967" s="1328"/>
      <c r="IBR9967" s="1328"/>
      <c r="IBS9967" s="1328"/>
      <c r="IBU9967" s="1328"/>
      <c r="IBV9967" s="1328">
        <v>8919645.2799999993</v>
      </c>
      <c r="IBW9967" s="1328"/>
      <c r="IBY9967" s="1328"/>
      <c r="IBZ9967" s="1328"/>
      <c r="ICA9967" s="1328"/>
      <c r="ICC9967" s="1328"/>
      <c r="ICD9967" s="1328">
        <v>8919645.2799999993</v>
      </c>
      <c r="ICE9967" s="1328"/>
      <c r="ICG9967" s="1328"/>
      <c r="ICH9967" s="1328"/>
      <c r="ICI9967" s="1328"/>
      <c r="ICK9967" s="1328"/>
      <c r="ICL9967" s="1328">
        <v>8919645.2799999993</v>
      </c>
      <c r="ICM9967" s="1328"/>
      <c r="ICO9967" s="1328"/>
      <c r="ICP9967" s="1328"/>
      <c r="ICQ9967" s="1328"/>
      <c r="ICS9967" s="1328"/>
      <c r="ICT9967" s="1328">
        <v>8919645.2799999993</v>
      </c>
      <c r="ICU9967" s="1328"/>
      <c r="ICW9967" s="1328"/>
      <c r="ICX9967" s="1328"/>
      <c r="ICY9967" s="1328"/>
      <c r="IDA9967" s="1328"/>
      <c r="IDB9967" s="1328">
        <v>8919645.2799999993</v>
      </c>
      <c r="IDC9967" s="1328"/>
      <c r="IDE9967" s="1328"/>
      <c r="IDF9967" s="1328"/>
      <c r="IDG9967" s="1328"/>
      <c r="IDI9967" s="1328"/>
      <c r="IDJ9967" s="1328">
        <v>8919645.2799999993</v>
      </c>
      <c r="IDK9967" s="1328"/>
      <c r="IDM9967" s="1328"/>
      <c r="IDN9967" s="1328"/>
      <c r="IDO9967" s="1328"/>
      <c r="IDQ9967" s="1328"/>
      <c r="IDR9967" s="1328">
        <v>8919645.2799999993</v>
      </c>
      <c r="IDS9967" s="1328"/>
      <c r="IDU9967" s="1328"/>
      <c r="IDV9967" s="1328"/>
      <c r="IDW9967" s="1328"/>
      <c r="IDY9967" s="1328"/>
      <c r="IDZ9967" s="1328">
        <v>8919645.2799999993</v>
      </c>
      <c r="IEA9967" s="1328"/>
      <c r="IEC9967" s="1328"/>
      <c r="IED9967" s="1328"/>
      <c r="IEE9967" s="1328"/>
      <c r="IEG9967" s="1328"/>
      <c r="IEH9967" s="1328">
        <v>8919645.2799999993</v>
      </c>
      <c r="IEI9967" s="1328"/>
      <c r="IEK9967" s="1328"/>
      <c r="IEL9967" s="1328"/>
      <c r="IEM9967" s="1328"/>
      <c r="IEO9967" s="1328"/>
      <c r="IEP9967" s="1328">
        <v>8919645.2799999993</v>
      </c>
      <c r="IEQ9967" s="1328"/>
      <c r="IES9967" s="1328"/>
      <c r="IET9967" s="1328"/>
      <c r="IEU9967" s="1328"/>
      <c r="IEW9967" s="1328"/>
      <c r="IEX9967" s="1328">
        <v>8919645.2799999993</v>
      </c>
      <c r="IEY9967" s="1328"/>
      <c r="IFA9967" s="1328"/>
      <c r="IFB9967" s="1328"/>
      <c r="IFC9967" s="1328"/>
      <c r="IFE9967" s="1328"/>
      <c r="IFF9967" s="1328">
        <v>8919645.2799999993</v>
      </c>
      <c r="IFG9967" s="1328"/>
      <c r="IFI9967" s="1328"/>
      <c r="IFJ9967" s="1328"/>
      <c r="IFK9967" s="1328"/>
      <c r="IFM9967" s="1328"/>
      <c r="IFN9967" s="1328">
        <v>8919645.2799999993</v>
      </c>
      <c r="IFO9967" s="1328"/>
      <c r="IFQ9967" s="1328"/>
      <c r="IFR9967" s="1328"/>
      <c r="IFS9967" s="1328"/>
      <c r="IFU9967" s="1328"/>
      <c r="IFV9967" s="1328">
        <v>8919645.2799999993</v>
      </c>
      <c r="IFW9967" s="1328"/>
      <c r="IFY9967" s="1328"/>
      <c r="IFZ9967" s="1328"/>
      <c r="IGA9967" s="1328"/>
      <c r="IGC9967" s="1328"/>
      <c r="IGD9967" s="1328">
        <v>8919645.2799999993</v>
      </c>
      <c r="IGE9967" s="1328"/>
      <c r="IGG9967" s="1328"/>
      <c r="IGH9967" s="1328"/>
      <c r="IGI9967" s="1328"/>
      <c r="IGK9967" s="1328"/>
      <c r="IGL9967" s="1328">
        <v>8919645.2799999993</v>
      </c>
      <c r="IGM9967" s="1328"/>
      <c r="IGO9967" s="1328"/>
      <c r="IGP9967" s="1328"/>
      <c r="IGQ9967" s="1328"/>
      <c r="IGS9967" s="1328"/>
      <c r="IGT9967" s="1328">
        <v>8919645.2799999993</v>
      </c>
      <c r="IGU9967" s="1328"/>
      <c r="IGW9967" s="1328"/>
      <c r="IGX9967" s="1328"/>
      <c r="IGY9967" s="1328"/>
      <c r="IHA9967" s="1328"/>
      <c r="IHB9967" s="1328">
        <v>8919645.2799999993</v>
      </c>
      <c r="IHC9967" s="1328"/>
      <c r="IHE9967" s="1328"/>
      <c r="IHF9967" s="1328"/>
      <c r="IHG9967" s="1328"/>
      <c r="IHI9967" s="1328"/>
      <c r="IHJ9967" s="1328">
        <v>8919645.2799999993</v>
      </c>
      <c r="IHK9967" s="1328"/>
      <c r="IHM9967" s="1328"/>
      <c r="IHN9967" s="1328"/>
      <c r="IHO9967" s="1328"/>
      <c r="IHQ9967" s="1328"/>
      <c r="IHR9967" s="1328">
        <v>8919645.2799999993</v>
      </c>
      <c r="IHS9967" s="1328"/>
      <c r="IHU9967" s="1328"/>
      <c r="IHV9967" s="1328"/>
      <c r="IHW9967" s="1328"/>
      <c r="IHY9967" s="1328"/>
      <c r="IHZ9967" s="1328">
        <v>8919645.2799999993</v>
      </c>
      <c r="IIA9967" s="1328"/>
      <c r="IIC9967" s="1328"/>
      <c r="IID9967" s="1328"/>
      <c r="IIE9967" s="1328"/>
      <c r="IIG9967" s="1328"/>
      <c r="IIH9967" s="1328">
        <v>8919645.2799999993</v>
      </c>
      <c r="III9967" s="1328"/>
      <c r="IIK9967" s="1328"/>
      <c r="IIL9967" s="1328"/>
      <c r="IIM9967" s="1328"/>
      <c r="IIO9967" s="1328"/>
      <c r="IIP9967" s="1328">
        <v>8919645.2799999993</v>
      </c>
      <c r="IIQ9967" s="1328"/>
      <c r="IIS9967" s="1328"/>
      <c r="IIT9967" s="1328"/>
      <c r="IIU9967" s="1328"/>
      <c r="IIW9967" s="1328"/>
      <c r="IIX9967" s="1328">
        <v>8919645.2799999993</v>
      </c>
      <c r="IIY9967" s="1328"/>
      <c r="IJA9967" s="1328"/>
      <c r="IJB9967" s="1328"/>
      <c r="IJC9967" s="1328"/>
      <c r="IJE9967" s="1328"/>
      <c r="IJF9967" s="1328">
        <v>8919645.2799999993</v>
      </c>
      <c r="IJG9967" s="1328"/>
      <c r="IJI9967" s="1328"/>
      <c r="IJJ9967" s="1328"/>
      <c r="IJK9967" s="1328"/>
      <c r="IJM9967" s="1328"/>
      <c r="IJN9967" s="1328">
        <v>8919645.2799999993</v>
      </c>
      <c r="IJO9967" s="1328"/>
      <c r="IJQ9967" s="1328"/>
      <c r="IJR9967" s="1328"/>
      <c r="IJS9967" s="1328"/>
      <c r="IJU9967" s="1328"/>
      <c r="IJV9967" s="1328">
        <v>8919645.2799999993</v>
      </c>
      <c r="IJW9967" s="1328"/>
      <c r="IJY9967" s="1328"/>
      <c r="IJZ9967" s="1328"/>
      <c r="IKA9967" s="1328"/>
      <c r="IKC9967" s="1328"/>
      <c r="IKD9967" s="1328">
        <v>8919645.2799999993</v>
      </c>
      <c r="IKE9967" s="1328"/>
      <c r="IKG9967" s="1328"/>
      <c r="IKH9967" s="1328"/>
      <c r="IKI9967" s="1328"/>
      <c r="IKK9967" s="1328"/>
      <c r="IKL9967" s="1328">
        <v>8919645.2799999993</v>
      </c>
      <c r="IKM9967" s="1328"/>
      <c r="IKO9967" s="1328"/>
      <c r="IKP9967" s="1328"/>
      <c r="IKQ9967" s="1328"/>
      <c r="IKS9967" s="1328"/>
      <c r="IKT9967" s="1328">
        <v>8919645.2799999993</v>
      </c>
      <c r="IKU9967" s="1328"/>
      <c r="IKW9967" s="1328"/>
      <c r="IKX9967" s="1328"/>
      <c r="IKY9967" s="1328"/>
      <c r="ILA9967" s="1328"/>
      <c r="ILB9967" s="1328">
        <v>8919645.2799999993</v>
      </c>
      <c r="ILC9967" s="1328"/>
      <c r="ILE9967" s="1328"/>
      <c r="ILF9967" s="1328"/>
      <c r="ILG9967" s="1328"/>
      <c r="ILI9967" s="1328"/>
      <c r="ILJ9967" s="1328">
        <v>8919645.2799999993</v>
      </c>
      <c r="ILK9967" s="1328"/>
      <c r="ILM9967" s="1328"/>
      <c r="ILN9967" s="1328"/>
      <c r="ILO9967" s="1328"/>
      <c r="ILQ9967" s="1328"/>
      <c r="ILR9967" s="1328">
        <v>8919645.2799999993</v>
      </c>
      <c r="ILS9967" s="1328"/>
      <c r="ILU9967" s="1328"/>
      <c r="ILV9967" s="1328"/>
      <c r="ILW9967" s="1328"/>
      <c r="ILY9967" s="1328"/>
      <c r="ILZ9967" s="1328">
        <v>8919645.2799999993</v>
      </c>
      <c r="IMA9967" s="1328"/>
      <c r="IMC9967" s="1328"/>
      <c r="IMD9967" s="1328"/>
      <c r="IME9967" s="1328"/>
      <c r="IMG9967" s="1328"/>
      <c r="IMH9967" s="1328">
        <v>8919645.2799999993</v>
      </c>
      <c r="IMI9967" s="1328"/>
      <c r="IMK9967" s="1328"/>
      <c r="IML9967" s="1328"/>
      <c r="IMM9967" s="1328"/>
      <c r="IMO9967" s="1328"/>
      <c r="IMP9967" s="1328">
        <v>8919645.2799999993</v>
      </c>
      <c r="IMQ9967" s="1328"/>
      <c r="IMS9967" s="1328"/>
      <c r="IMT9967" s="1328"/>
      <c r="IMU9967" s="1328"/>
      <c r="IMW9967" s="1328"/>
      <c r="IMX9967" s="1328">
        <v>8919645.2799999993</v>
      </c>
      <c r="IMY9967" s="1328"/>
      <c r="INA9967" s="1328"/>
      <c r="INB9967" s="1328"/>
      <c r="INC9967" s="1328"/>
      <c r="INE9967" s="1328"/>
      <c r="INF9967" s="1328">
        <v>8919645.2799999993</v>
      </c>
      <c r="ING9967" s="1328"/>
      <c r="INI9967" s="1328"/>
      <c r="INJ9967" s="1328"/>
      <c r="INK9967" s="1328"/>
      <c r="INM9967" s="1328"/>
      <c r="INN9967" s="1328">
        <v>8919645.2799999993</v>
      </c>
      <c r="INO9967" s="1328"/>
      <c r="INQ9967" s="1328"/>
      <c r="INR9967" s="1328"/>
      <c r="INS9967" s="1328"/>
      <c r="INU9967" s="1328"/>
      <c r="INV9967" s="1328">
        <v>8919645.2799999993</v>
      </c>
      <c r="INW9967" s="1328"/>
      <c r="INY9967" s="1328"/>
      <c r="INZ9967" s="1328"/>
      <c r="IOA9967" s="1328"/>
      <c r="IOC9967" s="1328"/>
      <c r="IOD9967" s="1328">
        <v>8919645.2799999993</v>
      </c>
      <c r="IOE9967" s="1328"/>
      <c r="IOG9967" s="1328"/>
      <c r="IOH9967" s="1328"/>
      <c r="IOI9967" s="1328"/>
      <c r="IOK9967" s="1328"/>
      <c r="IOL9967" s="1328">
        <v>8919645.2799999993</v>
      </c>
      <c r="IOM9967" s="1328"/>
      <c r="IOO9967" s="1328"/>
      <c r="IOP9967" s="1328"/>
      <c r="IOQ9967" s="1328"/>
      <c r="IOS9967" s="1328"/>
      <c r="IOT9967" s="1328">
        <v>8919645.2799999993</v>
      </c>
      <c r="IOU9967" s="1328"/>
      <c r="IOW9967" s="1328"/>
      <c r="IOX9967" s="1328"/>
      <c r="IOY9967" s="1328"/>
      <c r="IPA9967" s="1328"/>
      <c r="IPB9967" s="1328">
        <v>8919645.2799999993</v>
      </c>
      <c r="IPC9967" s="1328"/>
      <c r="IPE9967" s="1328"/>
      <c r="IPF9967" s="1328"/>
      <c r="IPG9967" s="1328"/>
      <c r="IPI9967" s="1328"/>
      <c r="IPJ9967" s="1328">
        <v>8919645.2799999993</v>
      </c>
      <c r="IPK9967" s="1328"/>
      <c r="IPM9967" s="1328"/>
      <c r="IPN9967" s="1328"/>
      <c r="IPO9967" s="1328"/>
      <c r="IPQ9967" s="1328"/>
      <c r="IPR9967" s="1328">
        <v>8919645.2799999993</v>
      </c>
      <c r="IPS9967" s="1328"/>
      <c r="IPU9967" s="1328"/>
      <c r="IPV9967" s="1328"/>
      <c r="IPW9967" s="1328"/>
      <c r="IPY9967" s="1328"/>
      <c r="IPZ9967" s="1328">
        <v>8919645.2799999993</v>
      </c>
      <c r="IQA9967" s="1328"/>
      <c r="IQC9967" s="1328"/>
      <c r="IQD9967" s="1328"/>
      <c r="IQE9967" s="1328"/>
      <c r="IQG9967" s="1328"/>
      <c r="IQH9967" s="1328">
        <v>8919645.2799999993</v>
      </c>
      <c r="IQI9967" s="1328"/>
      <c r="IQK9967" s="1328"/>
      <c r="IQL9967" s="1328"/>
      <c r="IQM9967" s="1328"/>
      <c r="IQO9967" s="1328"/>
      <c r="IQP9967" s="1328">
        <v>8919645.2799999993</v>
      </c>
      <c r="IQQ9967" s="1328"/>
      <c r="IQS9967" s="1328"/>
      <c r="IQT9967" s="1328"/>
      <c r="IQU9967" s="1328"/>
      <c r="IQW9967" s="1328"/>
      <c r="IQX9967" s="1328">
        <v>8919645.2799999993</v>
      </c>
      <c r="IQY9967" s="1328"/>
      <c r="IRA9967" s="1328"/>
      <c r="IRB9967" s="1328"/>
      <c r="IRC9967" s="1328"/>
      <c r="IRE9967" s="1328"/>
      <c r="IRF9967" s="1328">
        <v>8919645.2799999993</v>
      </c>
      <c r="IRG9967" s="1328"/>
      <c r="IRI9967" s="1328"/>
      <c r="IRJ9967" s="1328"/>
      <c r="IRK9967" s="1328"/>
      <c r="IRM9967" s="1328"/>
      <c r="IRN9967" s="1328">
        <v>8919645.2799999993</v>
      </c>
      <c r="IRO9967" s="1328"/>
      <c r="IRQ9967" s="1328"/>
      <c r="IRR9967" s="1328"/>
      <c r="IRS9967" s="1328"/>
      <c r="IRU9967" s="1328"/>
      <c r="IRV9967" s="1328">
        <v>8919645.2799999993</v>
      </c>
      <c r="IRW9967" s="1328"/>
      <c r="IRY9967" s="1328"/>
      <c r="IRZ9967" s="1328"/>
      <c r="ISA9967" s="1328"/>
      <c r="ISC9967" s="1328"/>
      <c r="ISD9967" s="1328">
        <v>8919645.2799999993</v>
      </c>
      <c r="ISE9967" s="1328"/>
      <c r="ISG9967" s="1328"/>
      <c r="ISH9967" s="1328"/>
      <c r="ISI9967" s="1328"/>
      <c r="ISK9967" s="1328"/>
      <c r="ISL9967" s="1328">
        <v>8919645.2799999993</v>
      </c>
      <c r="ISM9967" s="1328"/>
      <c r="ISO9967" s="1328"/>
      <c r="ISP9967" s="1328"/>
      <c r="ISQ9967" s="1328"/>
      <c r="ISS9967" s="1328"/>
      <c r="IST9967" s="1328">
        <v>8919645.2799999993</v>
      </c>
      <c r="ISU9967" s="1328"/>
      <c r="ISW9967" s="1328"/>
      <c r="ISX9967" s="1328"/>
      <c r="ISY9967" s="1328"/>
      <c r="ITA9967" s="1328"/>
      <c r="ITB9967" s="1328">
        <v>8919645.2799999993</v>
      </c>
      <c r="ITC9967" s="1328"/>
      <c r="ITE9967" s="1328"/>
      <c r="ITF9967" s="1328"/>
      <c r="ITG9967" s="1328"/>
      <c r="ITI9967" s="1328"/>
      <c r="ITJ9967" s="1328">
        <v>8919645.2799999993</v>
      </c>
      <c r="ITK9967" s="1328"/>
      <c r="ITM9967" s="1328"/>
      <c r="ITN9967" s="1328"/>
      <c r="ITO9967" s="1328"/>
      <c r="ITQ9967" s="1328"/>
      <c r="ITR9967" s="1328">
        <v>8919645.2799999993</v>
      </c>
      <c r="ITS9967" s="1328"/>
      <c r="ITU9967" s="1328"/>
      <c r="ITV9967" s="1328"/>
      <c r="ITW9967" s="1328"/>
      <c r="ITY9967" s="1328"/>
      <c r="ITZ9967" s="1328">
        <v>8919645.2799999993</v>
      </c>
      <c r="IUA9967" s="1328"/>
      <c r="IUC9967" s="1328"/>
      <c r="IUD9967" s="1328"/>
      <c r="IUE9967" s="1328"/>
      <c r="IUG9967" s="1328"/>
      <c r="IUH9967" s="1328">
        <v>8919645.2799999993</v>
      </c>
      <c r="IUI9967" s="1328"/>
      <c r="IUK9967" s="1328"/>
      <c r="IUL9967" s="1328"/>
      <c r="IUM9967" s="1328"/>
      <c r="IUO9967" s="1328"/>
      <c r="IUP9967" s="1328">
        <v>8919645.2799999993</v>
      </c>
      <c r="IUQ9967" s="1328"/>
      <c r="IUS9967" s="1328"/>
      <c r="IUT9967" s="1328"/>
      <c r="IUU9967" s="1328"/>
      <c r="IUW9967" s="1328"/>
      <c r="IUX9967" s="1328">
        <v>8919645.2799999993</v>
      </c>
      <c r="IUY9967" s="1328"/>
      <c r="IVA9967" s="1328"/>
      <c r="IVB9967" s="1328"/>
      <c r="IVC9967" s="1328"/>
      <c r="IVE9967" s="1328"/>
      <c r="IVF9967" s="1328">
        <v>8919645.2799999993</v>
      </c>
      <c r="IVG9967" s="1328"/>
      <c r="IVI9967" s="1328"/>
      <c r="IVJ9967" s="1328"/>
      <c r="IVK9967" s="1328"/>
      <c r="IVM9967" s="1328"/>
      <c r="IVN9967" s="1328">
        <v>8919645.2799999993</v>
      </c>
      <c r="IVO9967" s="1328"/>
      <c r="IVQ9967" s="1328"/>
      <c r="IVR9967" s="1328"/>
      <c r="IVS9967" s="1328"/>
      <c r="IVU9967" s="1328"/>
      <c r="IVV9967" s="1328">
        <v>8919645.2799999993</v>
      </c>
      <c r="IVW9967" s="1328"/>
      <c r="IVY9967" s="1328"/>
      <c r="IVZ9967" s="1328"/>
      <c r="IWA9967" s="1328"/>
      <c r="IWC9967" s="1328"/>
      <c r="IWD9967" s="1328">
        <v>8919645.2799999993</v>
      </c>
      <c r="IWE9967" s="1328"/>
      <c r="IWG9967" s="1328"/>
      <c r="IWH9967" s="1328"/>
      <c r="IWI9967" s="1328"/>
      <c r="IWK9967" s="1328"/>
      <c r="IWL9967" s="1328">
        <v>8919645.2799999993</v>
      </c>
      <c r="IWM9967" s="1328"/>
      <c r="IWO9967" s="1328"/>
      <c r="IWP9967" s="1328"/>
      <c r="IWQ9967" s="1328"/>
      <c r="IWS9967" s="1328"/>
      <c r="IWT9967" s="1328">
        <v>8919645.2799999993</v>
      </c>
      <c r="IWU9967" s="1328"/>
      <c r="IWW9967" s="1328"/>
      <c r="IWX9967" s="1328"/>
      <c r="IWY9967" s="1328"/>
      <c r="IXA9967" s="1328"/>
      <c r="IXB9967" s="1328">
        <v>8919645.2799999993</v>
      </c>
      <c r="IXC9967" s="1328"/>
      <c r="IXE9967" s="1328"/>
      <c r="IXF9967" s="1328"/>
      <c r="IXG9967" s="1328"/>
      <c r="IXI9967" s="1328"/>
      <c r="IXJ9967" s="1328">
        <v>8919645.2799999993</v>
      </c>
      <c r="IXK9967" s="1328"/>
      <c r="IXM9967" s="1328"/>
      <c r="IXN9967" s="1328"/>
      <c r="IXO9967" s="1328"/>
      <c r="IXQ9967" s="1328"/>
      <c r="IXR9967" s="1328">
        <v>8919645.2799999993</v>
      </c>
      <c r="IXS9967" s="1328"/>
      <c r="IXU9967" s="1328"/>
      <c r="IXV9967" s="1328"/>
      <c r="IXW9967" s="1328"/>
      <c r="IXY9967" s="1328"/>
      <c r="IXZ9967" s="1328">
        <v>8919645.2799999993</v>
      </c>
      <c r="IYA9967" s="1328"/>
      <c r="IYC9967" s="1328"/>
      <c r="IYD9967" s="1328"/>
      <c r="IYE9967" s="1328"/>
      <c r="IYG9967" s="1328"/>
      <c r="IYH9967" s="1328">
        <v>8919645.2799999993</v>
      </c>
      <c r="IYI9967" s="1328"/>
      <c r="IYK9967" s="1328"/>
      <c r="IYL9967" s="1328"/>
      <c r="IYM9967" s="1328"/>
      <c r="IYO9967" s="1328"/>
      <c r="IYP9967" s="1328">
        <v>8919645.2799999993</v>
      </c>
      <c r="IYQ9967" s="1328"/>
      <c r="IYS9967" s="1328"/>
      <c r="IYT9967" s="1328"/>
      <c r="IYU9967" s="1328"/>
      <c r="IYW9967" s="1328"/>
      <c r="IYX9967" s="1328">
        <v>8919645.2799999993</v>
      </c>
      <c r="IYY9967" s="1328"/>
      <c r="IZA9967" s="1328"/>
      <c r="IZB9967" s="1328"/>
      <c r="IZC9967" s="1328"/>
      <c r="IZE9967" s="1328"/>
      <c r="IZF9967" s="1328">
        <v>8919645.2799999993</v>
      </c>
      <c r="IZG9967" s="1328"/>
      <c r="IZI9967" s="1328"/>
      <c r="IZJ9967" s="1328"/>
      <c r="IZK9967" s="1328"/>
      <c r="IZM9967" s="1328"/>
      <c r="IZN9967" s="1328">
        <v>8919645.2799999993</v>
      </c>
      <c r="IZO9967" s="1328"/>
      <c r="IZQ9967" s="1328"/>
      <c r="IZR9967" s="1328"/>
      <c r="IZS9967" s="1328"/>
      <c r="IZU9967" s="1328"/>
      <c r="IZV9967" s="1328">
        <v>8919645.2799999993</v>
      </c>
      <c r="IZW9967" s="1328"/>
      <c r="IZY9967" s="1328"/>
      <c r="IZZ9967" s="1328"/>
      <c r="JAA9967" s="1328"/>
      <c r="JAC9967" s="1328"/>
      <c r="JAD9967" s="1328">
        <v>8919645.2799999993</v>
      </c>
      <c r="JAE9967" s="1328"/>
      <c r="JAG9967" s="1328"/>
      <c r="JAH9967" s="1328"/>
      <c r="JAI9967" s="1328"/>
      <c r="JAK9967" s="1328"/>
      <c r="JAL9967" s="1328">
        <v>8919645.2799999993</v>
      </c>
      <c r="JAM9967" s="1328"/>
      <c r="JAO9967" s="1328"/>
      <c r="JAP9967" s="1328"/>
      <c r="JAQ9967" s="1328"/>
      <c r="JAS9967" s="1328"/>
      <c r="JAT9967" s="1328">
        <v>8919645.2799999993</v>
      </c>
      <c r="JAU9967" s="1328"/>
      <c r="JAW9967" s="1328"/>
      <c r="JAX9967" s="1328"/>
      <c r="JAY9967" s="1328"/>
      <c r="JBA9967" s="1328"/>
      <c r="JBB9967" s="1328">
        <v>8919645.2799999993</v>
      </c>
      <c r="JBC9967" s="1328"/>
      <c r="JBE9967" s="1328"/>
      <c r="JBF9967" s="1328"/>
      <c r="JBG9967" s="1328"/>
      <c r="JBI9967" s="1328"/>
      <c r="JBJ9967" s="1328">
        <v>8919645.2799999993</v>
      </c>
      <c r="JBK9967" s="1328"/>
      <c r="JBM9967" s="1328"/>
      <c r="JBN9967" s="1328"/>
      <c r="JBO9967" s="1328"/>
      <c r="JBQ9967" s="1328"/>
      <c r="JBR9967" s="1328">
        <v>8919645.2799999993</v>
      </c>
      <c r="JBS9967" s="1328"/>
      <c r="JBU9967" s="1328"/>
      <c r="JBV9967" s="1328"/>
      <c r="JBW9967" s="1328"/>
      <c r="JBY9967" s="1328"/>
      <c r="JBZ9967" s="1328">
        <v>8919645.2799999993</v>
      </c>
      <c r="JCA9967" s="1328"/>
      <c r="JCC9967" s="1328"/>
      <c r="JCD9967" s="1328"/>
      <c r="JCE9967" s="1328"/>
      <c r="JCG9967" s="1328"/>
      <c r="JCH9967" s="1328">
        <v>8919645.2799999993</v>
      </c>
      <c r="JCI9967" s="1328"/>
      <c r="JCK9967" s="1328"/>
      <c r="JCL9967" s="1328"/>
      <c r="JCM9967" s="1328"/>
      <c r="JCO9967" s="1328"/>
      <c r="JCP9967" s="1328">
        <v>8919645.2799999993</v>
      </c>
      <c r="JCQ9967" s="1328"/>
      <c r="JCS9967" s="1328"/>
      <c r="JCT9967" s="1328"/>
      <c r="JCU9967" s="1328"/>
      <c r="JCW9967" s="1328"/>
      <c r="JCX9967" s="1328">
        <v>8919645.2799999993</v>
      </c>
      <c r="JCY9967" s="1328"/>
      <c r="JDA9967" s="1328"/>
      <c r="JDB9967" s="1328"/>
      <c r="JDC9967" s="1328"/>
      <c r="JDE9967" s="1328"/>
      <c r="JDF9967" s="1328">
        <v>8919645.2799999993</v>
      </c>
      <c r="JDG9967" s="1328"/>
      <c r="JDI9967" s="1328"/>
      <c r="JDJ9967" s="1328"/>
      <c r="JDK9967" s="1328"/>
      <c r="JDM9967" s="1328"/>
      <c r="JDN9967" s="1328">
        <v>8919645.2799999993</v>
      </c>
      <c r="JDO9967" s="1328"/>
      <c r="JDQ9967" s="1328"/>
      <c r="JDR9967" s="1328"/>
      <c r="JDS9967" s="1328"/>
      <c r="JDU9967" s="1328"/>
      <c r="JDV9967" s="1328">
        <v>8919645.2799999993</v>
      </c>
      <c r="JDW9967" s="1328"/>
      <c r="JDY9967" s="1328"/>
      <c r="JDZ9967" s="1328"/>
      <c r="JEA9967" s="1328"/>
      <c r="JEC9967" s="1328"/>
      <c r="JED9967" s="1328">
        <v>8919645.2799999993</v>
      </c>
      <c r="JEE9967" s="1328"/>
      <c r="JEG9967" s="1328"/>
      <c r="JEH9967" s="1328"/>
      <c r="JEI9967" s="1328"/>
      <c r="JEK9967" s="1328"/>
      <c r="JEL9967" s="1328">
        <v>8919645.2799999993</v>
      </c>
      <c r="JEM9967" s="1328"/>
      <c r="JEO9967" s="1328"/>
      <c r="JEP9967" s="1328"/>
      <c r="JEQ9967" s="1328"/>
      <c r="JES9967" s="1328"/>
      <c r="JET9967" s="1328">
        <v>8919645.2799999993</v>
      </c>
      <c r="JEU9967" s="1328"/>
      <c r="JEW9967" s="1328"/>
      <c r="JEX9967" s="1328"/>
      <c r="JEY9967" s="1328"/>
      <c r="JFA9967" s="1328"/>
      <c r="JFB9967" s="1328">
        <v>8919645.2799999993</v>
      </c>
      <c r="JFC9967" s="1328"/>
      <c r="JFE9967" s="1328"/>
      <c r="JFF9967" s="1328"/>
      <c r="JFG9967" s="1328"/>
      <c r="JFI9967" s="1328"/>
      <c r="JFJ9967" s="1328">
        <v>8919645.2799999993</v>
      </c>
      <c r="JFK9967" s="1328"/>
      <c r="JFM9967" s="1328"/>
      <c r="JFN9967" s="1328"/>
      <c r="JFO9967" s="1328"/>
      <c r="JFQ9967" s="1328"/>
      <c r="JFR9967" s="1328">
        <v>8919645.2799999993</v>
      </c>
      <c r="JFS9967" s="1328"/>
      <c r="JFU9967" s="1328"/>
      <c r="JFV9967" s="1328"/>
      <c r="JFW9967" s="1328"/>
      <c r="JFY9967" s="1328"/>
      <c r="JFZ9967" s="1328">
        <v>8919645.2799999993</v>
      </c>
      <c r="JGA9967" s="1328"/>
      <c r="JGC9967" s="1328"/>
      <c r="JGD9967" s="1328"/>
      <c r="JGE9967" s="1328"/>
      <c r="JGG9967" s="1328"/>
      <c r="JGH9967" s="1328">
        <v>8919645.2799999993</v>
      </c>
      <c r="JGI9967" s="1328"/>
      <c r="JGK9967" s="1328"/>
      <c r="JGL9967" s="1328"/>
      <c r="JGM9967" s="1328"/>
      <c r="JGO9967" s="1328"/>
      <c r="JGP9967" s="1328">
        <v>8919645.2799999993</v>
      </c>
      <c r="JGQ9967" s="1328"/>
      <c r="JGS9967" s="1328"/>
      <c r="JGT9967" s="1328"/>
      <c r="JGU9967" s="1328"/>
      <c r="JGW9967" s="1328"/>
      <c r="JGX9967" s="1328">
        <v>8919645.2799999993</v>
      </c>
      <c r="JGY9967" s="1328"/>
      <c r="JHA9967" s="1328"/>
      <c r="JHB9967" s="1328"/>
      <c r="JHC9967" s="1328"/>
      <c r="JHE9967" s="1328"/>
      <c r="JHF9967" s="1328">
        <v>8919645.2799999993</v>
      </c>
      <c r="JHG9967" s="1328"/>
      <c r="JHI9967" s="1328"/>
      <c r="JHJ9967" s="1328"/>
      <c r="JHK9967" s="1328"/>
      <c r="JHM9967" s="1328"/>
      <c r="JHN9967" s="1328">
        <v>8919645.2799999993</v>
      </c>
      <c r="JHO9967" s="1328"/>
      <c r="JHQ9967" s="1328"/>
      <c r="JHR9967" s="1328"/>
      <c r="JHS9967" s="1328"/>
      <c r="JHU9967" s="1328"/>
      <c r="JHV9967" s="1328">
        <v>8919645.2799999993</v>
      </c>
      <c r="JHW9967" s="1328"/>
      <c r="JHY9967" s="1328"/>
      <c r="JHZ9967" s="1328"/>
      <c r="JIA9967" s="1328"/>
      <c r="JIC9967" s="1328"/>
      <c r="JID9967" s="1328">
        <v>8919645.2799999993</v>
      </c>
      <c r="JIE9967" s="1328"/>
      <c r="JIG9967" s="1328"/>
      <c r="JIH9967" s="1328"/>
      <c r="JII9967" s="1328"/>
      <c r="JIK9967" s="1328"/>
      <c r="JIL9967" s="1328">
        <v>8919645.2799999993</v>
      </c>
      <c r="JIM9967" s="1328"/>
      <c r="JIO9967" s="1328"/>
      <c r="JIP9967" s="1328"/>
      <c r="JIQ9967" s="1328"/>
      <c r="JIS9967" s="1328"/>
      <c r="JIT9967" s="1328">
        <v>8919645.2799999993</v>
      </c>
      <c r="JIU9967" s="1328"/>
      <c r="JIW9967" s="1328"/>
      <c r="JIX9967" s="1328"/>
      <c r="JIY9967" s="1328"/>
      <c r="JJA9967" s="1328"/>
      <c r="JJB9967" s="1328">
        <v>8919645.2799999993</v>
      </c>
      <c r="JJC9967" s="1328"/>
      <c r="JJE9967" s="1328"/>
      <c r="JJF9967" s="1328"/>
      <c r="JJG9967" s="1328"/>
      <c r="JJI9967" s="1328"/>
      <c r="JJJ9967" s="1328">
        <v>8919645.2799999993</v>
      </c>
      <c r="JJK9967" s="1328"/>
      <c r="JJM9967" s="1328"/>
      <c r="JJN9967" s="1328"/>
      <c r="JJO9967" s="1328"/>
      <c r="JJQ9967" s="1328"/>
      <c r="JJR9967" s="1328">
        <v>8919645.2799999993</v>
      </c>
      <c r="JJS9967" s="1328"/>
      <c r="JJU9967" s="1328"/>
      <c r="JJV9967" s="1328"/>
      <c r="JJW9967" s="1328"/>
      <c r="JJY9967" s="1328"/>
      <c r="JJZ9967" s="1328">
        <v>8919645.2799999993</v>
      </c>
      <c r="JKA9967" s="1328"/>
      <c r="JKC9967" s="1328"/>
      <c r="JKD9967" s="1328"/>
      <c r="JKE9967" s="1328"/>
      <c r="JKG9967" s="1328"/>
      <c r="JKH9967" s="1328">
        <v>8919645.2799999993</v>
      </c>
      <c r="JKI9967" s="1328"/>
      <c r="JKK9967" s="1328"/>
      <c r="JKL9967" s="1328"/>
      <c r="JKM9967" s="1328"/>
      <c r="JKO9967" s="1328"/>
      <c r="JKP9967" s="1328">
        <v>8919645.2799999993</v>
      </c>
      <c r="JKQ9967" s="1328"/>
      <c r="JKS9967" s="1328"/>
      <c r="JKT9967" s="1328"/>
      <c r="JKU9967" s="1328"/>
      <c r="JKW9967" s="1328"/>
      <c r="JKX9967" s="1328">
        <v>8919645.2799999993</v>
      </c>
      <c r="JKY9967" s="1328"/>
      <c r="JLA9967" s="1328"/>
      <c r="JLB9967" s="1328"/>
      <c r="JLC9967" s="1328"/>
      <c r="JLE9967" s="1328"/>
      <c r="JLF9967" s="1328">
        <v>8919645.2799999993</v>
      </c>
      <c r="JLG9967" s="1328"/>
      <c r="JLI9967" s="1328"/>
      <c r="JLJ9967" s="1328"/>
      <c r="JLK9967" s="1328"/>
      <c r="JLM9967" s="1328"/>
      <c r="JLN9967" s="1328">
        <v>8919645.2799999993</v>
      </c>
      <c r="JLO9967" s="1328"/>
      <c r="JLQ9967" s="1328"/>
      <c r="JLR9967" s="1328"/>
      <c r="JLS9967" s="1328"/>
      <c r="JLU9967" s="1328"/>
      <c r="JLV9967" s="1328">
        <v>8919645.2799999993</v>
      </c>
      <c r="JLW9967" s="1328"/>
      <c r="JLY9967" s="1328"/>
      <c r="JLZ9967" s="1328"/>
      <c r="JMA9967" s="1328"/>
      <c r="JMC9967" s="1328"/>
      <c r="JMD9967" s="1328">
        <v>8919645.2799999993</v>
      </c>
      <c r="JME9967" s="1328"/>
      <c r="JMG9967" s="1328"/>
      <c r="JMH9967" s="1328"/>
      <c r="JMI9967" s="1328"/>
      <c r="JMK9967" s="1328"/>
      <c r="JML9967" s="1328">
        <v>8919645.2799999993</v>
      </c>
      <c r="JMM9967" s="1328"/>
      <c r="JMO9967" s="1328"/>
      <c r="JMP9967" s="1328"/>
      <c r="JMQ9967" s="1328"/>
      <c r="JMS9967" s="1328"/>
      <c r="JMT9967" s="1328">
        <v>8919645.2799999993</v>
      </c>
      <c r="JMU9967" s="1328"/>
      <c r="JMW9967" s="1328"/>
      <c r="JMX9967" s="1328"/>
      <c r="JMY9967" s="1328"/>
      <c r="JNA9967" s="1328"/>
      <c r="JNB9967" s="1328">
        <v>8919645.2799999993</v>
      </c>
      <c r="JNC9967" s="1328"/>
      <c r="JNE9967" s="1328"/>
      <c r="JNF9967" s="1328"/>
      <c r="JNG9967" s="1328"/>
      <c r="JNI9967" s="1328"/>
      <c r="JNJ9967" s="1328">
        <v>8919645.2799999993</v>
      </c>
      <c r="JNK9967" s="1328"/>
      <c r="JNM9967" s="1328"/>
      <c r="JNN9967" s="1328"/>
      <c r="JNO9967" s="1328"/>
      <c r="JNQ9967" s="1328"/>
      <c r="JNR9967" s="1328">
        <v>8919645.2799999993</v>
      </c>
      <c r="JNS9967" s="1328"/>
      <c r="JNU9967" s="1328"/>
      <c r="JNV9967" s="1328"/>
      <c r="JNW9967" s="1328"/>
      <c r="JNY9967" s="1328"/>
      <c r="JNZ9967" s="1328">
        <v>8919645.2799999993</v>
      </c>
      <c r="JOA9967" s="1328"/>
      <c r="JOC9967" s="1328"/>
      <c r="JOD9967" s="1328"/>
      <c r="JOE9967" s="1328"/>
      <c r="JOG9967" s="1328"/>
      <c r="JOH9967" s="1328">
        <v>8919645.2799999993</v>
      </c>
      <c r="JOI9967" s="1328"/>
      <c r="JOK9967" s="1328"/>
      <c r="JOL9967" s="1328"/>
      <c r="JOM9967" s="1328"/>
      <c r="JOO9967" s="1328"/>
      <c r="JOP9967" s="1328">
        <v>8919645.2799999993</v>
      </c>
      <c r="JOQ9967" s="1328"/>
      <c r="JOS9967" s="1328"/>
      <c r="JOT9967" s="1328"/>
      <c r="JOU9967" s="1328"/>
      <c r="JOW9967" s="1328"/>
      <c r="JOX9967" s="1328">
        <v>8919645.2799999993</v>
      </c>
      <c r="JOY9967" s="1328"/>
      <c r="JPA9967" s="1328"/>
      <c r="JPB9967" s="1328"/>
      <c r="JPC9967" s="1328"/>
      <c r="JPE9967" s="1328"/>
      <c r="JPF9967" s="1328">
        <v>8919645.2799999993</v>
      </c>
      <c r="JPG9967" s="1328"/>
      <c r="JPI9967" s="1328"/>
      <c r="JPJ9967" s="1328"/>
      <c r="JPK9967" s="1328"/>
      <c r="JPM9967" s="1328"/>
      <c r="JPN9967" s="1328">
        <v>8919645.2799999993</v>
      </c>
      <c r="JPO9967" s="1328"/>
      <c r="JPQ9967" s="1328"/>
      <c r="JPR9967" s="1328"/>
      <c r="JPS9967" s="1328"/>
      <c r="JPU9967" s="1328"/>
      <c r="JPV9967" s="1328">
        <v>8919645.2799999993</v>
      </c>
      <c r="JPW9967" s="1328"/>
      <c r="JPY9967" s="1328"/>
      <c r="JPZ9967" s="1328"/>
      <c r="JQA9967" s="1328"/>
      <c r="JQC9967" s="1328"/>
      <c r="JQD9967" s="1328">
        <v>8919645.2799999993</v>
      </c>
      <c r="JQE9967" s="1328"/>
      <c r="JQG9967" s="1328"/>
      <c r="JQH9967" s="1328"/>
      <c r="JQI9967" s="1328"/>
      <c r="JQK9967" s="1328"/>
      <c r="JQL9967" s="1328">
        <v>8919645.2799999993</v>
      </c>
      <c r="JQM9967" s="1328"/>
      <c r="JQO9967" s="1328"/>
      <c r="JQP9967" s="1328"/>
      <c r="JQQ9967" s="1328"/>
      <c r="JQS9967" s="1328"/>
      <c r="JQT9967" s="1328">
        <v>8919645.2799999993</v>
      </c>
      <c r="JQU9967" s="1328"/>
      <c r="JQW9967" s="1328"/>
      <c r="JQX9967" s="1328"/>
      <c r="JQY9967" s="1328"/>
      <c r="JRA9967" s="1328"/>
      <c r="JRB9967" s="1328">
        <v>8919645.2799999993</v>
      </c>
      <c r="JRC9967" s="1328"/>
      <c r="JRE9967" s="1328"/>
      <c r="JRF9967" s="1328"/>
      <c r="JRG9967" s="1328"/>
      <c r="JRI9967" s="1328"/>
      <c r="JRJ9967" s="1328">
        <v>8919645.2799999993</v>
      </c>
      <c r="JRK9967" s="1328"/>
      <c r="JRM9967" s="1328"/>
      <c r="JRN9967" s="1328"/>
      <c r="JRO9967" s="1328"/>
      <c r="JRQ9967" s="1328"/>
      <c r="JRR9967" s="1328">
        <v>8919645.2799999993</v>
      </c>
      <c r="JRS9967" s="1328"/>
      <c r="JRU9967" s="1328"/>
      <c r="JRV9967" s="1328"/>
      <c r="JRW9967" s="1328"/>
      <c r="JRY9967" s="1328"/>
      <c r="JRZ9967" s="1328">
        <v>8919645.2799999993</v>
      </c>
      <c r="JSA9967" s="1328"/>
      <c r="JSC9967" s="1328"/>
      <c r="JSD9967" s="1328"/>
      <c r="JSE9967" s="1328"/>
      <c r="JSG9967" s="1328"/>
      <c r="JSH9967" s="1328">
        <v>8919645.2799999993</v>
      </c>
      <c r="JSI9967" s="1328"/>
      <c r="JSK9967" s="1328"/>
      <c r="JSL9967" s="1328"/>
      <c r="JSM9967" s="1328"/>
      <c r="JSO9967" s="1328"/>
      <c r="JSP9967" s="1328">
        <v>8919645.2799999993</v>
      </c>
      <c r="JSQ9967" s="1328"/>
      <c r="JSS9967" s="1328"/>
      <c r="JST9967" s="1328"/>
      <c r="JSU9967" s="1328"/>
      <c r="JSW9967" s="1328"/>
      <c r="JSX9967" s="1328">
        <v>8919645.2799999993</v>
      </c>
      <c r="JSY9967" s="1328"/>
      <c r="JTA9967" s="1328"/>
      <c r="JTB9967" s="1328"/>
      <c r="JTC9967" s="1328"/>
      <c r="JTE9967" s="1328"/>
      <c r="JTF9967" s="1328">
        <v>8919645.2799999993</v>
      </c>
      <c r="JTG9967" s="1328"/>
      <c r="JTI9967" s="1328"/>
      <c r="JTJ9967" s="1328"/>
      <c r="JTK9967" s="1328"/>
      <c r="JTM9967" s="1328"/>
      <c r="JTN9967" s="1328">
        <v>8919645.2799999993</v>
      </c>
      <c r="JTO9967" s="1328"/>
      <c r="JTQ9967" s="1328"/>
      <c r="JTR9967" s="1328"/>
      <c r="JTS9967" s="1328"/>
      <c r="JTU9967" s="1328"/>
      <c r="JTV9967" s="1328">
        <v>8919645.2799999993</v>
      </c>
      <c r="JTW9967" s="1328"/>
      <c r="JTY9967" s="1328"/>
      <c r="JTZ9967" s="1328"/>
      <c r="JUA9967" s="1328"/>
      <c r="JUC9967" s="1328"/>
      <c r="JUD9967" s="1328">
        <v>8919645.2799999993</v>
      </c>
      <c r="JUE9967" s="1328"/>
      <c r="JUG9967" s="1328"/>
      <c r="JUH9967" s="1328"/>
      <c r="JUI9967" s="1328"/>
      <c r="JUK9967" s="1328"/>
      <c r="JUL9967" s="1328">
        <v>8919645.2799999993</v>
      </c>
      <c r="JUM9967" s="1328"/>
      <c r="JUO9967" s="1328"/>
      <c r="JUP9967" s="1328"/>
      <c r="JUQ9967" s="1328"/>
      <c r="JUS9967" s="1328"/>
      <c r="JUT9967" s="1328">
        <v>8919645.2799999993</v>
      </c>
      <c r="JUU9967" s="1328"/>
      <c r="JUW9967" s="1328"/>
      <c r="JUX9967" s="1328"/>
      <c r="JUY9967" s="1328"/>
      <c r="JVA9967" s="1328"/>
      <c r="JVB9967" s="1328">
        <v>8919645.2799999993</v>
      </c>
      <c r="JVC9967" s="1328"/>
      <c r="JVE9967" s="1328"/>
      <c r="JVF9967" s="1328"/>
      <c r="JVG9967" s="1328"/>
      <c r="JVI9967" s="1328"/>
      <c r="JVJ9967" s="1328">
        <v>8919645.2799999993</v>
      </c>
      <c r="JVK9967" s="1328"/>
      <c r="JVM9967" s="1328"/>
      <c r="JVN9967" s="1328"/>
      <c r="JVO9967" s="1328"/>
      <c r="JVQ9967" s="1328"/>
      <c r="JVR9967" s="1328">
        <v>8919645.2799999993</v>
      </c>
      <c r="JVS9967" s="1328"/>
      <c r="JVU9967" s="1328"/>
      <c r="JVV9967" s="1328"/>
      <c r="JVW9967" s="1328"/>
      <c r="JVY9967" s="1328"/>
      <c r="JVZ9967" s="1328">
        <v>8919645.2799999993</v>
      </c>
      <c r="JWA9967" s="1328"/>
      <c r="JWC9967" s="1328"/>
      <c r="JWD9967" s="1328"/>
      <c r="JWE9967" s="1328"/>
      <c r="JWG9967" s="1328"/>
      <c r="JWH9967" s="1328">
        <v>8919645.2799999993</v>
      </c>
      <c r="JWI9967" s="1328"/>
      <c r="JWK9967" s="1328"/>
      <c r="JWL9967" s="1328"/>
      <c r="JWM9967" s="1328"/>
      <c r="JWO9967" s="1328"/>
      <c r="JWP9967" s="1328">
        <v>8919645.2799999993</v>
      </c>
      <c r="JWQ9967" s="1328"/>
      <c r="JWS9967" s="1328"/>
      <c r="JWT9967" s="1328"/>
      <c r="JWU9967" s="1328"/>
      <c r="JWW9967" s="1328"/>
      <c r="JWX9967" s="1328">
        <v>8919645.2799999993</v>
      </c>
      <c r="JWY9967" s="1328"/>
      <c r="JXA9967" s="1328"/>
      <c r="JXB9967" s="1328"/>
      <c r="JXC9967" s="1328"/>
      <c r="JXE9967" s="1328"/>
      <c r="JXF9967" s="1328">
        <v>8919645.2799999993</v>
      </c>
      <c r="JXG9967" s="1328"/>
      <c r="JXI9967" s="1328"/>
      <c r="JXJ9967" s="1328"/>
      <c r="JXK9967" s="1328"/>
      <c r="JXM9967" s="1328"/>
      <c r="JXN9967" s="1328">
        <v>8919645.2799999993</v>
      </c>
      <c r="JXO9967" s="1328"/>
      <c r="JXQ9967" s="1328"/>
      <c r="JXR9967" s="1328"/>
      <c r="JXS9967" s="1328"/>
      <c r="JXU9967" s="1328"/>
      <c r="JXV9967" s="1328">
        <v>8919645.2799999993</v>
      </c>
      <c r="JXW9967" s="1328"/>
      <c r="JXY9967" s="1328"/>
      <c r="JXZ9967" s="1328"/>
      <c r="JYA9967" s="1328"/>
      <c r="JYC9967" s="1328"/>
      <c r="JYD9967" s="1328">
        <v>8919645.2799999993</v>
      </c>
      <c r="JYE9967" s="1328"/>
      <c r="JYG9967" s="1328"/>
      <c r="JYH9967" s="1328"/>
      <c r="JYI9967" s="1328"/>
      <c r="JYK9967" s="1328"/>
      <c r="JYL9967" s="1328">
        <v>8919645.2799999993</v>
      </c>
      <c r="JYM9967" s="1328"/>
      <c r="JYO9967" s="1328"/>
      <c r="JYP9967" s="1328"/>
      <c r="JYQ9967" s="1328"/>
      <c r="JYS9967" s="1328"/>
      <c r="JYT9967" s="1328">
        <v>8919645.2799999993</v>
      </c>
      <c r="JYU9967" s="1328"/>
      <c r="JYW9967" s="1328"/>
      <c r="JYX9967" s="1328"/>
      <c r="JYY9967" s="1328"/>
      <c r="JZA9967" s="1328"/>
      <c r="JZB9967" s="1328">
        <v>8919645.2799999993</v>
      </c>
      <c r="JZC9967" s="1328"/>
      <c r="JZE9967" s="1328"/>
      <c r="JZF9967" s="1328"/>
      <c r="JZG9967" s="1328"/>
      <c r="JZI9967" s="1328"/>
      <c r="JZJ9967" s="1328">
        <v>8919645.2799999993</v>
      </c>
      <c r="JZK9967" s="1328"/>
      <c r="JZM9967" s="1328"/>
      <c r="JZN9967" s="1328"/>
      <c r="JZO9967" s="1328"/>
      <c r="JZQ9967" s="1328"/>
      <c r="JZR9967" s="1328">
        <v>8919645.2799999993</v>
      </c>
      <c r="JZS9967" s="1328"/>
      <c r="JZU9967" s="1328"/>
      <c r="JZV9967" s="1328"/>
      <c r="JZW9967" s="1328"/>
      <c r="JZY9967" s="1328"/>
      <c r="JZZ9967" s="1328">
        <v>8919645.2799999993</v>
      </c>
      <c r="KAA9967" s="1328"/>
      <c r="KAC9967" s="1328"/>
      <c r="KAD9967" s="1328"/>
      <c r="KAE9967" s="1328"/>
      <c r="KAG9967" s="1328"/>
      <c r="KAH9967" s="1328">
        <v>8919645.2799999993</v>
      </c>
      <c r="KAI9967" s="1328"/>
      <c r="KAK9967" s="1328"/>
      <c r="KAL9967" s="1328"/>
      <c r="KAM9967" s="1328"/>
      <c r="KAO9967" s="1328"/>
      <c r="KAP9967" s="1328">
        <v>8919645.2799999993</v>
      </c>
      <c r="KAQ9967" s="1328"/>
      <c r="KAS9967" s="1328"/>
      <c r="KAT9967" s="1328"/>
      <c r="KAU9967" s="1328"/>
      <c r="KAW9967" s="1328"/>
      <c r="KAX9967" s="1328">
        <v>8919645.2799999993</v>
      </c>
      <c r="KAY9967" s="1328"/>
      <c r="KBA9967" s="1328"/>
      <c r="KBB9967" s="1328"/>
      <c r="KBC9967" s="1328"/>
      <c r="KBE9967" s="1328"/>
      <c r="KBF9967" s="1328">
        <v>8919645.2799999993</v>
      </c>
      <c r="KBG9967" s="1328"/>
      <c r="KBI9967" s="1328"/>
      <c r="KBJ9967" s="1328"/>
      <c r="KBK9967" s="1328"/>
      <c r="KBM9967" s="1328"/>
      <c r="KBN9967" s="1328">
        <v>8919645.2799999993</v>
      </c>
      <c r="KBO9967" s="1328"/>
      <c r="KBQ9967" s="1328"/>
      <c r="KBR9967" s="1328"/>
      <c r="KBS9967" s="1328"/>
      <c r="KBU9967" s="1328"/>
      <c r="KBV9967" s="1328">
        <v>8919645.2799999993</v>
      </c>
      <c r="KBW9967" s="1328"/>
      <c r="KBY9967" s="1328"/>
      <c r="KBZ9967" s="1328"/>
      <c r="KCA9967" s="1328"/>
      <c r="KCC9967" s="1328"/>
      <c r="KCD9967" s="1328">
        <v>8919645.2799999993</v>
      </c>
      <c r="KCE9967" s="1328"/>
      <c r="KCG9967" s="1328"/>
      <c r="KCH9967" s="1328"/>
      <c r="KCI9967" s="1328"/>
      <c r="KCK9967" s="1328"/>
      <c r="KCL9967" s="1328">
        <v>8919645.2799999993</v>
      </c>
      <c r="KCM9967" s="1328"/>
      <c r="KCO9967" s="1328"/>
      <c r="KCP9967" s="1328"/>
      <c r="KCQ9967" s="1328"/>
      <c r="KCS9967" s="1328"/>
      <c r="KCT9967" s="1328">
        <v>8919645.2799999993</v>
      </c>
      <c r="KCU9967" s="1328"/>
      <c r="KCW9967" s="1328"/>
      <c r="KCX9967" s="1328"/>
      <c r="KCY9967" s="1328"/>
      <c r="KDA9967" s="1328"/>
      <c r="KDB9967" s="1328">
        <v>8919645.2799999993</v>
      </c>
      <c r="KDC9967" s="1328"/>
      <c r="KDE9967" s="1328"/>
      <c r="KDF9967" s="1328"/>
      <c r="KDG9967" s="1328"/>
      <c r="KDI9967" s="1328"/>
      <c r="KDJ9967" s="1328">
        <v>8919645.2799999993</v>
      </c>
      <c r="KDK9967" s="1328"/>
      <c r="KDM9967" s="1328"/>
      <c r="KDN9967" s="1328"/>
      <c r="KDO9967" s="1328"/>
      <c r="KDQ9967" s="1328"/>
      <c r="KDR9967" s="1328">
        <v>8919645.2799999993</v>
      </c>
      <c r="KDS9967" s="1328"/>
      <c r="KDU9967" s="1328"/>
      <c r="KDV9967" s="1328"/>
      <c r="KDW9967" s="1328"/>
      <c r="KDY9967" s="1328"/>
      <c r="KDZ9967" s="1328">
        <v>8919645.2799999993</v>
      </c>
      <c r="KEA9967" s="1328"/>
      <c r="KEC9967" s="1328"/>
      <c r="KED9967" s="1328"/>
      <c r="KEE9967" s="1328"/>
      <c r="KEG9967" s="1328"/>
      <c r="KEH9967" s="1328">
        <v>8919645.2799999993</v>
      </c>
      <c r="KEI9967" s="1328"/>
      <c r="KEK9967" s="1328"/>
      <c r="KEL9967" s="1328"/>
      <c r="KEM9967" s="1328"/>
      <c r="KEO9967" s="1328"/>
      <c r="KEP9967" s="1328">
        <v>8919645.2799999993</v>
      </c>
      <c r="KEQ9967" s="1328"/>
      <c r="KES9967" s="1328"/>
      <c r="KET9967" s="1328"/>
      <c r="KEU9967" s="1328"/>
      <c r="KEW9967" s="1328"/>
      <c r="KEX9967" s="1328">
        <v>8919645.2799999993</v>
      </c>
      <c r="KEY9967" s="1328"/>
      <c r="KFA9967" s="1328"/>
      <c r="KFB9967" s="1328"/>
      <c r="KFC9967" s="1328"/>
      <c r="KFE9967" s="1328"/>
      <c r="KFF9967" s="1328">
        <v>8919645.2799999993</v>
      </c>
      <c r="KFG9967" s="1328"/>
      <c r="KFI9967" s="1328"/>
      <c r="KFJ9967" s="1328"/>
      <c r="KFK9967" s="1328"/>
      <c r="KFM9967" s="1328"/>
      <c r="KFN9967" s="1328">
        <v>8919645.2799999993</v>
      </c>
      <c r="KFO9967" s="1328"/>
      <c r="KFQ9967" s="1328"/>
      <c r="KFR9967" s="1328"/>
      <c r="KFS9967" s="1328"/>
      <c r="KFU9967" s="1328"/>
      <c r="KFV9967" s="1328">
        <v>8919645.2799999993</v>
      </c>
      <c r="KFW9967" s="1328"/>
      <c r="KFY9967" s="1328"/>
      <c r="KFZ9967" s="1328"/>
      <c r="KGA9967" s="1328"/>
      <c r="KGC9967" s="1328"/>
      <c r="KGD9967" s="1328">
        <v>8919645.2799999993</v>
      </c>
      <c r="KGE9967" s="1328"/>
      <c r="KGG9967" s="1328"/>
      <c r="KGH9967" s="1328"/>
      <c r="KGI9967" s="1328"/>
      <c r="KGK9967" s="1328"/>
      <c r="KGL9967" s="1328">
        <v>8919645.2799999993</v>
      </c>
      <c r="KGM9967" s="1328"/>
      <c r="KGO9967" s="1328"/>
      <c r="KGP9967" s="1328"/>
      <c r="KGQ9967" s="1328"/>
      <c r="KGS9967" s="1328"/>
      <c r="KGT9967" s="1328">
        <v>8919645.2799999993</v>
      </c>
      <c r="KGU9967" s="1328"/>
      <c r="KGW9967" s="1328"/>
      <c r="KGX9967" s="1328"/>
      <c r="KGY9967" s="1328"/>
      <c r="KHA9967" s="1328"/>
      <c r="KHB9967" s="1328">
        <v>8919645.2799999993</v>
      </c>
      <c r="KHC9967" s="1328"/>
      <c r="KHE9967" s="1328"/>
      <c r="KHF9967" s="1328"/>
      <c r="KHG9967" s="1328"/>
      <c r="KHI9967" s="1328"/>
      <c r="KHJ9967" s="1328">
        <v>8919645.2799999993</v>
      </c>
      <c r="KHK9967" s="1328"/>
      <c r="KHM9967" s="1328"/>
      <c r="KHN9967" s="1328"/>
      <c r="KHO9967" s="1328"/>
      <c r="KHQ9967" s="1328"/>
      <c r="KHR9967" s="1328">
        <v>8919645.2799999993</v>
      </c>
      <c r="KHS9967" s="1328"/>
      <c r="KHU9967" s="1328"/>
      <c r="KHV9967" s="1328"/>
      <c r="KHW9967" s="1328"/>
      <c r="KHY9967" s="1328"/>
      <c r="KHZ9967" s="1328">
        <v>8919645.2799999993</v>
      </c>
      <c r="KIA9967" s="1328"/>
      <c r="KIC9967" s="1328"/>
      <c r="KID9967" s="1328"/>
      <c r="KIE9967" s="1328"/>
      <c r="KIG9967" s="1328"/>
      <c r="KIH9967" s="1328">
        <v>8919645.2799999993</v>
      </c>
      <c r="KII9967" s="1328"/>
      <c r="KIK9967" s="1328"/>
      <c r="KIL9967" s="1328"/>
      <c r="KIM9967" s="1328"/>
      <c r="KIO9967" s="1328"/>
      <c r="KIP9967" s="1328">
        <v>8919645.2799999993</v>
      </c>
      <c r="KIQ9967" s="1328"/>
      <c r="KIS9967" s="1328"/>
      <c r="KIT9967" s="1328"/>
      <c r="KIU9967" s="1328"/>
      <c r="KIW9967" s="1328"/>
      <c r="KIX9967" s="1328">
        <v>8919645.2799999993</v>
      </c>
      <c r="KIY9967" s="1328"/>
      <c r="KJA9967" s="1328"/>
      <c r="KJB9967" s="1328"/>
      <c r="KJC9967" s="1328"/>
      <c r="KJE9967" s="1328"/>
      <c r="KJF9967" s="1328">
        <v>8919645.2799999993</v>
      </c>
      <c r="KJG9967" s="1328"/>
      <c r="KJI9967" s="1328"/>
      <c r="KJJ9967" s="1328"/>
      <c r="KJK9967" s="1328"/>
      <c r="KJM9967" s="1328"/>
      <c r="KJN9967" s="1328">
        <v>8919645.2799999993</v>
      </c>
      <c r="KJO9967" s="1328"/>
      <c r="KJQ9967" s="1328"/>
      <c r="KJR9967" s="1328"/>
      <c r="KJS9967" s="1328"/>
      <c r="KJU9967" s="1328"/>
      <c r="KJV9967" s="1328">
        <v>8919645.2799999993</v>
      </c>
      <c r="KJW9967" s="1328"/>
      <c r="KJY9967" s="1328"/>
      <c r="KJZ9967" s="1328"/>
      <c r="KKA9967" s="1328"/>
      <c r="KKC9967" s="1328"/>
      <c r="KKD9967" s="1328">
        <v>8919645.2799999993</v>
      </c>
      <c r="KKE9967" s="1328"/>
      <c r="KKG9967" s="1328"/>
      <c r="KKH9967" s="1328"/>
      <c r="KKI9967" s="1328"/>
      <c r="KKK9967" s="1328"/>
      <c r="KKL9967" s="1328">
        <v>8919645.2799999993</v>
      </c>
      <c r="KKM9967" s="1328"/>
      <c r="KKO9967" s="1328"/>
      <c r="KKP9967" s="1328"/>
      <c r="KKQ9967" s="1328"/>
      <c r="KKS9967" s="1328"/>
      <c r="KKT9967" s="1328">
        <v>8919645.2799999993</v>
      </c>
      <c r="KKU9967" s="1328"/>
      <c r="KKW9967" s="1328"/>
      <c r="KKX9967" s="1328"/>
      <c r="KKY9967" s="1328"/>
      <c r="KLA9967" s="1328"/>
      <c r="KLB9967" s="1328">
        <v>8919645.2799999993</v>
      </c>
      <c r="KLC9967" s="1328"/>
      <c r="KLE9967" s="1328"/>
      <c r="KLF9967" s="1328"/>
      <c r="KLG9967" s="1328"/>
      <c r="KLI9967" s="1328"/>
      <c r="KLJ9967" s="1328">
        <v>8919645.2799999993</v>
      </c>
      <c r="KLK9967" s="1328"/>
      <c r="KLM9967" s="1328"/>
      <c r="KLN9967" s="1328"/>
      <c r="KLO9967" s="1328"/>
      <c r="KLQ9967" s="1328"/>
      <c r="KLR9967" s="1328">
        <v>8919645.2799999993</v>
      </c>
      <c r="KLS9967" s="1328"/>
      <c r="KLU9967" s="1328"/>
      <c r="KLV9967" s="1328"/>
      <c r="KLW9967" s="1328"/>
      <c r="KLY9967" s="1328"/>
      <c r="KLZ9967" s="1328">
        <v>8919645.2799999993</v>
      </c>
      <c r="KMA9967" s="1328"/>
      <c r="KMC9967" s="1328"/>
      <c r="KMD9967" s="1328"/>
      <c r="KME9967" s="1328"/>
      <c r="KMG9967" s="1328"/>
      <c r="KMH9967" s="1328">
        <v>8919645.2799999993</v>
      </c>
      <c r="KMI9967" s="1328"/>
      <c r="KMK9967" s="1328"/>
      <c r="KML9967" s="1328"/>
      <c r="KMM9967" s="1328"/>
      <c r="KMO9967" s="1328"/>
      <c r="KMP9967" s="1328">
        <v>8919645.2799999993</v>
      </c>
      <c r="KMQ9967" s="1328"/>
      <c r="KMS9967" s="1328"/>
      <c r="KMT9967" s="1328"/>
      <c r="KMU9967" s="1328"/>
      <c r="KMW9967" s="1328"/>
      <c r="KMX9967" s="1328">
        <v>8919645.2799999993</v>
      </c>
      <c r="KMY9967" s="1328"/>
      <c r="KNA9967" s="1328"/>
      <c r="KNB9967" s="1328"/>
      <c r="KNC9967" s="1328"/>
      <c r="KNE9967" s="1328"/>
      <c r="KNF9967" s="1328">
        <v>8919645.2799999993</v>
      </c>
      <c r="KNG9967" s="1328"/>
      <c r="KNI9967" s="1328"/>
      <c r="KNJ9967" s="1328"/>
      <c r="KNK9967" s="1328"/>
      <c r="KNM9967" s="1328"/>
      <c r="KNN9967" s="1328">
        <v>8919645.2799999993</v>
      </c>
      <c r="KNO9967" s="1328"/>
      <c r="KNQ9967" s="1328"/>
      <c r="KNR9967" s="1328"/>
      <c r="KNS9967" s="1328"/>
      <c r="KNU9967" s="1328"/>
      <c r="KNV9967" s="1328">
        <v>8919645.2799999993</v>
      </c>
      <c r="KNW9967" s="1328"/>
      <c r="KNY9967" s="1328"/>
      <c r="KNZ9967" s="1328"/>
      <c r="KOA9967" s="1328"/>
      <c r="KOC9967" s="1328"/>
      <c r="KOD9967" s="1328">
        <v>8919645.2799999993</v>
      </c>
      <c r="KOE9967" s="1328"/>
      <c r="KOG9967" s="1328"/>
      <c r="KOH9967" s="1328"/>
      <c r="KOI9967" s="1328"/>
      <c r="KOK9967" s="1328"/>
      <c r="KOL9967" s="1328">
        <v>8919645.2799999993</v>
      </c>
      <c r="KOM9967" s="1328"/>
      <c r="KOO9967" s="1328"/>
      <c r="KOP9967" s="1328"/>
      <c r="KOQ9967" s="1328"/>
      <c r="KOS9967" s="1328"/>
      <c r="KOT9967" s="1328">
        <v>8919645.2799999993</v>
      </c>
      <c r="KOU9967" s="1328"/>
      <c r="KOW9967" s="1328"/>
      <c r="KOX9967" s="1328"/>
      <c r="KOY9967" s="1328"/>
      <c r="KPA9967" s="1328"/>
      <c r="KPB9967" s="1328">
        <v>8919645.2799999993</v>
      </c>
      <c r="KPC9967" s="1328"/>
      <c r="KPE9967" s="1328"/>
      <c r="KPF9967" s="1328"/>
      <c r="KPG9967" s="1328"/>
      <c r="KPI9967" s="1328"/>
      <c r="KPJ9967" s="1328">
        <v>8919645.2799999993</v>
      </c>
      <c r="KPK9967" s="1328"/>
      <c r="KPM9967" s="1328"/>
      <c r="KPN9967" s="1328"/>
      <c r="KPO9967" s="1328"/>
      <c r="KPQ9967" s="1328"/>
      <c r="KPR9967" s="1328">
        <v>8919645.2799999993</v>
      </c>
      <c r="KPS9967" s="1328"/>
      <c r="KPU9967" s="1328"/>
      <c r="KPV9967" s="1328"/>
      <c r="KPW9967" s="1328"/>
      <c r="KPY9967" s="1328"/>
      <c r="KPZ9967" s="1328">
        <v>8919645.2799999993</v>
      </c>
      <c r="KQA9967" s="1328"/>
      <c r="KQC9967" s="1328"/>
      <c r="KQD9967" s="1328"/>
      <c r="KQE9967" s="1328"/>
      <c r="KQG9967" s="1328"/>
      <c r="KQH9967" s="1328">
        <v>8919645.2799999993</v>
      </c>
      <c r="KQI9967" s="1328"/>
      <c r="KQK9967" s="1328"/>
      <c r="KQL9967" s="1328"/>
      <c r="KQM9967" s="1328"/>
      <c r="KQO9967" s="1328"/>
      <c r="KQP9967" s="1328">
        <v>8919645.2799999993</v>
      </c>
      <c r="KQQ9967" s="1328"/>
      <c r="KQS9967" s="1328"/>
      <c r="KQT9967" s="1328"/>
      <c r="KQU9967" s="1328"/>
      <c r="KQW9967" s="1328"/>
      <c r="KQX9967" s="1328">
        <v>8919645.2799999993</v>
      </c>
      <c r="KQY9967" s="1328"/>
      <c r="KRA9967" s="1328"/>
      <c r="KRB9967" s="1328"/>
      <c r="KRC9967" s="1328"/>
      <c r="KRE9967" s="1328"/>
      <c r="KRF9967" s="1328">
        <v>8919645.2799999993</v>
      </c>
      <c r="KRG9967" s="1328"/>
      <c r="KRI9967" s="1328"/>
      <c r="KRJ9967" s="1328"/>
      <c r="KRK9967" s="1328"/>
      <c r="KRM9967" s="1328"/>
      <c r="KRN9967" s="1328">
        <v>8919645.2799999993</v>
      </c>
      <c r="KRO9967" s="1328"/>
      <c r="KRQ9967" s="1328"/>
      <c r="KRR9967" s="1328"/>
      <c r="KRS9967" s="1328"/>
      <c r="KRU9967" s="1328"/>
      <c r="KRV9967" s="1328">
        <v>8919645.2799999993</v>
      </c>
      <c r="KRW9967" s="1328"/>
      <c r="KRY9967" s="1328"/>
      <c r="KRZ9967" s="1328"/>
      <c r="KSA9967" s="1328"/>
      <c r="KSC9967" s="1328"/>
      <c r="KSD9967" s="1328">
        <v>8919645.2799999993</v>
      </c>
      <c r="KSE9967" s="1328"/>
      <c r="KSG9967" s="1328"/>
      <c r="KSH9967" s="1328"/>
      <c r="KSI9967" s="1328"/>
      <c r="KSK9967" s="1328"/>
      <c r="KSL9967" s="1328">
        <v>8919645.2799999993</v>
      </c>
      <c r="KSM9967" s="1328"/>
      <c r="KSO9967" s="1328"/>
      <c r="KSP9967" s="1328"/>
      <c r="KSQ9967" s="1328"/>
      <c r="KSS9967" s="1328"/>
      <c r="KST9967" s="1328">
        <v>8919645.2799999993</v>
      </c>
      <c r="KSU9967" s="1328"/>
      <c r="KSW9967" s="1328"/>
      <c r="KSX9967" s="1328"/>
      <c r="KSY9967" s="1328"/>
      <c r="KTA9967" s="1328"/>
      <c r="KTB9967" s="1328">
        <v>8919645.2799999993</v>
      </c>
      <c r="KTC9967" s="1328"/>
      <c r="KTE9967" s="1328"/>
      <c r="KTF9967" s="1328"/>
      <c r="KTG9967" s="1328"/>
      <c r="KTI9967" s="1328"/>
      <c r="KTJ9967" s="1328">
        <v>8919645.2799999993</v>
      </c>
      <c r="KTK9967" s="1328"/>
      <c r="KTM9967" s="1328"/>
      <c r="KTN9967" s="1328"/>
      <c r="KTO9967" s="1328"/>
      <c r="KTQ9967" s="1328"/>
      <c r="KTR9967" s="1328">
        <v>8919645.2799999993</v>
      </c>
      <c r="KTS9967" s="1328"/>
      <c r="KTU9967" s="1328"/>
      <c r="KTV9967" s="1328"/>
      <c r="KTW9967" s="1328"/>
      <c r="KTY9967" s="1328"/>
      <c r="KTZ9967" s="1328">
        <v>8919645.2799999993</v>
      </c>
      <c r="KUA9967" s="1328"/>
      <c r="KUC9967" s="1328"/>
      <c r="KUD9967" s="1328"/>
      <c r="KUE9967" s="1328"/>
      <c r="KUG9967" s="1328"/>
      <c r="KUH9967" s="1328">
        <v>8919645.2799999993</v>
      </c>
      <c r="KUI9967" s="1328"/>
      <c r="KUK9967" s="1328"/>
      <c r="KUL9967" s="1328"/>
      <c r="KUM9967" s="1328"/>
      <c r="KUO9967" s="1328"/>
      <c r="KUP9967" s="1328">
        <v>8919645.2799999993</v>
      </c>
      <c r="KUQ9967" s="1328"/>
      <c r="KUS9967" s="1328"/>
      <c r="KUT9967" s="1328"/>
      <c r="KUU9967" s="1328"/>
      <c r="KUW9967" s="1328"/>
      <c r="KUX9967" s="1328">
        <v>8919645.2799999993</v>
      </c>
      <c r="KUY9967" s="1328"/>
      <c r="KVA9967" s="1328"/>
      <c r="KVB9967" s="1328"/>
      <c r="KVC9967" s="1328"/>
      <c r="KVE9967" s="1328"/>
      <c r="KVF9967" s="1328">
        <v>8919645.2799999993</v>
      </c>
      <c r="KVG9967" s="1328"/>
      <c r="KVI9967" s="1328"/>
      <c r="KVJ9967" s="1328"/>
      <c r="KVK9967" s="1328"/>
      <c r="KVM9967" s="1328"/>
      <c r="KVN9967" s="1328">
        <v>8919645.2799999993</v>
      </c>
      <c r="KVO9967" s="1328"/>
      <c r="KVQ9967" s="1328"/>
      <c r="KVR9967" s="1328"/>
      <c r="KVS9967" s="1328"/>
      <c r="KVU9967" s="1328"/>
      <c r="KVV9967" s="1328">
        <v>8919645.2799999993</v>
      </c>
      <c r="KVW9967" s="1328"/>
      <c r="KVY9967" s="1328"/>
      <c r="KVZ9967" s="1328"/>
      <c r="KWA9967" s="1328"/>
      <c r="KWC9967" s="1328"/>
      <c r="KWD9967" s="1328">
        <v>8919645.2799999993</v>
      </c>
      <c r="KWE9967" s="1328"/>
      <c r="KWG9967" s="1328"/>
      <c r="KWH9967" s="1328"/>
      <c r="KWI9967" s="1328"/>
      <c r="KWK9967" s="1328"/>
      <c r="KWL9967" s="1328">
        <v>8919645.2799999993</v>
      </c>
      <c r="KWM9967" s="1328"/>
      <c r="KWO9967" s="1328"/>
      <c r="KWP9967" s="1328"/>
      <c r="KWQ9967" s="1328"/>
      <c r="KWS9967" s="1328"/>
      <c r="KWT9967" s="1328">
        <v>8919645.2799999993</v>
      </c>
      <c r="KWU9967" s="1328"/>
      <c r="KWW9967" s="1328"/>
      <c r="KWX9967" s="1328"/>
      <c r="KWY9967" s="1328"/>
      <c r="KXA9967" s="1328"/>
      <c r="KXB9967" s="1328">
        <v>8919645.2799999993</v>
      </c>
      <c r="KXC9967" s="1328"/>
      <c r="KXE9967" s="1328"/>
      <c r="KXF9967" s="1328"/>
      <c r="KXG9967" s="1328"/>
      <c r="KXI9967" s="1328"/>
      <c r="KXJ9967" s="1328">
        <v>8919645.2799999993</v>
      </c>
      <c r="KXK9967" s="1328"/>
      <c r="KXM9967" s="1328"/>
      <c r="KXN9967" s="1328"/>
      <c r="KXO9967" s="1328"/>
      <c r="KXQ9967" s="1328"/>
      <c r="KXR9967" s="1328">
        <v>8919645.2799999993</v>
      </c>
      <c r="KXS9967" s="1328"/>
      <c r="KXU9967" s="1328"/>
      <c r="KXV9967" s="1328"/>
      <c r="KXW9967" s="1328"/>
      <c r="KXY9967" s="1328"/>
      <c r="KXZ9967" s="1328">
        <v>8919645.2799999993</v>
      </c>
      <c r="KYA9967" s="1328"/>
      <c r="KYC9967" s="1328"/>
      <c r="KYD9967" s="1328"/>
      <c r="KYE9967" s="1328"/>
      <c r="KYG9967" s="1328"/>
      <c r="KYH9967" s="1328">
        <v>8919645.2799999993</v>
      </c>
      <c r="KYI9967" s="1328"/>
      <c r="KYK9967" s="1328"/>
      <c r="KYL9967" s="1328"/>
      <c r="KYM9967" s="1328"/>
      <c r="KYO9967" s="1328"/>
      <c r="KYP9967" s="1328">
        <v>8919645.2799999993</v>
      </c>
      <c r="KYQ9967" s="1328"/>
      <c r="KYS9967" s="1328"/>
      <c r="KYT9967" s="1328"/>
      <c r="KYU9967" s="1328"/>
      <c r="KYW9967" s="1328"/>
      <c r="KYX9967" s="1328">
        <v>8919645.2799999993</v>
      </c>
      <c r="KYY9967" s="1328"/>
      <c r="KZA9967" s="1328"/>
      <c r="KZB9967" s="1328"/>
      <c r="KZC9967" s="1328"/>
      <c r="KZE9967" s="1328"/>
      <c r="KZF9967" s="1328">
        <v>8919645.2799999993</v>
      </c>
      <c r="KZG9967" s="1328"/>
      <c r="KZI9967" s="1328"/>
      <c r="KZJ9967" s="1328"/>
      <c r="KZK9967" s="1328"/>
      <c r="KZM9967" s="1328"/>
      <c r="KZN9967" s="1328">
        <v>8919645.2799999993</v>
      </c>
      <c r="KZO9967" s="1328"/>
      <c r="KZQ9967" s="1328"/>
      <c r="KZR9967" s="1328"/>
      <c r="KZS9967" s="1328"/>
      <c r="KZU9967" s="1328"/>
      <c r="KZV9967" s="1328">
        <v>8919645.2799999993</v>
      </c>
      <c r="KZW9967" s="1328"/>
      <c r="KZY9967" s="1328"/>
      <c r="KZZ9967" s="1328"/>
      <c r="LAA9967" s="1328"/>
      <c r="LAC9967" s="1328"/>
      <c r="LAD9967" s="1328">
        <v>8919645.2799999993</v>
      </c>
      <c r="LAE9967" s="1328"/>
      <c r="LAG9967" s="1328"/>
      <c r="LAH9967" s="1328"/>
      <c r="LAI9967" s="1328"/>
      <c r="LAK9967" s="1328"/>
      <c r="LAL9967" s="1328">
        <v>8919645.2799999993</v>
      </c>
      <c r="LAM9967" s="1328"/>
      <c r="LAO9967" s="1328"/>
      <c r="LAP9967" s="1328"/>
      <c r="LAQ9967" s="1328"/>
      <c r="LAS9967" s="1328"/>
      <c r="LAT9967" s="1328">
        <v>8919645.2799999993</v>
      </c>
      <c r="LAU9967" s="1328"/>
      <c r="LAW9967" s="1328"/>
      <c r="LAX9967" s="1328"/>
      <c r="LAY9967" s="1328"/>
      <c r="LBA9967" s="1328"/>
      <c r="LBB9967" s="1328">
        <v>8919645.2799999993</v>
      </c>
      <c r="LBC9967" s="1328"/>
      <c r="LBE9967" s="1328"/>
      <c r="LBF9967" s="1328"/>
      <c r="LBG9967" s="1328"/>
      <c r="LBI9967" s="1328"/>
      <c r="LBJ9967" s="1328">
        <v>8919645.2799999993</v>
      </c>
      <c r="LBK9967" s="1328"/>
      <c r="LBM9967" s="1328"/>
      <c r="LBN9967" s="1328"/>
      <c r="LBO9967" s="1328"/>
      <c r="LBQ9967" s="1328"/>
      <c r="LBR9967" s="1328">
        <v>8919645.2799999993</v>
      </c>
      <c r="LBS9967" s="1328"/>
      <c r="LBU9967" s="1328"/>
      <c r="LBV9967" s="1328"/>
      <c r="LBW9967" s="1328"/>
      <c r="LBY9967" s="1328"/>
      <c r="LBZ9967" s="1328">
        <v>8919645.2799999993</v>
      </c>
      <c r="LCA9967" s="1328"/>
      <c r="LCC9967" s="1328"/>
      <c r="LCD9967" s="1328"/>
      <c r="LCE9967" s="1328"/>
      <c r="LCG9967" s="1328"/>
      <c r="LCH9967" s="1328">
        <v>8919645.2799999993</v>
      </c>
      <c r="LCI9967" s="1328"/>
      <c r="LCK9967" s="1328"/>
      <c r="LCL9967" s="1328"/>
      <c r="LCM9967" s="1328"/>
      <c r="LCO9967" s="1328"/>
      <c r="LCP9967" s="1328">
        <v>8919645.2799999993</v>
      </c>
      <c r="LCQ9967" s="1328"/>
      <c r="LCS9967" s="1328"/>
      <c r="LCT9967" s="1328"/>
      <c r="LCU9967" s="1328"/>
      <c r="LCW9967" s="1328"/>
      <c r="LCX9967" s="1328">
        <v>8919645.2799999993</v>
      </c>
      <c r="LCY9967" s="1328"/>
      <c r="LDA9967" s="1328"/>
      <c r="LDB9967" s="1328"/>
      <c r="LDC9967" s="1328"/>
      <c r="LDE9967" s="1328"/>
      <c r="LDF9967" s="1328">
        <v>8919645.2799999993</v>
      </c>
      <c r="LDG9967" s="1328"/>
      <c r="LDI9967" s="1328"/>
      <c r="LDJ9967" s="1328"/>
      <c r="LDK9967" s="1328"/>
      <c r="LDM9967" s="1328"/>
      <c r="LDN9967" s="1328">
        <v>8919645.2799999993</v>
      </c>
      <c r="LDO9967" s="1328"/>
      <c r="LDQ9967" s="1328"/>
      <c r="LDR9967" s="1328"/>
      <c r="LDS9967" s="1328"/>
      <c r="LDU9967" s="1328"/>
      <c r="LDV9967" s="1328">
        <v>8919645.2799999993</v>
      </c>
      <c r="LDW9967" s="1328"/>
      <c r="LDY9967" s="1328"/>
      <c r="LDZ9967" s="1328"/>
      <c r="LEA9967" s="1328"/>
      <c r="LEC9967" s="1328"/>
      <c r="LED9967" s="1328">
        <v>8919645.2799999993</v>
      </c>
      <c r="LEE9967" s="1328"/>
      <c r="LEG9967" s="1328"/>
      <c r="LEH9967" s="1328"/>
      <c r="LEI9967" s="1328"/>
      <c r="LEK9967" s="1328"/>
      <c r="LEL9967" s="1328">
        <v>8919645.2799999993</v>
      </c>
      <c r="LEM9967" s="1328"/>
      <c r="LEO9967" s="1328"/>
      <c r="LEP9967" s="1328"/>
      <c r="LEQ9967" s="1328"/>
      <c r="LES9967" s="1328"/>
      <c r="LET9967" s="1328">
        <v>8919645.2799999993</v>
      </c>
      <c r="LEU9967" s="1328"/>
      <c r="LEW9967" s="1328"/>
      <c r="LEX9967" s="1328"/>
      <c r="LEY9967" s="1328"/>
      <c r="LFA9967" s="1328"/>
      <c r="LFB9967" s="1328">
        <v>8919645.2799999993</v>
      </c>
      <c r="LFC9967" s="1328"/>
      <c r="LFE9967" s="1328"/>
      <c r="LFF9967" s="1328"/>
      <c r="LFG9967" s="1328"/>
      <c r="LFI9967" s="1328"/>
      <c r="LFJ9967" s="1328">
        <v>8919645.2799999993</v>
      </c>
      <c r="LFK9967" s="1328"/>
      <c r="LFM9967" s="1328"/>
      <c r="LFN9967" s="1328"/>
      <c r="LFO9967" s="1328"/>
      <c r="LFQ9967" s="1328"/>
      <c r="LFR9967" s="1328">
        <v>8919645.2799999993</v>
      </c>
      <c r="LFS9967" s="1328"/>
      <c r="LFU9967" s="1328"/>
      <c r="LFV9967" s="1328"/>
      <c r="LFW9967" s="1328"/>
      <c r="LFY9967" s="1328"/>
      <c r="LFZ9967" s="1328">
        <v>8919645.2799999993</v>
      </c>
      <c r="LGA9967" s="1328"/>
      <c r="LGC9967" s="1328"/>
      <c r="LGD9967" s="1328"/>
      <c r="LGE9967" s="1328"/>
      <c r="LGG9967" s="1328"/>
      <c r="LGH9967" s="1328">
        <v>8919645.2799999993</v>
      </c>
      <c r="LGI9967" s="1328"/>
      <c r="LGK9967" s="1328"/>
      <c r="LGL9967" s="1328"/>
      <c r="LGM9967" s="1328"/>
      <c r="LGO9967" s="1328"/>
      <c r="LGP9967" s="1328">
        <v>8919645.2799999993</v>
      </c>
      <c r="LGQ9967" s="1328"/>
      <c r="LGS9967" s="1328"/>
      <c r="LGT9967" s="1328"/>
      <c r="LGU9967" s="1328"/>
      <c r="LGW9967" s="1328"/>
      <c r="LGX9967" s="1328">
        <v>8919645.2799999993</v>
      </c>
      <c r="LGY9967" s="1328"/>
      <c r="LHA9967" s="1328"/>
      <c r="LHB9967" s="1328"/>
      <c r="LHC9967" s="1328"/>
      <c r="LHE9967" s="1328"/>
      <c r="LHF9967" s="1328">
        <v>8919645.2799999993</v>
      </c>
      <c r="LHG9967" s="1328"/>
      <c r="LHI9967" s="1328"/>
      <c r="LHJ9967" s="1328"/>
      <c r="LHK9967" s="1328"/>
      <c r="LHM9967" s="1328"/>
      <c r="LHN9967" s="1328">
        <v>8919645.2799999993</v>
      </c>
      <c r="LHO9967" s="1328"/>
      <c r="LHQ9967" s="1328"/>
      <c r="LHR9967" s="1328"/>
      <c r="LHS9967" s="1328"/>
      <c r="LHU9967" s="1328"/>
      <c r="LHV9967" s="1328">
        <v>8919645.2799999993</v>
      </c>
      <c r="LHW9967" s="1328"/>
      <c r="LHY9967" s="1328"/>
      <c r="LHZ9967" s="1328"/>
      <c r="LIA9967" s="1328"/>
      <c r="LIC9967" s="1328"/>
      <c r="LID9967" s="1328">
        <v>8919645.2799999993</v>
      </c>
      <c r="LIE9967" s="1328"/>
      <c r="LIG9967" s="1328"/>
      <c r="LIH9967" s="1328"/>
      <c r="LII9967" s="1328"/>
      <c r="LIK9967" s="1328"/>
      <c r="LIL9967" s="1328">
        <v>8919645.2799999993</v>
      </c>
      <c r="LIM9967" s="1328"/>
      <c r="LIO9967" s="1328"/>
      <c r="LIP9967" s="1328"/>
      <c r="LIQ9967" s="1328"/>
      <c r="LIS9967" s="1328"/>
      <c r="LIT9967" s="1328">
        <v>8919645.2799999993</v>
      </c>
      <c r="LIU9967" s="1328"/>
      <c r="LIW9967" s="1328"/>
      <c r="LIX9967" s="1328"/>
      <c r="LIY9967" s="1328"/>
      <c r="LJA9967" s="1328"/>
      <c r="LJB9967" s="1328">
        <v>8919645.2799999993</v>
      </c>
      <c r="LJC9967" s="1328"/>
      <c r="LJE9967" s="1328"/>
      <c r="LJF9967" s="1328"/>
      <c r="LJG9967" s="1328"/>
      <c r="LJI9967" s="1328"/>
      <c r="LJJ9967" s="1328">
        <v>8919645.2799999993</v>
      </c>
      <c r="LJK9967" s="1328"/>
      <c r="LJM9967" s="1328"/>
      <c r="LJN9967" s="1328"/>
      <c r="LJO9967" s="1328"/>
      <c r="LJQ9967" s="1328"/>
      <c r="LJR9967" s="1328">
        <v>8919645.2799999993</v>
      </c>
      <c r="LJS9967" s="1328"/>
      <c r="LJU9967" s="1328"/>
      <c r="LJV9967" s="1328"/>
      <c r="LJW9967" s="1328"/>
      <c r="LJY9967" s="1328"/>
      <c r="LJZ9967" s="1328">
        <v>8919645.2799999993</v>
      </c>
      <c r="LKA9967" s="1328"/>
      <c r="LKC9967" s="1328"/>
      <c r="LKD9967" s="1328"/>
      <c r="LKE9967" s="1328"/>
      <c r="LKG9967" s="1328"/>
      <c r="LKH9967" s="1328">
        <v>8919645.2799999993</v>
      </c>
      <c r="LKI9967" s="1328"/>
      <c r="LKK9967" s="1328"/>
      <c r="LKL9967" s="1328"/>
      <c r="LKM9967" s="1328"/>
      <c r="LKO9967" s="1328"/>
      <c r="LKP9967" s="1328">
        <v>8919645.2799999993</v>
      </c>
      <c r="LKQ9967" s="1328"/>
      <c r="LKS9967" s="1328"/>
      <c r="LKT9967" s="1328"/>
      <c r="LKU9967" s="1328"/>
      <c r="LKW9967" s="1328"/>
      <c r="LKX9967" s="1328">
        <v>8919645.2799999993</v>
      </c>
      <c r="LKY9967" s="1328"/>
      <c r="LLA9967" s="1328"/>
      <c r="LLB9967" s="1328"/>
      <c r="LLC9967" s="1328"/>
      <c r="LLE9967" s="1328"/>
      <c r="LLF9967" s="1328">
        <v>8919645.2799999993</v>
      </c>
      <c r="LLG9967" s="1328"/>
      <c r="LLI9967" s="1328"/>
      <c r="LLJ9967" s="1328"/>
      <c r="LLK9967" s="1328"/>
      <c r="LLM9967" s="1328"/>
      <c r="LLN9967" s="1328">
        <v>8919645.2799999993</v>
      </c>
      <c r="LLO9967" s="1328"/>
      <c r="LLQ9967" s="1328"/>
      <c r="LLR9967" s="1328"/>
      <c r="LLS9967" s="1328"/>
      <c r="LLU9967" s="1328"/>
      <c r="LLV9967" s="1328">
        <v>8919645.2799999993</v>
      </c>
      <c r="LLW9967" s="1328"/>
      <c r="LLY9967" s="1328"/>
      <c r="LLZ9967" s="1328"/>
      <c r="LMA9967" s="1328"/>
      <c r="LMC9967" s="1328"/>
      <c r="LMD9967" s="1328">
        <v>8919645.2799999993</v>
      </c>
      <c r="LME9967" s="1328"/>
      <c r="LMG9967" s="1328"/>
      <c r="LMH9967" s="1328"/>
      <c r="LMI9967" s="1328"/>
      <c r="LMK9967" s="1328"/>
      <c r="LML9967" s="1328">
        <v>8919645.2799999993</v>
      </c>
      <c r="LMM9967" s="1328"/>
      <c r="LMO9967" s="1328"/>
      <c r="LMP9967" s="1328"/>
      <c r="LMQ9967" s="1328"/>
      <c r="LMS9967" s="1328"/>
      <c r="LMT9967" s="1328">
        <v>8919645.2799999993</v>
      </c>
      <c r="LMU9967" s="1328"/>
      <c r="LMW9967" s="1328"/>
      <c r="LMX9967" s="1328"/>
      <c r="LMY9967" s="1328"/>
      <c r="LNA9967" s="1328"/>
      <c r="LNB9967" s="1328">
        <v>8919645.2799999993</v>
      </c>
      <c r="LNC9967" s="1328"/>
      <c r="LNE9967" s="1328"/>
      <c r="LNF9967" s="1328"/>
      <c r="LNG9967" s="1328"/>
      <c r="LNI9967" s="1328"/>
      <c r="LNJ9967" s="1328">
        <v>8919645.2799999993</v>
      </c>
      <c r="LNK9967" s="1328"/>
      <c r="LNM9967" s="1328"/>
      <c r="LNN9967" s="1328"/>
      <c r="LNO9967" s="1328"/>
      <c r="LNQ9967" s="1328"/>
      <c r="LNR9967" s="1328">
        <v>8919645.2799999993</v>
      </c>
      <c r="LNS9967" s="1328"/>
      <c r="LNU9967" s="1328"/>
      <c r="LNV9967" s="1328"/>
      <c r="LNW9967" s="1328"/>
      <c r="LNY9967" s="1328"/>
      <c r="LNZ9967" s="1328">
        <v>8919645.2799999993</v>
      </c>
      <c r="LOA9967" s="1328"/>
      <c r="LOC9967" s="1328"/>
      <c r="LOD9967" s="1328"/>
      <c r="LOE9967" s="1328"/>
      <c r="LOG9967" s="1328"/>
      <c r="LOH9967" s="1328">
        <v>8919645.2799999993</v>
      </c>
      <c r="LOI9967" s="1328"/>
      <c r="LOK9967" s="1328"/>
      <c r="LOL9967" s="1328"/>
      <c r="LOM9967" s="1328"/>
      <c r="LOO9967" s="1328"/>
      <c r="LOP9967" s="1328">
        <v>8919645.2799999993</v>
      </c>
      <c r="LOQ9967" s="1328"/>
      <c r="LOS9967" s="1328"/>
      <c r="LOT9967" s="1328"/>
      <c r="LOU9967" s="1328"/>
      <c r="LOW9967" s="1328"/>
      <c r="LOX9967" s="1328">
        <v>8919645.2799999993</v>
      </c>
      <c r="LOY9967" s="1328"/>
      <c r="LPA9967" s="1328"/>
      <c r="LPB9967" s="1328"/>
      <c r="LPC9967" s="1328"/>
      <c r="LPE9967" s="1328"/>
      <c r="LPF9967" s="1328">
        <v>8919645.2799999993</v>
      </c>
      <c r="LPG9967" s="1328"/>
      <c r="LPI9967" s="1328"/>
      <c r="LPJ9967" s="1328"/>
      <c r="LPK9967" s="1328"/>
      <c r="LPM9967" s="1328"/>
      <c r="LPN9967" s="1328">
        <v>8919645.2799999993</v>
      </c>
      <c r="LPO9967" s="1328"/>
      <c r="LPQ9967" s="1328"/>
      <c r="LPR9967" s="1328"/>
      <c r="LPS9967" s="1328"/>
      <c r="LPU9967" s="1328"/>
      <c r="LPV9967" s="1328">
        <v>8919645.2799999993</v>
      </c>
      <c r="LPW9967" s="1328"/>
      <c r="LPY9967" s="1328"/>
      <c r="LPZ9967" s="1328"/>
      <c r="LQA9967" s="1328"/>
      <c r="LQC9967" s="1328"/>
      <c r="LQD9967" s="1328">
        <v>8919645.2799999993</v>
      </c>
      <c r="LQE9967" s="1328"/>
      <c r="LQG9967" s="1328"/>
      <c r="LQH9967" s="1328"/>
      <c r="LQI9967" s="1328"/>
      <c r="LQK9967" s="1328"/>
      <c r="LQL9967" s="1328">
        <v>8919645.2799999993</v>
      </c>
      <c r="LQM9967" s="1328"/>
      <c r="LQO9967" s="1328"/>
      <c r="LQP9967" s="1328"/>
      <c r="LQQ9967" s="1328"/>
      <c r="LQS9967" s="1328"/>
      <c r="LQT9967" s="1328">
        <v>8919645.2799999993</v>
      </c>
      <c r="LQU9967" s="1328"/>
      <c r="LQW9967" s="1328"/>
      <c r="LQX9967" s="1328"/>
      <c r="LQY9967" s="1328"/>
      <c r="LRA9967" s="1328"/>
      <c r="LRB9967" s="1328">
        <v>8919645.2799999993</v>
      </c>
      <c r="LRC9967" s="1328"/>
      <c r="LRE9967" s="1328"/>
      <c r="LRF9967" s="1328"/>
      <c r="LRG9967" s="1328"/>
      <c r="LRI9967" s="1328"/>
      <c r="LRJ9967" s="1328">
        <v>8919645.2799999993</v>
      </c>
      <c r="LRK9967" s="1328"/>
      <c r="LRM9967" s="1328"/>
      <c r="LRN9967" s="1328"/>
      <c r="LRO9967" s="1328"/>
      <c r="LRQ9967" s="1328"/>
      <c r="LRR9967" s="1328">
        <v>8919645.2799999993</v>
      </c>
      <c r="LRS9967" s="1328"/>
      <c r="LRU9967" s="1328"/>
      <c r="LRV9967" s="1328"/>
      <c r="LRW9967" s="1328"/>
      <c r="LRY9967" s="1328"/>
      <c r="LRZ9967" s="1328">
        <v>8919645.2799999993</v>
      </c>
      <c r="LSA9967" s="1328"/>
      <c r="LSC9967" s="1328"/>
      <c r="LSD9967" s="1328"/>
      <c r="LSE9967" s="1328"/>
      <c r="LSG9967" s="1328"/>
      <c r="LSH9967" s="1328">
        <v>8919645.2799999993</v>
      </c>
      <c r="LSI9967" s="1328"/>
      <c r="LSK9967" s="1328"/>
      <c r="LSL9967" s="1328"/>
      <c r="LSM9967" s="1328"/>
      <c r="LSO9967" s="1328"/>
      <c r="LSP9967" s="1328">
        <v>8919645.2799999993</v>
      </c>
      <c r="LSQ9967" s="1328"/>
      <c r="LSS9967" s="1328"/>
      <c r="LST9967" s="1328"/>
      <c r="LSU9967" s="1328"/>
      <c r="LSW9967" s="1328"/>
      <c r="LSX9967" s="1328">
        <v>8919645.2799999993</v>
      </c>
      <c r="LSY9967" s="1328"/>
      <c r="LTA9967" s="1328"/>
      <c r="LTB9967" s="1328"/>
      <c r="LTC9967" s="1328"/>
      <c r="LTE9967" s="1328"/>
      <c r="LTF9967" s="1328">
        <v>8919645.2799999993</v>
      </c>
      <c r="LTG9967" s="1328"/>
      <c r="LTI9967" s="1328"/>
      <c r="LTJ9967" s="1328"/>
      <c r="LTK9967" s="1328"/>
      <c r="LTM9967" s="1328"/>
      <c r="LTN9967" s="1328">
        <v>8919645.2799999993</v>
      </c>
      <c r="LTO9967" s="1328"/>
      <c r="LTQ9967" s="1328"/>
      <c r="LTR9967" s="1328"/>
      <c r="LTS9967" s="1328"/>
      <c r="LTU9967" s="1328"/>
      <c r="LTV9967" s="1328">
        <v>8919645.2799999993</v>
      </c>
      <c r="LTW9967" s="1328"/>
      <c r="LTY9967" s="1328"/>
      <c r="LTZ9967" s="1328"/>
      <c r="LUA9967" s="1328"/>
      <c r="LUC9967" s="1328"/>
      <c r="LUD9967" s="1328">
        <v>8919645.2799999993</v>
      </c>
      <c r="LUE9967" s="1328"/>
      <c r="LUG9967" s="1328"/>
      <c r="LUH9967" s="1328"/>
      <c r="LUI9967" s="1328"/>
      <c r="LUK9967" s="1328"/>
      <c r="LUL9967" s="1328">
        <v>8919645.2799999993</v>
      </c>
      <c r="LUM9967" s="1328"/>
      <c r="LUO9967" s="1328"/>
      <c r="LUP9967" s="1328"/>
      <c r="LUQ9967" s="1328"/>
      <c r="LUS9967" s="1328"/>
      <c r="LUT9967" s="1328">
        <v>8919645.2799999993</v>
      </c>
      <c r="LUU9967" s="1328"/>
      <c r="LUW9967" s="1328"/>
      <c r="LUX9967" s="1328"/>
      <c r="LUY9967" s="1328"/>
      <c r="LVA9967" s="1328"/>
      <c r="LVB9967" s="1328">
        <v>8919645.2799999993</v>
      </c>
      <c r="LVC9967" s="1328"/>
      <c r="LVE9967" s="1328"/>
      <c r="LVF9967" s="1328"/>
      <c r="LVG9967" s="1328"/>
      <c r="LVI9967" s="1328"/>
      <c r="LVJ9967" s="1328">
        <v>8919645.2799999993</v>
      </c>
      <c r="LVK9967" s="1328"/>
      <c r="LVM9967" s="1328"/>
      <c r="LVN9967" s="1328"/>
      <c r="LVO9967" s="1328"/>
      <c r="LVQ9967" s="1328"/>
      <c r="LVR9967" s="1328">
        <v>8919645.2799999993</v>
      </c>
      <c r="LVS9967" s="1328"/>
      <c r="LVU9967" s="1328"/>
      <c r="LVV9967" s="1328"/>
      <c r="LVW9967" s="1328"/>
      <c r="LVY9967" s="1328"/>
      <c r="LVZ9967" s="1328">
        <v>8919645.2799999993</v>
      </c>
      <c r="LWA9967" s="1328"/>
      <c r="LWC9967" s="1328"/>
      <c r="LWD9967" s="1328"/>
      <c r="LWE9967" s="1328"/>
      <c r="LWG9967" s="1328"/>
      <c r="LWH9967" s="1328">
        <v>8919645.2799999993</v>
      </c>
      <c r="LWI9967" s="1328"/>
      <c r="LWK9967" s="1328"/>
      <c r="LWL9967" s="1328"/>
      <c r="LWM9967" s="1328"/>
      <c r="LWO9967" s="1328"/>
      <c r="LWP9967" s="1328">
        <v>8919645.2799999993</v>
      </c>
      <c r="LWQ9967" s="1328"/>
      <c r="LWS9967" s="1328"/>
      <c r="LWT9967" s="1328"/>
      <c r="LWU9967" s="1328"/>
      <c r="LWW9967" s="1328"/>
      <c r="LWX9967" s="1328">
        <v>8919645.2799999993</v>
      </c>
      <c r="LWY9967" s="1328"/>
      <c r="LXA9967" s="1328"/>
      <c r="LXB9967" s="1328"/>
      <c r="LXC9967" s="1328"/>
      <c r="LXE9967" s="1328"/>
      <c r="LXF9967" s="1328">
        <v>8919645.2799999993</v>
      </c>
      <c r="LXG9967" s="1328"/>
      <c r="LXI9967" s="1328"/>
      <c r="LXJ9967" s="1328"/>
      <c r="LXK9967" s="1328"/>
      <c r="LXM9967" s="1328"/>
      <c r="LXN9967" s="1328">
        <v>8919645.2799999993</v>
      </c>
      <c r="LXO9967" s="1328"/>
      <c r="LXQ9967" s="1328"/>
      <c r="LXR9967" s="1328"/>
      <c r="LXS9967" s="1328"/>
      <c r="LXU9967" s="1328"/>
      <c r="LXV9967" s="1328">
        <v>8919645.2799999993</v>
      </c>
      <c r="LXW9967" s="1328"/>
      <c r="LXY9967" s="1328"/>
      <c r="LXZ9967" s="1328"/>
      <c r="LYA9967" s="1328"/>
      <c r="LYC9967" s="1328"/>
      <c r="LYD9967" s="1328">
        <v>8919645.2799999993</v>
      </c>
      <c r="LYE9967" s="1328"/>
      <c r="LYG9967" s="1328"/>
      <c r="LYH9967" s="1328"/>
      <c r="LYI9967" s="1328"/>
      <c r="LYK9967" s="1328"/>
      <c r="LYL9967" s="1328">
        <v>8919645.2799999993</v>
      </c>
      <c r="LYM9967" s="1328"/>
      <c r="LYO9967" s="1328"/>
      <c r="LYP9967" s="1328"/>
      <c r="LYQ9967" s="1328"/>
      <c r="LYS9967" s="1328"/>
      <c r="LYT9967" s="1328">
        <v>8919645.2799999993</v>
      </c>
      <c r="LYU9967" s="1328"/>
      <c r="LYW9967" s="1328"/>
      <c r="LYX9967" s="1328"/>
      <c r="LYY9967" s="1328"/>
      <c r="LZA9967" s="1328"/>
      <c r="LZB9967" s="1328">
        <v>8919645.2799999993</v>
      </c>
      <c r="LZC9967" s="1328"/>
      <c r="LZE9967" s="1328"/>
      <c r="LZF9967" s="1328"/>
      <c r="LZG9967" s="1328"/>
      <c r="LZI9967" s="1328"/>
      <c r="LZJ9967" s="1328">
        <v>8919645.2799999993</v>
      </c>
      <c r="LZK9967" s="1328"/>
      <c r="LZM9967" s="1328"/>
      <c r="LZN9967" s="1328"/>
      <c r="LZO9967" s="1328"/>
      <c r="LZQ9967" s="1328"/>
      <c r="LZR9967" s="1328">
        <v>8919645.2799999993</v>
      </c>
      <c r="LZS9967" s="1328"/>
      <c r="LZU9967" s="1328"/>
      <c r="LZV9967" s="1328"/>
      <c r="LZW9967" s="1328"/>
      <c r="LZY9967" s="1328"/>
      <c r="LZZ9967" s="1328">
        <v>8919645.2799999993</v>
      </c>
      <c r="MAA9967" s="1328"/>
      <c r="MAC9967" s="1328"/>
      <c r="MAD9967" s="1328"/>
      <c r="MAE9967" s="1328"/>
      <c r="MAG9967" s="1328"/>
      <c r="MAH9967" s="1328">
        <v>8919645.2799999993</v>
      </c>
      <c r="MAI9967" s="1328"/>
      <c r="MAK9967" s="1328"/>
      <c r="MAL9967" s="1328"/>
      <c r="MAM9967" s="1328"/>
      <c r="MAO9967" s="1328"/>
      <c r="MAP9967" s="1328">
        <v>8919645.2799999993</v>
      </c>
      <c r="MAQ9967" s="1328"/>
      <c r="MAS9967" s="1328"/>
      <c r="MAT9967" s="1328"/>
      <c r="MAU9967" s="1328"/>
      <c r="MAW9967" s="1328"/>
      <c r="MAX9967" s="1328">
        <v>8919645.2799999993</v>
      </c>
      <c r="MAY9967" s="1328"/>
      <c r="MBA9967" s="1328"/>
      <c r="MBB9967" s="1328"/>
      <c r="MBC9967" s="1328"/>
      <c r="MBE9967" s="1328"/>
      <c r="MBF9967" s="1328">
        <v>8919645.2799999993</v>
      </c>
      <c r="MBG9967" s="1328"/>
      <c r="MBI9967" s="1328"/>
      <c r="MBJ9967" s="1328"/>
      <c r="MBK9967" s="1328"/>
      <c r="MBM9967" s="1328"/>
      <c r="MBN9967" s="1328">
        <v>8919645.2799999993</v>
      </c>
      <c r="MBO9967" s="1328"/>
      <c r="MBQ9967" s="1328"/>
      <c r="MBR9967" s="1328"/>
      <c r="MBS9967" s="1328"/>
      <c r="MBU9967" s="1328"/>
      <c r="MBV9967" s="1328">
        <v>8919645.2799999993</v>
      </c>
      <c r="MBW9967" s="1328"/>
      <c r="MBY9967" s="1328"/>
      <c r="MBZ9967" s="1328"/>
      <c r="MCA9967" s="1328"/>
      <c r="MCC9967" s="1328"/>
      <c r="MCD9967" s="1328">
        <v>8919645.2799999993</v>
      </c>
      <c r="MCE9967" s="1328"/>
      <c r="MCG9967" s="1328"/>
      <c r="MCH9967" s="1328"/>
      <c r="MCI9967" s="1328"/>
      <c r="MCK9967" s="1328"/>
      <c r="MCL9967" s="1328">
        <v>8919645.2799999993</v>
      </c>
      <c r="MCM9967" s="1328"/>
      <c r="MCO9967" s="1328"/>
      <c r="MCP9967" s="1328"/>
      <c r="MCQ9967" s="1328"/>
      <c r="MCS9967" s="1328"/>
      <c r="MCT9967" s="1328">
        <v>8919645.2799999993</v>
      </c>
      <c r="MCU9967" s="1328"/>
      <c r="MCW9967" s="1328"/>
      <c r="MCX9967" s="1328"/>
      <c r="MCY9967" s="1328"/>
      <c r="MDA9967" s="1328"/>
      <c r="MDB9967" s="1328">
        <v>8919645.2799999993</v>
      </c>
      <c r="MDC9967" s="1328"/>
      <c r="MDE9967" s="1328"/>
      <c r="MDF9967" s="1328"/>
      <c r="MDG9967" s="1328"/>
      <c r="MDI9967" s="1328"/>
      <c r="MDJ9967" s="1328">
        <v>8919645.2799999993</v>
      </c>
      <c r="MDK9967" s="1328"/>
      <c r="MDM9967" s="1328"/>
      <c r="MDN9967" s="1328"/>
      <c r="MDO9967" s="1328"/>
      <c r="MDQ9967" s="1328"/>
      <c r="MDR9967" s="1328">
        <v>8919645.2799999993</v>
      </c>
      <c r="MDS9967" s="1328"/>
      <c r="MDU9967" s="1328"/>
      <c r="MDV9967" s="1328"/>
      <c r="MDW9967" s="1328"/>
      <c r="MDY9967" s="1328"/>
      <c r="MDZ9967" s="1328">
        <v>8919645.2799999993</v>
      </c>
      <c r="MEA9967" s="1328"/>
      <c r="MEC9967" s="1328"/>
      <c r="MED9967" s="1328"/>
      <c r="MEE9967" s="1328"/>
      <c r="MEG9967" s="1328"/>
      <c r="MEH9967" s="1328">
        <v>8919645.2799999993</v>
      </c>
      <c r="MEI9967" s="1328"/>
      <c r="MEK9967" s="1328"/>
      <c r="MEL9967" s="1328"/>
      <c r="MEM9967" s="1328"/>
      <c r="MEO9967" s="1328"/>
      <c r="MEP9967" s="1328">
        <v>8919645.2799999993</v>
      </c>
      <c r="MEQ9967" s="1328"/>
      <c r="MES9967" s="1328"/>
      <c r="MET9967" s="1328"/>
      <c r="MEU9967" s="1328"/>
      <c r="MEW9967" s="1328"/>
      <c r="MEX9967" s="1328">
        <v>8919645.2799999993</v>
      </c>
      <c r="MEY9967" s="1328"/>
      <c r="MFA9967" s="1328"/>
      <c r="MFB9967" s="1328"/>
      <c r="MFC9967" s="1328"/>
      <c r="MFE9967" s="1328"/>
      <c r="MFF9967" s="1328">
        <v>8919645.2799999993</v>
      </c>
      <c r="MFG9967" s="1328"/>
      <c r="MFI9967" s="1328"/>
      <c r="MFJ9967" s="1328"/>
      <c r="MFK9967" s="1328"/>
      <c r="MFM9967" s="1328"/>
      <c r="MFN9967" s="1328">
        <v>8919645.2799999993</v>
      </c>
      <c r="MFO9967" s="1328"/>
      <c r="MFQ9967" s="1328"/>
      <c r="MFR9967" s="1328"/>
      <c r="MFS9967" s="1328"/>
      <c r="MFU9967" s="1328"/>
      <c r="MFV9967" s="1328">
        <v>8919645.2799999993</v>
      </c>
      <c r="MFW9967" s="1328"/>
      <c r="MFY9967" s="1328"/>
      <c r="MFZ9967" s="1328"/>
      <c r="MGA9967" s="1328"/>
      <c r="MGC9967" s="1328"/>
      <c r="MGD9967" s="1328">
        <v>8919645.2799999993</v>
      </c>
      <c r="MGE9967" s="1328"/>
      <c r="MGG9967" s="1328"/>
      <c r="MGH9967" s="1328"/>
      <c r="MGI9967" s="1328"/>
      <c r="MGK9967" s="1328"/>
      <c r="MGL9967" s="1328">
        <v>8919645.2799999993</v>
      </c>
      <c r="MGM9967" s="1328"/>
      <c r="MGO9967" s="1328"/>
      <c r="MGP9967" s="1328"/>
      <c r="MGQ9967" s="1328"/>
      <c r="MGS9967" s="1328"/>
      <c r="MGT9967" s="1328">
        <v>8919645.2799999993</v>
      </c>
      <c r="MGU9967" s="1328"/>
      <c r="MGW9967" s="1328"/>
      <c r="MGX9967" s="1328"/>
      <c r="MGY9967" s="1328"/>
      <c r="MHA9967" s="1328"/>
      <c r="MHB9967" s="1328">
        <v>8919645.2799999993</v>
      </c>
      <c r="MHC9967" s="1328"/>
      <c r="MHE9967" s="1328"/>
      <c r="MHF9967" s="1328"/>
      <c r="MHG9967" s="1328"/>
      <c r="MHI9967" s="1328"/>
      <c r="MHJ9967" s="1328">
        <v>8919645.2799999993</v>
      </c>
      <c r="MHK9967" s="1328"/>
      <c r="MHM9967" s="1328"/>
      <c r="MHN9967" s="1328"/>
      <c r="MHO9967" s="1328"/>
      <c r="MHQ9967" s="1328"/>
      <c r="MHR9967" s="1328">
        <v>8919645.2799999993</v>
      </c>
      <c r="MHS9967" s="1328"/>
      <c r="MHU9967" s="1328"/>
      <c r="MHV9967" s="1328"/>
      <c r="MHW9967" s="1328"/>
      <c r="MHY9967" s="1328"/>
      <c r="MHZ9967" s="1328">
        <v>8919645.2799999993</v>
      </c>
      <c r="MIA9967" s="1328"/>
      <c r="MIC9967" s="1328"/>
      <c r="MID9967" s="1328"/>
      <c r="MIE9967" s="1328"/>
      <c r="MIG9967" s="1328"/>
      <c r="MIH9967" s="1328">
        <v>8919645.2799999993</v>
      </c>
      <c r="MII9967" s="1328"/>
      <c r="MIK9967" s="1328"/>
      <c r="MIL9967" s="1328"/>
      <c r="MIM9967" s="1328"/>
      <c r="MIO9967" s="1328"/>
      <c r="MIP9967" s="1328">
        <v>8919645.2799999993</v>
      </c>
      <c r="MIQ9967" s="1328"/>
      <c r="MIS9967" s="1328"/>
      <c r="MIT9967" s="1328"/>
      <c r="MIU9967" s="1328"/>
      <c r="MIW9967" s="1328"/>
      <c r="MIX9967" s="1328">
        <v>8919645.2799999993</v>
      </c>
      <c r="MIY9967" s="1328"/>
      <c r="MJA9967" s="1328"/>
      <c r="MJB9967" s="1328"/>
      <c r="MJC9967" s="1328"/>
      <c r="MJE9967" s="1328"/>
      <c r="MJF9967" s="1328">
        <v>8919645.2799999993</v>
      </c>
      <c r="MJG9967" s="1328"/>
      <c r="MJI9967" s="1328"/>
      <c r="MJJ9967" s="1328"/>
      <c r="MJK9967" s="1328"/>
      <c r="MJM9967" s="1328"/>
      <c r="MJN9967" s="1328">
        <v>8919645.2799999993</v>
      </c>
      <c r="MJO9967" s="1328"/>
      <c r="MJQ9967" s="1328"/>
      <c r="MJR9967" s="1328"/>
      <c r="MJS9967" s="1328"/>
      <c r="MJU9967" s="1328"/>
      <c r="MJV9967" s="1328">
        <v>8919645.2799999993</v>
      </c>
      <c r="MJW9967" s="1328"/>
      <c r="MJY9967" s="1328"/>
      <c r="MJZ9967" s="1328"/>
      <c r="MKA9967" s="1328"/>
      <c r="MKC9967" s="1328"/>
      <c r="MKD9967" s="1328">
        <v>8919645.2799999993</v>
      </c>
      <c r="MKE9967" s="1328"/>
      <c r="MKG9967" s="1328"/>
      <c r="MKH9967" s="1328"/>
      <c r="MKI9967" s="1328"/>
      <c r="MKK9967" s="1328"/>
      <c r="MKL9967" s="1328">
        <v>8919645.2799999993</v>
      </c>
      <c r="MKM9967" s="1328"/>
      <c r="MKO9967" s="1328"/>
      <c r="MKP9967" s="1328"/>
      <c r="MKQ9967" s="1328"/>
      <c r="MKS9967" s="1328"/>
      <c r="MKT9967" s="1328">
        <v>8919645.2799999993</v>
      </c>
      <c r="MKU9967" s="1328"/>
      <c r="MKW9967" s="1328"/>
      <c r="MKX9967" s="1328"/>
      <c r="MKY9967" s="1328"/>
      <c r="MLA9967" s="1328"/>
      <c r="MLB9967" s="1328">
        <v>8919645.2799999993</v>
      </c>
      <c r="MLC9967" s="1328"/>
      <c r="MLE9967" s="1328"/>
      <c r="MLF9967" s="1328"/>
      <c r="MLG9967" s="1328"/>
      <c r="MLI9967" s="1328"/>
      <c r="MLJ9967" s="1328">
        <v>8919645.2799999993</v>
      </c>
      <c r="MLK9967" s="1328"/>
      <c r="MLM9967" s="1328"/>
      <c r="MLN9967" s="1328"/>
      <c r="MLO9967" s="1328"/>
      <c r="MLQ9967" s="1328"/>
      <c r="MLR9967" s="1328">
        <v>8919645.2799999993</v>
      </c>
      <c r="MLS9967" s="1328"/>
      <c r="MLU9967" s="1328"/>
      <c r="MLV9967" s="1328"/>
      <c r="MLW9967" s="1328"/>
      <c r="MLY9967" s="1328"/>
      <c r="MLZ9967" s="1328">
        <v>8919645.2799999993</v>
      </c>
      <c r="MMA9967" s="1328"/>
      <c r="MMC9967" s="1328"/>
      <c r="MMD9967" s="1328"/>
      <c r="MME9967" s="1328"/>
      <c r="MMG9967" s="1328"/>
      <c r="MMH9967" s="1328">
        <v>8919645.2799999993</v>
      </c>
      <c r="MMI9967" s="1328"/>
      <c r="MMK9967" s="1328"/>
      <c r="MML9967" s="1328"/>
      <c r="MMM9967" s="1328"/>
      <c r="MMO9967" s="1328"/>
      <c r="MMP9967" s="1328">
        <v>8919645.2799999993</v>
      </c>
      <c r="MMQ9967" s="1328"/>
      <c r="MMS9967" s="1328"/>
      <c r="MMT9967" s="1328"/>
      <c r="MMU9967" s="1328"/>
      <c r="MMW9967" s="1328"/>
      <c r="MMX9967" s="1328">
        <v>8919645.2799999993</v>
      </c>
      <c r="MMY9967" s="1328"/>
      <c r="MNA9967" s="1328"/>
      <c r="MNB9967" s="1328"/>
      <c r="MNC9967" s="1328"/>
      <c r="MNE9967" s="1328"/>
      <c r="MNF9967" s="1328">
        <v>8919645.2799999993</v>
      </c>
      <c r="MNG9967" s="1328"/>
      <c r="MNI9967" s="1328"/>
      <c r="MNJ9967" s="1328"/>
      <c r="MNK9967" s="1328"/>
      <c r="MNM9967" s="1328"/>
      <c r="MNN9967" s="1328">
        <v>8919645.2799999993</v>
      </c>
      <c r="MNO9967" s="1328"/>
      <c r="MNQ9967" s="1328"/>
      <c r="MNR9967" s="1328"/>
      <c r="MNS9967" s="1328"/>
      <c r="MNU9967" s="1328"/>
      <c r="MNV9967" s="1328">
        <v>8919645.2799999993</v>
      </c>
      <c r="MNW9967" s="1328"/>
      <c r="MNY9967" s="1328"/>
      <c r="MNZ9967" s="1328"/>
      <c r="MOA9967" s="1328"/>
      <c r="MOC9967" s="1328"/>
      <c r="MOD9967" s="1328">
        <v>8919645.2799999993</v>
      </c>
      <c r="MOE9967" s="1328"/>
      <c r="MOG9967" s="1328"/>
      <c r="MOH9967" s="1328"/>
      <c r="MOI9967" s="1328"/>
      <c r="MOK9967" s="1328"/>
      <c r="MOL9967" s="1328">
        <v>8919645.2799999993</v>
      </c>
      <c r="MOM9967" s="1328"/>
      <c r="MOO9967" s="1328"/>
      <c r="MOP9967" s="1328"/>
      <c r="MOQ9967" s="1328"/>
      <c r="MOS9967" s="1328"/>
      <c r="MOT9967" s="1328">
        <v>8919645.2799999993</v>
      </c>
      <c r="MOU9967" s="1328"/>
      <c r="MOW9967" s="1328"/>
      <c r="MOX9967" s="1328"/>
      <c r="MOY9967" s="1328"/>
      <c r="MPA9967" s="1328"/>
      <c r="MPB9967" s="1328">
        <v>8919645.2799999993</v>
      </c>
      <c r="MPC9967" s="1328"/>
      <c r="MPE9967" s="1328"/>
      <c r="MPF9967" s="1328"/>
      <c r="MPG9967" s="1328"/>
      <c r="MPI9967" s="1328"/>
      <c r="MPJ9967" s="1328">
        <v>8919645.2799999993</v>
      </c>
      <c r="MPK9967" s="1328"/>
      <c r="MPM9967" s="1328"/>
      <c r="MPN9967" s="1328"/>
      <c r="MPO9967" s="1328"/>
      <c r="MPQ9967" s="1328"/>
      <c r="MPR9967" s="1328">
        <v>8919645.2799999993</v>
      </c>
      <c r="MPS9967" s="1328"/>
      <c r="MPU9967" s="1328"/>
      <c r="MPV9967" s="1328"/>
      <c r="MPW9967" s="1328"/>
      <c r="MPY9967" s="1328"/>
      <c r="MPZ9967" s="1328">
        <v>8919645.2799999993</v>
      </c>
      <c r="MQA9967" s="1328"/>
      <c r="MQC9967" s="1328"/>
      <c r="MQD9967" s="1328"/>
      <c r="MQE9967" s="1328"/>
      <c r="MQG9967" s="1328"/>
      <c r="MQH9967" s="1328">
        <v>8919645.2799999993</v>
      </c>
      <c r="MQI9967" s="1328"/>
      <c r="MQK9967" s="1328"/>
      <c r="MQL9967" s="1328"/>
      <c r="MQM9967" s="1328"/>
      <c r="MQO9967" s="1328"/>
      <c r="MQP9967" s="1328">
        <v>8919645.2799999993</v>
      </c>
      <c r="MQQ9967" s="1328"/>
      <c r="MQS9967" s="1328"/>
      <c r="MQT9967" s="1328"/>
      <c r="MQU9967" s="1328"/>
      <c r="MQW9967" s="1328"/>
      <c r="MQX9967" s="1328">
        <v>8919645.2799999993</v>
      </c>
      <c r="MQY9967" s="1328"/>
      <c r="MRA9967" s="1328"/>
      <c r="MRB9967" s="1328"/>
      <c r="MRC9967" s="1328"/>
      <c r="MRE9967" s="1328"/>
      <c r="MRF9967" s="1328">
        <v>8919645.2799999993</v>
      </c>
      <c r="MRG9967" s="1328"/>
      <c r="MRI9967" s="1328"/>
      <c r="MRJ9967" s="1328"/>
      <c r="MRK9967" s="1328"/>
      <c r="MRM9967" s="1328"/>
      <c r="MRN9967" s="1328">
        <v>8919645.2799999993</v>
      </c>
      <c r="MRO9967" s="1328"/>
      <c r="MRQ9967" s="1328"/>
      <c r="MRR9967" s="1328"/>
      <c r="MRS9967" s="1328"/>
      <c r="MRU9967" s="1328"/>
      <c r="MRV9967" s="1328">
        <v>8919645.2799999993</v>
      </c>
      <c r="MRW9967" s="1328"/>
      <c r="MRY9967" s="1328"/>
      <c r="MRZ9967" s="1328"/>
      <c r="MSA9967" s="1328"/>
      <c r="MSC9967" s="1328"/>
      <c r="MSD9967" s="1328">
        <v>8919645.2799999993</v>
      </c>
      <c r="MSE9967" s="1328"/>
      <c r="MSG9967" s="1328"/>
      <c r="MSH9967" s="1328"/>
      <c r="MSI9967" s="1328"/>
      <c r="MSK9967" s="1328"/>
      <c r="MSL9967" s="1328">
        <v>8919645.2799999993</v>
      </c>
      <c r="MSM9967" s="1328"/>
      <c r="MSO9967" s="1328"/>
      <c r="MSP9967" s="1328"/>
      <c r="MSQ9967" s="1328"/>
      <c r="MSS9967" s="1328"/>
      <c r="MST9967" s="1328">
        <v>8919645.2799999993</v>
      </c>
      <c r="MSU9967" s="1328"/>
      <c r="MSW9967" s="1328"/>
      <c r="MSX9967" s="1328"/>
      <c r="MSY9967" s="1328"/>
      <c r="MTA9967" s="1328"/>
      <c r="MTB9967" s="1328">
        <v>8919645.2799999993</v>
      </c>
      <c r="MTC9967" s="1328"/>
      <c r="MTE9967" s="1328"/>
      <c r="MTF9967" s="1328"/>
      <c r="MTG9967" s="1328"/>
      <c r="MTI9967" s="1328"/>
      <c r="MTJ9967" s="1328">
        <v>8919645.2799999993</v>
      </c>
      <c r="MTK9967" s="1328"/>
      <c r="MTM9967" s="1328"/>
      <c r="MTN9967" s="1328"/>
      <c r="MTO9967" s="1328"/>
      <c r="MTQ9967" s="1328"/>
      <c r="MTR9967" s="1328">
        <v>8919645.2799999993</v>
      </c>
      <c r="MTS9967" s="1328"/>
      <c r="MTU9967" s="1328"/>
      <c r="MTV9967" s="1328"/>
      <c r="MTW9967" s="1328"/>
      <c r="MTY9967" s="1328"/>
      <c r="MTZ9967" s="1328">
        <v>8919645.2799999993</v>
      </c>
      <c r="MUA9967" s="1328"/>
      <c r="MUC9967" s="1328"/>
      <c r="MUD9967" s="1328"/>
      <c r="MUE9967" s="1328"/>
      <c r="MUG9967" s="1328"/>
      <c r="MUH9967" s="1328">
        <v>8919645.2799999993</v>
      </c>
      <c r="MUI9967" s="1328"/>
      <c r="MUK9967" s="1328"/>
      <c r="MUL9967" s="1328"/>
      <c r="MUM9967" s="1328"/>
      <c r="MUO9967" s="1328"/>
      <c r="MUP9967" s="1328">
        <v>8919645.2799999993</v>
      </c>
      <c r="MUQ9967" s="1328"/>
      <c r="MUS9967" s="1328"/>
      <c r="MUT9967" s="1328"/>
      <c r="MUU9967" s="1328"/>
      <c r="MUW9967" s="1328"/>
      <c r="MUX9967" s="1328">
        <v>8919645.2799999993</v>
      </c>
      <c r="MUY9967" s="1328"/>
      <c r="MVA9967" s="1328"/>
      <c r="MVB9967" s="1328"/>
      <c r="MVC9967" s="1328"/>
      <c r="MVE9967" s="1328"/>
      <c r="MVF9967" s="1328">
        <v>8919645.2799999993</v>
      </c>
      <c r="MVG9967" s="1328"/>
      <c r="MVI9967" s="1328"/>
      <c r="MVJ9967" s="1328"/>
      <c r="MVK9967" s="1328"/>
      <c r="MVM9967" s="1328"/>
      <c r="MVN9967" s="1328">
        <v>8919645.2799999993</v>
      </c>
      <c r="MVO9967" s="1328"/>
      <c r="MVQ9967" s="1328"/>
      <c r="MVR9967" s="1328"/>
      <c r="MVS9967" s="1328"/>
      <c r="MVU9967" s="1328"/>
      <c r="MVV9967" s="1328">
        <v>8919645.2799999993</v>
      </c>
      <c r="MVW9967" s="1328"/>
      <c r="MVY9967" s="1328"/>
      <c r="MVZ9967" s="1328"/>
      <c r="MWA9967" s="1328"/>
      <c r="MWC9967" s="1328"/>
      <c r="MWD9967" s="1328">
        <v>8919645.2799999993</v>
      </c>
      <c r="MWE9967" s="1328"/>
      <c r="MWG9967" s="1328"/>
      <c r="MWH9967" s="1328"/>
      <c r="MWI9967" s="1328"/>
      <c r="MWK9967" s="1328"/>
      <c r="MWL9967" s="1328">
        <v>8919645.2799999993</v>
      </c>
      <c r="MWM9967" s="1328"/>
      <c r="MWO9967" s="1328"/>
      <c r="MWP9967" s="1328"/>
      <c r="MWQ9967" s="1328"/>
      <c r="MWS9967" s="1328"/>
      <c r="MWT9967" s="1328">
        <v>8919645.2799999993</v>
      </c>
      <c r="MWU9967" s="1328"/>
      <c r="MWW9967" s="1328"/>
      <c r="MWX9967" s="1328"/>
      <c r="MWY9967" s="1328"/>
      <c r="MXA9967" s="1328"/>
      <c r="MXB9967" s="1328">
        <v>8919645.2799999993</v>
      </c>
      <c r="MXC9967" s="1328"/>
      <c r="MXE9967" s="1328"/>
      <c r="MXF9967" s="1328"/>
      <c r="MXG9967" s="1328"/>
      <c r="MXI9967" s="1328"/>
      <c r="MXJ9967" s="1328">
        <v>8919645.2799999993</v>
      </c>
      <c r="MXK9967" s="1328"/>
      <c r="MXM9967" s="1328"/>
      <c r="MXN9967" s="1328"/>
      <c r="MXO9967" s="1328"/>
      <c r="MXQ9967" s="1328"/>
      <c r="MXR9967" s="1328">
        <v>8919645.2799999993</v>
      </c>
      <c r="MXS9967" s="1328"/>
      <c r="MXU9967" s="1328"/>
      <c r="MXV9967" s="1328"/>
      <c r="MXW9967" s="1328"/>
      <c r="MXY9967" s="1328"/>
      <c r="MXZ9967" s="1328">
        <v>8919645.2799999993</v>
      </c>
      <c r="MYA9967" s="1328"/>
      <c r="MYC9967" s="1328"/>
      <c r="MYD9967" s="1328"/>
      <c r="MYE9967" s="1328"/>
      <c r="MYG9967" s="1328"/>
      <c r="MYH9967" s="1328">
        <v>8919645.2799999993</v>
      </c>
      <c r="MYI9967" s="1328"/>
      <c r="MYK9967" s="1328"/>
      <c r="MYL9967" s="1328"/>
      <c r="MYM9967" s="1328"/>
      <c r="MYO9967" s="1328"/>
      <c r="MYP9967" s="1328">
        <v>8919645.2799999993</v>
      </c>
      <c r="MYQ9967" s="1328"/>
      <c r="MYS9967" s="1328"/>
      <c r="MYT9967" s="1328"/>
      <c r="MYU9967" s="1328"/>
      <c r="MYW9967" s="1328"/>
      <c r="MYX9967" s="1328">
        <v>8919645.2799999993</v>
      </c>
      <c r="MYY9967" s="1328"/>
      <c r="MZA9967" s="1328"/>
      <c r="MZB9967" s="1328"/>
      <c r="MZC9967" s="1328"/>
      <c r="MZE9967" s="1328"/>
      <c r="MZF9967" s="1328">
        <v>8919645.2799999993</v>
      </c>
      <c r="MZG9967" s="1328"/>
      <c r="MZI9967" s="1328"/>
      <c r="MZJ9967" s="1328"/>
      <c r="MZK9967" s="1328"/>
      <c r="MZM9967" s="1328"/>
      <c r="MZN9967" s="1328">
        <v>8919645.2799999993</v>
      </c>
      <c r="MZO9967" s="1328"/>
      <c r="MZQ9967" s="1328"/>
      <c r="MZR9967" s="1328"/>
      <c r="MZS9967" s="1328"/>
      <c r="MZU9967" s="1328"/>
      <c r="MZV9967" s="1328">
        <v>8919645.2799999993</v>
      </c>
      <c r="MZW9967" s="1328"/>
      <c r="MZY9967" s="1328"/>
      <c r="MZZ9967" s="1328"/>
      <c r="NAA9967" s="1328"/>
      <c r="NAC9967" s="1328"/>
      <c r="NAD9967" s="1328">
        <v>8919645.2799999993</v>
      </c>
      <c r="NAE9967" s="1328"/>
      <c r="NAG9967" s="1328"/>
      <c r="NAH9967" s="1328"/>
      <c r="NAI9967" s="1328"/>
      <c r="NAK9967" s="1328"/>
      <c r="NAL9967" s="1328">
        <v>8919645.2799999993</v>
      </c>
      <c r="NAM9967" s="1328"/>
      <c r="NAO9967" s="1328"/>
      <c r="NAP9967" s="1328"/>
      <c r="NAQ9967" s="1328"/>
      <c r="NAS9967" s="1328"/>
      <c r="NAT9967" s="1328">
        <v>8919645.2799999993</v>
      </c>
      <c r="NAU9967" s="1328"/>
      <c r="NAW9967" s="1328"/>
      <c r="NAX9967" s="1328"/>
      <c r="NAY9967" s="1328"/>
      <c r="NBA9967" s="1328"/>
      <c r="NBB9967" s="1328">
        <v>8919645.2799999993</v>
      </c>
      <c r="NBC9967" s="1328"/>
      <c r="NBE9967" s="1328"/>
      <c r="NBF9967" s="1328"/>
      <c r="NBG9967" s="1328"/>
      <c r="NBI9967" s="1328"/>
      <c r="NBJ9967" s="1328">
        <v>8919645.2799999993</v>
      </c>
      <c r="NBK9967" s="1328"/>
      <c r="NBM9967" s="1328"/>
      <c r="NBN9967" s="1328"/>
      <c r="NBO9967" s="1328"/>
      <c r="NBQ9967" s="1328"/>
      <c r="NBR9967" s="1328">
        <v>8919645.2799999993</v>
      </c>
      <c r="NBS9967" s="1328"/>
      <c r="NBU9967" s="1328"/>
      <c r="NBV9967" s="1328"/>
      <c r="NBW9967" s="1328"/>
      <c r="NBY9967" s="1328"/>
      <c r="NBZ9967" s="1328">
        <v>8919645.2799999993</v>
      </c>
      <c r="NCA9967" s="1328"/>
      <c r="NCC9967" s="1328"/>
      <c r="NCD9967" s="1328"/>
      <c r="NCE9967" s="1328"/>
      <c r="NCG9967" s="1328"/>
      <c r="NCH9967" s="1328">
        <v>8919645.2799999993</v>
      </c>
      <c r="NCI9967" s="1328"/>
      <c r="NCK9967" s="1328"/>
      <c r="NCL9967" s="1328"/>
      <c r="NCM9967" s="1328"/>
      <c r="NCO9967" s="1328"/>
      <c r="NCP9967" s="1328">
        <v>8919645.2799999993</v>
      </c>
      <c r="NCQ9967" s="1328"/>
      <c r="NCS9967" s="1328"/>
      <c r="NCT9967" s="1328"/>
      <c r="NCU9967" s="1328"/>
      <c r="NCW9967" s="1328"/>
      <c r="NCX9967" s="1328">
        <v>8919645.2799999993</v>
      </c>
      <c r="NCY9967" s="1328"/>
      <c r="NDA9967" s="1328"/>
      <c r="NDB9967" s="1328"/>
      <c r="NDC9967" s="1328"/>
      <c r="NDE9967" s="1328"/>
      <c r="NDF9967" s="1328">
        <v>8919645.2799999993</v>
      </c>
      <c r="NDG9967" s="1328"/>
      <c r="NDI9967" s="1328"/>
      <c r="NDJ9967" s="1328"/>
      <c r="NDK9967" s="1328"/>
      <c r="NDM9967" s="1328"/>
      <c r="NDN9967" s="1328">
        <v>8919645.2799999993</v>
      </c>
      <c r="NDO9967" s="1328"/>
      <c r="NDQ9967" s="1328"/>
      <c r="NDR9967" s="1328"/>
      <c r="NDS9967" s="1328"/>
      <c r="NDU9967" s="1328"/>
      <c r="NDV9967" s="1328">
        <v>8919645.2799999993</v>
      </c>
      <c r="NDW9967" s="1328"/>
      <c r="NDY9967" s="1328"/>
      <c r="NDZ9967" s="1328"/>
      <c r="NEA9967" s="1328"/>
      <c r="NEC9967" s="1328"/>
      <c r="NED9967" s="1328">
        <v>8919645.2799999993</v>
      </c>
      <c r="NEE9967" s="1328"/>
      <c r="NEG9967" s="1328"/>
      <c r="NEH9967" s="1328"/>
      <c r="NEI9967" s="1328"/>
      <c r="NEK9967" s="1328"/>
      <c r="NEL9967" s="1328">
        <v>8919645.2799999993</v>
      </c>
      <c r="NEM9967" s="1328"/>
      <c r="NEO9967" s="1328"/>
      <c r="NEP9967" s="1328"/>
      <c r="NEQ9967" s="1328"/>
      <c r="NES9967" s="1328"/>
      <c r="NET9967" s="1328">
        <v>8919645.2799999993</v>
      </c>
      <c r="NEU9967" s="1328"/>
      <c r="NEW9967" s="1328"/>
      <c r="NEX9967" s="1328"/>
      <c r="NEY9967" s="1328"/>
      <c r="NFA9967" s="1328"/>
      <c r="NFB9967" s="1328">
        <v>8919645.2799999993</v>
      </c>
      <c r="NFC9967" s="1328"/>
      <c r="NFE9967" s="1328"/>
      <c r="NFF9967" s="1328"/>
      <c r="NFG9967" s="1328"/>
      <c r="NFI9967" s="1328"/>
      <c r="NFJ9967" s="1328">
        <v>8919645.2799999993</v>
      </c>
      <c r="NFK9967" s="1328"/>
      <c r="NFM9967" s="1328"/>
      <c r="NFN9967" s="1328"/>
      <c r="NFO9967" s="1328"/>
      <c r="NFQ9967" s="1328"/>
      <c r="NFR9967" s="1328">
        <v>8919645.2799999993</v>
      </c>
      <c r="NFS9967" s="1328"/>
      <c r="NFU9967" s="1328"/>
      <c r="NFV9967" s="1328"/>
      <c r="NFW9967" s="1328"/>
      <c r="NFY9967" s="1328"/>
      <c r="NFZ9967" s="1328">
        <v>8919645.2799999993</v>
      </c>
      <c r="NGA9967" s="1328"/>
      <c r="NGC9967" s="1328"/>
      <c r="NGD9967" s="1328"/>
      <c r="NGE9967" s="1328"/>
      <c r="NGG9967" s="1328"/>
      <c r="NGH9967" s="1328">
        <v>8919645.2799999993</v>
      </c>
      <c r="NGI9967" s="1328"/>
      <c r="NGK9967" s="1328"/>
      <c r="NGL9967" s="1328"/>
      <c r="NGM9967" s="1328"/>
      <c r="NGO9967" s="1328"/>
      <c r="NGP9967" s="1328">
        <v>8919645.2799999993</v>
      </c>
      <c r="NGQ9967" s="1328"/>
      <c r="NGS9967" s="1328"/>
      <c r="NGT9967" s="1328"/>
      <c r="NGU9967" s="1328"/>
      <c r="NGW9967" s="1328"/>
      <c r="NGX9967" s="1328">
        <v>8919645.2799999993</v>
      </c>
      <c r="NGY9967" s="1328"/>
      <c r="NHA9967" s="1328"/>
      <c r="NHB9967" s="1328"/>
      <c r="NHC9967" s="1328"/>
      <c r="NHE9967" s="1328"/>
      <c r="NHF9967" s="1328">
        <v>8919645.2799999993</v>
      </c>
      <c r="NHG9967" s="1328"/>
      <c r="NHI9967" s="1328"/>
      <c r="NHJ9967" s="1328"/>
      <c r="NHK9967" s="1328"/>
      <c r="NHM9967" s="1328"/>
      <c r="NHN9967" s="1328">
        <v>8919645.2799999993</v>
      </c>
      <c r="NHO9967" s="1328"/>
      <c r="NHQ9967" s="1328"/>
      <c r="NHR9967" s="1328"/>
      <c r="NHS9967" s="1328"/>
      <c r="NHU9967" s="1328"/>
      <c r="NHV9967" s="1328">
        <v>8919645.2799999993</v>
      </c>
      <c r="NHW9967" s="1328"/>
      <c r="NHY9967" s="1328"/>
      <c r="NHZ9967" s="1328"/>
      <c r="NIA9967" s="1328"/>
      <c r="NIC9967" s="1328"/>
      <c r="NID9967" s="1328">
        <v>8919645.2799999993</v>
      </c>
      <c r="NIE9967" s="1328"/>
      <c r="NIG9967" s="1328"/>
      <c r="NIH9967" s="1328"/>
      <c r="NII9967" s="1328"/>
      <c r="NIK9967" s="1328"/>
      <c r="NIL9967" s="1328">
        <v>8919645.2799999993</v>
      </c>
      <c r="NIM9967" s="1328"/>
      <c r="NIO9967" s="1328"/>
      <c r="NIP9967" s="1328"/>
      <c r="NIQ9967" s="1328"/>
      <c r="NIS9967" s="1328"/>
      <c r="NIT9967" s="1328">
        <v>8919645.2799999993</v>
      </c>
      <c r="NIU9967" s="1328"/>
      <c r="NIW9967" s="1328"/>
      <c r="NIX9967" s="1328"/>
      <c r="NIY9967" s="1328"/>
      <c r="NJA9967" s="1328"/>
      <c r="NJB9967" s="1328">
        <v>8919645.2799999993</v>
      </c>
      <c r="NJC9967" s="1328"/>
      <c r="NJE9967" s="1328"/>
      <c r="NJF9967" s="1328"/>
      <c r="NJG9967" s="1328"/>
      <c r="NJI9967" s="1328"/>
      <c r="NJJ9967" s="1328">
        <v>8919645.2799999993</v>
      </c>
      <c r="NJK9967" s="1328"/>
      <c r="NJM9967" s="1328"/>
      <c r="NJN9967" s="1328"/>
      <c r="NJO9967" s="1328"/>
      <c r="NJQ9967" s="1328"/>
      <c r="NJR9967" s="1328">
        <v>8919645.2799999993</v>
      </c>
      <c r="NJS9967" s="1328"/>
      <c r="NJU9967" s="1328"/>
      <c r="NJV9967" s="1328"/>
      <c r="NJW9967" s="1328"/>
      <c r="NJY9967" s="1328"/>
      <c r="NJZ9967" s="1328">
        <v>8919645.2799999993</v>
      </c>
      <c r="NKA9967" s="1328"/>
      <c r="NKC9967" s="1328"/>
      <c r="NKD9967" s="1328"/>
      <c r="NKE9967" s="1328"/>
      <c r="NKG9967" s="1328"/>
      <c r="NKH9967" s="1328">
        <v>8919645.2799999993</v>
      </c>
      <c r="NKI9967" s="1328"/>
      <c r="NKK9967" s="1328"/>
      <c r="NKL9967" s="1328"/>
      <c r="NKM9967" s="1328"/>
      <c r="NKO9967" s="1328"/>
      <c r="NKP9967" s="1328">
        <v>8919645.2799999993</v>
      </c>
      <c r="NKQ9967" s="1328"/>
      <c r="NKS9967" s="1328"/>
      <c r="NKT9967" s="1328"/>
      <c r="NKU9967" s="1328"/>
      <c r="NKW9967" s="1328"/>
      <c r="NKX9967" s="1328">
        <v>8919645.2799999993</v>
      </c>
      <c r="NKY9967" s="1328"/>
      <c r="NLA9967" s="1328"/>
      <c r="NLB9967" s="1328"/>
      <c r="NLC9967" s="1328"/>
      <c r="NLE9967" s="1328"/>
      <c r="NLF9967" s="1328">
        <v>8919645.2799999993</v>
      </c>
      <c r="NLG9967" s="1328"/>
      <c r="NLI9967" s="1328"/>
      <c r="NLJ9967" s="1328"/>
      <c r="NLK9967" s="1328"/>
      <c r="NLM9967" s="1328"/>
      <c r="NLN9967" s="1328">
        <v>8919645.2799999993</v>
      </c>
      <c r="NLO9967" s="1328"/>
      <c r="NLQ9967" s="1328"/>
      <c r="NLR9967" s="1328"/>
      <c r="NLS9967" s="1328"/>
      <c r="NLU9967" s="1328"/>
      <c r="NLV9967" s="1328">
        <v>8919645.2799999993</v>
      </c>
      <c r="NLW9967" s="1328"/>
      <c r="NLY9967" s="1328"/>
      <c r="NLZ9967" s="1328"/>
      <c r="NMA9967" s="1328"/>
      <c r="NMC9967" s="1328"/>
      <c r="NMD9967" s="1328">
        <v>8919645.2799999993</v>
      </c>
      <c r="NME9967" s="1328"/>
      <c r="NMG9967" s="1328"/>
      <c r="NMH9967" s="1328"/>
      <c r="NMI9967" s="1328"/>
      <c r="NMK9967" s="1328"/>
      <c r="NML9967" s="1328">
        <v>8919645.2799999993</v>
      </c>
      <c r="NMM9967" s="1328"/>
      <c r="NMO9967" s="1328"/>
      <c r="NMP9967" s="1328"/>
      <c r="NMQ9967" s="1328"/>
      <c r="NMS9967" s="1328"/>
      <c r="NMT9967" s="1328">
        <v>8919645.2799999993</v>
      </c>
      <c r="NMU9967" s="1328"/>
      <c r="NMW9967" s="1328"/>
      <c r="NMX9967" s="1328"/>
      <c r="NMY9967" s="1328"/>
      <c r="NNA9967" s="1328"/>
      <c r="NNB9967" s="1328">
        <v>8919645.2799999993</v>
      </c>
      <c r="NNC9967" s="1328"/>
      <c r="NNE9967" s="1328"/>
      <c r="NNF9967" s="1328"/>
      <c r="NNG9967" s="1328"/>
      <c r="NNI9967" s="1328"/>
      <c r="NNJ9967" s="1328">
        <v>8919645.2799999993</v>
      </c>
      <c r="NNK9967" s="1328"/>
      <c r="NNM9967" s="1328"/>
      <c r="NNN9967" s="1328"/>
      <c r="NNO9967" s="1328"/>
      <c r="NNQ9967" s="1328"/>
      <c r="NNR9967" s="1328">
        <v>8919645.2799999993</v>
      </c>
      <c r="NNS9967" s="1328"/>
      <c r="NNU9967" s="1328"/>
      <c r="NNV9967" s="1328"/>
      <c r="NNW9967" s="1328"/>
      <c r="NNY9967" s="1328"/>
      <c r="NNZ9967" s="1328">
        <v>8919645.2799999993</v>
      </c>
      <c r="NOA9967" s="1328"/>
      <c r="NOC9967" s="1328"/>
      <c r="NOD9967" s="1328"/>
      <c r="NOE9967" s="1328"/>
      <c r="NOG9967" s="1328"/>
      <c r="NOH9967" s="1328">
        <v>8919645.2799999993</v>
      </c>
      <c r="NOI9967" s="1328"/>
      <c r="NOK9967" s="1328"/>
      <c r="NOL9967" s="1328"/>
      <c r="NOM9967" s="1328"/>
      <c r="NOO9967" s="1328"/>
      <c r="NOP9967" s="1328">
        <v>8919645.2799999993</v>
      </c>
      <c r="NOQ9967" s="1328"/>
      <c r="NOS9967" s="1328"/>
      <c r="NOT9967" s="1328"/>
      <c r="NOU9967" s="1328"/>
      <c r="NOW9967" s="1328"/>
      <c r="NOX9967" s="1328">
        <v>8919645.2799999993</v>
      </c>
      <c r="NOY9967" s="1328"/>
      <c r="NPA9967" s="1328"/>
      <c r="NPB9967" s="1328"/>
      <c r="NPC9967" s="1328"/>
      <c r="NPE9967" s="1328"/>
      <c r="NPF9967" s="1328">
        <v>8919645.2799999993</v>
      </c>
      <c r="NPG9967" s="1328"/>
      <c r="NPI9967" s="1328"/>
      <c r="NPJ9967" s="1328"/>
      <c r="NPK9967" s="1328"/>
      <c r="NPM9967" s="1328"/>
      <c r="NPN9967" s="1328">
        <v>8919645.2799999993</v>
      </c>
      <c r="NPO9967" s="1328"/>
      <c r="NPQ9967" s="1328"/>
      <c r="NPR9967" s="1328"/>
      <c r="NPS9967" s="1328"/>
      <c r="NPU9967" s="1328"/>
      <c r="NPV9967" s="1328">
        <v>8919645.2799999993</v>
      </c>
      <c r="NPW9967" s="1328"/>
      <c r="NPY9967" s="1328"/>
      <c r="NPZ9967" s="1328"/>
      <c r="NQA9967" s="1328"/>
      <c r="NQC9967" s="1328"/>
      <c r="NQD9967" s="1328">
        <v>8919645.2799999993</v>
      </c>
      <c r="NQE9967" s="1328"/>
      <c r="NQG9967" s="1328"/>
      <c r="NQH9967" s="1328"/>
      <c r="NQI9967" s="1328"/>
      <c r="NQK9967" s="1328"/>
      <c r="NQL9967" s="1328">
        <v>8919645.2799999993</v>
      </c>
      <c r="NQM9967" s="1328"/>
      <c r="NQO9967" s="1328"/>
      <c r="NQP9967" s="1328"/>
      <c r="NQQ9967" s="1328"/>
      <c r="NQS9967" s="1328"/>
      <c r="NQT9967" s="1328">
        <v>8919645.2799999993</v>
      </c>
      <c r="NQU9967" s="1328"/>
      <c r="NQW9967" s="1328"/>
      <c r="NQX9967" s="1328"/>
      <c r="NQY9967" s="1328"/>
      <c r="NRA9967" s="1328"/>
      <c r="NRB9967" s="1328">
        <v>8919645.2799999993</v>
      </c>
      <c r="NRC9967" s="1328"/>
      <c r="NRE9967" s="1328"/>
      <c r="NRF9967" s="1328"/>
      <c r="NRG9967" s="1328"/>
      <c r="NRI9967" s="1328"/>
      <c r="NRJ9967" s="1328">
        <v>8919645.2799999993</v>
      </c>
      <c r="NRK9967" s="1328"/>
      <c r="NRM9967" s="1328"/>
      <c r="NRN9967" s="1328"/>
      <c r="NRO9967" s="1328"/>
      <c r="NRQ9967" s="1328"/>
      <c r="NRR9967" s="1328">
        <v>8919645.2799999993</v>
      </c>
      <c r="NRS9967" s="1328"/>
      <c r="NRU9967" s="1328"/>
      <c r="NRV9967" s="1328"/>
      <c r="NRW9967" s="1328"/>
      <c r="NRY9967" s="1328"/>
      <c r="NRZ9967" s="1328">
        <v>8919645.2799999993</v>
      </c>
      <c r="NSA9967" s="1328"/>
      <c r="NSC9967" s="1328"/>
      <c r="NSD9967" s="1328"/>
      <c r="NSE9967" s="1328"/>
      <c r="NSG9967" s="1328"/>
      <c r="NSH9967" s="1328">
        <v>8919645.2799999993</v>
      </c>
      <c r="NSI9967" s="1328"/>
      <c r="NSK9967" s="1328"/>
      <c r="NSL9967" s="1328"/>
      <c r="NSM9967" s="1328"/>
      <c r="NSO9967" s="1328"/>
      <c r="NSP9967" s="1328">
        <v>8919645.2799999993</v>
      </c>
      <c r="NSQ9967" s="1328"/>
      <c r="NSS9967" s="1328"/>
      <c r="NST9967" s="1328"/>
      <c r="NSU9967" s="1328"/>
      <c r="NSW9967" s="1328"/>
      <c r="NSX9967" s="1328">
        <v>8919645.2799999993</v>
      </c>
      <c r="NSY9967" s="1328"/>
      <c r="NTA9967" s="1328"/>
      <c r="NTB9967" s="1328"/>
      <c r="NTC9967" s="1328"/>
      <c r="NTE9967" s="1328"/>
      <c r="NTF9967" s="1328">
        <v>8919645.2799999993</v>
      </c>
      <c r="NTG9967" s="1328"/>
      <c r="NTI9967" s="1328"/>
      <c r="NTJ9967" s="1328"/>
      <c r="NTK9967" s="1328"/>
      <c r="NTM9967" s="1328"/>
      <c r="NTN9967" s="1328">
        <v>8919645.2799999993</v>
      </c>
      <c r="NTO9967" s="1328"/>
      <c r="NTQ9967" s="1328"/>
      <c r="NTR9967" s="1328"/>
      <c r="NTS9967" s="1328"/>
      <c r="NTU9967" s="1328"/>
      <c r="NTV9967" s="1328">
        <v>8919645.2799999993</v>
      </c>
      <c r="NTW9967" s="1328"/>
      <c r="NTY9967" s="1328"/>
      <c r="NTZ9967" s="1328"/>
      <c r="NUA9967" s="1328"/>
      <c r="NUC9967" s="1328"/>
      <c r="NUD9967" s="1328">
        <v>8919645.2799999993</v>
      </c>
      <c r="NUE9967" s="1328"/>
      <c r="NUG9967" s="1328"/>
      <c r="NUH9967" s="1328"/>
      <c r="NUI9967" s="1328"/>
      <c r="NUK9967" s="1328"/>
      <c r="NUL9967" s="1328">
        <v>8919645.2799999993</v>
      </c>
      <c r="NUM9967" s="1328"/>
      <c r="NUO9967" s="1328"/>
      <c r="NUP9967" s="1328"/>
      <c r="NUQ9967" s="1328"/>
      <c r="NUS9967" s="1328"/>
      <c r="NUT9967" s="1328">
        <v>8919645.2799999993</v>
      </c>
      <c r="NUU9967" s="1328"/>
      <c r="NUW9967" s="1328"/>
      <c r="NUX9967" s="1328"/>
      <c r="NUY9967" s="1328"/>
      <c r="NVA9967" s="1328"/>
      <c r="NVB9967" s="1328">
        <v>8919645.2799999993</v>
      </c>
      <c r="NVC9967" s="1328"/>
      <c r="NVE9967" s="1328"/>
      <c r="NVF9967" s="1328"/>
      <c r="NVG9967" s="1328"/>
      <c r="NVI9967" s="1328"/>
      <c r="NVJ9967" s="1328">
        <v>8919645.2799999993</v>
      </c>
      <c r="NVK9967" s="1328"/>
      <c r="NVM9967" s="1328"/>
      <c r="NVN9967" s="1328"/>
      <c r="NVO9967" s="1328"/>
      <c r="NVQ9967" s="1328"/>
      <c r="NVR9967" s="1328">
        <v>8919645.2799999993</v>
      </c>
      <c r="NVS9967" s="1328"/>
      <c r="NVU9967" s="1328"/>
      <c r="NVV9967" s="1328"/>
      <c r="NVW9967" s="1328"/>
      <c r="NVY9967" s="1328"/>
      <c r="NVZ9967" s="1328">
        <v>8919645.2799999993</v>
      </c>
      <c r="NWA9967" s="1328"/>
      <c r="NWC9967" s="1328"/>
      <c r="NWD9967" s="1328"/>
      <c r="NWE9967" s="1328"/>
      <c r="NWG9967" s="1328"/>
      <c r="NWH9967" s="1328">
        <v>8919645.2799999993</v>
      </c>
      <c r="NWI9967" s="1328"/>
      <c r="NWK9967" s="1328"/>
      <c r="NWL9967" s="1328"/>
      <c r="NWM9967" s="1328"/>
      <c r="NWO9967" s="1328"/>
      <c r="NWP9967" s="1328">
        <v>8919645.2799999993</v>
      </c>
      <c r="NWQ9967" s="1328"/>
      <c r="NWS9967" s="1328"/>
      <c r="NWT9967" s="1328"/>
      <c r="NWU9967" s="1328"/>
      <c r="NWW9967" s="1328"/>
      <c r="NWX9967" s="1328">
        <v>8919645.2799999993</v>
      </c>
      <c r="NWY9967" s="1328"/>
      <c r="NXA9967" s="1328"/>
      <c r="NXB9967" s="1328"/>
      <c r="NXC9967" s="1328"/>
      <c r="NXE9967" s="1328"/>
      <c r="NXF9967" s="1328">
        <v>8919645.2799999993</v>
      </c>
      <c r="NXG9967" s="1328"/>
      <c r="NXI9967" s="1328"/>
      <c r="NXJ9967" s="1328"/>
      <c r="NXK9967" s="1328"/>
      <c r="NXM9967" s="1328"/>
      <c r="NXN9967" s="1328">
        <v>8919645.2799999993</v>
      </c>
      <c r="NXO9967" s="1328"/>
      <c r="NXQ9967" s="1328"/>
      <c r="NXR9967" s="1328"/>
      <c r="NXS9967" s="1328"/>
      <c r="NXU9967" s="1328"/>
      <c r="NXV9967" s="1328">
        <v>8919645.2799999993</v>
      </c>
      <c r="NXW9967" s="1328"/>
      <c r="NXY9967" s="1328"/>
      <c r="NXZ9967" s="1328"/>
      <c r="NYA9967" s="1328"/>
      <c r="NYC9967" s="1328"/>
      <c r="NYD9967" s="1328">
        <v>8919645.2799999993</v>
      </c>
      <c r="NYE9967" s="1328"/>
      <c r="NYG9967" s="1328"/>
      <c r="NYH9967" s="1328"/>
      <c r="NYI9967" s="1328"/>
      <c r="NYK9967" s="1328"/>
      <c r="NYL9967" s="1328">
        <v>8919645.2799999993</v>
      </c>
      <c r="NYM9967" s="1328"/>
      <c r="NYO9967" s="1328"/>
      <c r="NYP9967" s="1328"/>
      <c r="NYQ9967" s="1328"/>
      <c r="NYS9967" s="1328"/>
      <c r="NYT9967" s="1328">
        <v>8919645.2799999993</v>
      </c>
      <c r="NYU9967" s="1328"/>
      <c r="NYW9967" s="1328"/>
      <c r="NYX9967" s="1328"/>
      <c r="NYY9967" s="1328"/>
      <c r="NZA9967" s="1328"/>
      <c r="NZB9967" s="1328">
        <v>8919645.2799999993</v>
      </c>
      <c r="NZC9967" s="1328"/>
      <c r="NZE9967" s="1328"/>
      <c r="NZF9967" s="1328"/>
      <c r="NZG9967" s="1328"/>
      <c r="NZI9967" s="1328"/>
      <c r="NZJ9967" s="1328">
        <v>8919645.2799999993</v>
      </c>
      <c r="NZK9967" s="1328"/>
      <c r="NZM9967" s="1328"/>
      <c r="NZN9967" s="1328"/>
      <c r="NZO9967" s="1328"/>
      <c r="NZQ9967" s="1328"/>
      <c r="NZR9967" s="1328">
        <v>8919645.2799999993</v>
      </c>
      <c r="NZS9967" s="1328"/>
      <c r="NZU9967" s="1328"/>
      <c r="NZV9967" s="1328"/>
      <c r="NZW9967" s="1328"/>
      <c r="NZY9967" s="1328"/>
      <c r="NZZ9967" s="1328">
        <v>8919645.2799999993</v>
      </c>
      <c r="OAA9967" s="1328"/>
      <c r="OAC9967" s="1328"/>
      <c r="OAD9967" s="1328"/>
      <c r="OAE9967" s="1328"/>
      <c r="OAG9967" s="1328"/>
      <c r="OAH9967" s="1328">
        <v>8919645.2799999993</v>
      </c>
      <c r="OAI9967" s="1328"/>
      <c r="OAK9967" s="1328"/>
      <c r="OAL9967" s="1328"/>
      <c r="OAM9967" s="1328"/>
      <c r="OAO9967" s="1328"/>
      <c r="OAP9967" s="1328">
        <v>8919645.2799999993</v>
      </c>
      <c r="OAQ9967" s="1328"/>
      <c r="OAS9967" s="1328"/>
      <c r="OAT9967" s="1328"/>
      <c r="OAU9967" s="1328"/>
      <c r="OAW9967" s="1328"/>
      <c r="OAX9967" s="1328">
        <v>8919645.2799999993</v>
      </c>
      <c r="OAY9967" s="1328"/>
      <c r="OBA9967" s="1328"/>
      <c r="OBB9967" s="1328"/>
      <c r="OBC9967" s="1328"/>
      <c r="OBE9967" s="1328"/>
      <c r="OBF9967" s="1328">
        <v>8919645.2799999993</v>
      </c>
      <c r="OBG9967" s="1328"/>
      <c r="OBI9967" s="1328"/>
      <c r="OBJ9967" s="1328"/>
      <c r="OBK9967" s="1328"/>
      <c r="OBM9967" s="1328"/>
      <c r="OBN9967" s="1328">
        <v>8919645.2799999993</v>
      </c>
      <c r="OBO9967" s="1328"/>
      <c r="OBQ9967" s="1328"/>
      <c r="OBR9967" s="1328"/>
      <c r="OBS9967" s="1328"/>
      <c r="OBU9967" s="1328"/>
      <c r="OBV9967" s="1328">
        <v>8919645.2799999993</v>
      </c>
      <c r="OBW9967" s="1328"/>
      <c r="OBY9967" s="1328"/>
      <c r="OBZ9967" s="1328"/>
      <c r="OCA9967" s="1328"/>
      <c r="OCC9967" s="1328"/>
      <c r="OCD9967" s="1328">
        <v>8919645.2799999993</v>
      </c>
      <c r="OCE9967" s="1328"/>
      <c r="OCG9967" s="1328"/>
      <c r="OCH9967" s="1328"/>
      <c r="OCI9967" s="1328"/>
      <c r="OCK9967" s="1328"/>
      <c r="OCL9967" s="1328">
        <v>8919645.2799999993</v>
      </c>
      <c r="OCM9967" s="1328"/>
      <c r="OCO9967" s="1328"/>
      <c r="OCP9967" s="1328"/>
      <c r="OCQ9967" s="1328"/>
      <c r="OCS9967" s="1328"/>
      <c r="OCT9967" s="1328">
        <v>8919645.2799999993</v>
      </c>
      <c r="OCU9967" s="1328"/>
      <c r="OCW9967" s="1328"/>
      <c r="OCX9967" s="1328"/>
      <c r="OCY9967" s="1328"/>
      <c r="ODA9967" s="1328"/>
      <c r="ODB9967" s="1328">
        <v>8919645.2799999993</v>
      </c>
      <c r="ODC9967" s="1328"/>
      <c r="ODE9967" s="1328"/>
      <c r="ODF9967" s="1328"/>
      <c r="ODG9967" s="1328"/>
      <c r="ODI9967" s="1328"/>
      <c r="ODJ9967" s="1328">
        <v>8919645.2799999993</v>
      </c>
      <c r="ODK9967" s="1328"/>
      <c r="ODM9967" s="1328"/>
      <c r="ODN9967" s="1328"/>
      <c r="ODO9967" s="1328"/>
      <c r="ODQ9967" s="1328"/>
      <c r="ODR9967" s="1328">
        <v>8919645.2799999993</v>
      </c>
      <c r="ODS9967" s="1328"/>
      <c r="ODU9967" s="1328"/>
      <c r="ODV9967" s="1328"/>
      <c r="ODW9967" s="1328"/>
      <c r="ODY9967" s="1328"/>
      <c r="ODZ9967" s="1328">
        <v>8919645.2799999993</v>
      </c>
      <c r="OEA9967" s="1328"/>
      <c r="OEC9967" s="1328"/>
      <c r="OED9967" s="1328"/>
      <c r="OEE9967" s="1328"/>
      <c r="OEG9967" s="1328"/>
      <c r="OEH9967" s="1328">
        <v>8919645.2799999993</v>
      </c>
      <c r="OEI9967" s="1328"/>
      <c r="OEK9967" s="1328"/>
      <c r="OEL9967" s="1328"/>
      <c r="OEM9967" s="1328"/>
      <c r="OEO9967" s="1328"/>
      <c r="OEP9967" s="1328">
        <v>8919645.2799999993</v>
      </c>
      <c r="OEQ9967" s="1328"/>
      <c r="OES9967" s="1328"/>
      <c r="OET9967" s="1328"/>
      <c r="OEU9967" s="1328"/>
      <c r="OEW9967" s="1328"/>
      <c r="OEX9967" s="1328">
        <v>8919645.2799999993</v>
      </c>
      <c r="OEY9967" s="1328"/>
      <c r="OFA9967" s="1328"/>
      <c r="OFB9967" s="1328"/>
      <c r="OFC9967" s="1328"/>
      <c r="OFE9967" s="1328"/>
      <c r="OFF9967" s="1328">
        <v>8919645.2799999993</v>
      </c>
      <c r="OFG9967" s="1328"/>
      <c r="OFI9967" s="1328"/>
      <c r="OFJ9967" s="1328"/>
      <c r="OFK9967" s="1328"/>
      <c r="OFM9967" s="1328"/>
      <c r="OFN9967" s="1328">
        <v>8919645.2799999993</v>
      </c>
      <c r="OFO9967" s="1328"/>
      <c r="OFQ9967" s="1328"/>
      <c r="OFR9967" s="1328"/>
      <c r="OFS9967" s="1328"/>
      <c r="OFU9967" s="1328"/>
      <c r="OFV9967" s="1328">
        <v>8919645.2799999993</v>
      </c>
      <c r="OFW9967" s="1328"/>
      <c r="OFY9967" s="1328"/>
      <c r="OFZ9967" s="1328"/>
      <c r="OGA9967" s="1328"/>
      <c r="OGC9967" s="1328"/>
      <c r="OGD9967" s="1328">
        <v>8919645.2799999993</v>
      </c>
      <c r="OGE9967" s="1328"/>
      <c r="OGG9967" s="1328"/>
      <c r="OGH9967" s="1328"/>
      <c r="OGI9967" s="1328"/>
      <c r="OGK9967" s="1328"/>
      <c r="OGL9967" s="1328">
        <v>8919645.2799999993</v>
      </c>
      <c r="OGM9967" s="1328"/>
      <c r="OGO9967" s="1328"/>
      <c r="OGP9967" s="1328"/>
      <c r="OGQ9967" s="1328"/>
      <c r="OGS9967" s="1328"/>
      <c r="OGT9967" s="1328">
        <v>8919645.2799999993</v>
      </c>
      <c r="OGU9967" s="1328"/>
      <c r="OGW9967" s="1328"/>
      <c r="OGX9967" s="1328"/>
      <c r="OGY9967" s="1328"/>
      <c r="OHA9967" s="1328"/>
      <c r="OHB9967" s="1328">
        <v>8919645.2799999993</v>
      </c>
      <c r="OHC9967" s="1328"/>
      <c r="OHE9967" s="1328"/>
      <c r="OHF9967" s="1328"/>
      <c r="OHG9967" s="1328"/>
      <c r="OHI9967" s="1328"/>
      <c r="OHJ9967" s="1328">
        <v>8919645.2799999993</v>
      </c>
      <c r="OHK9967" s="1328"/>
      <c r="OHM9967" s="1328"/>
      <c r="OHN9967" s="1328"/>
      <c r="OHO9967" s="1328"/>
      <c r="OHQ9967" s="1328"/>
      <c r="OHR9967" s="1328">
        <v>8919645.2799999993</v>
      </c>
      <c r="OHS9967" s="1328"/>
      <c r="OHU9967" s="1328"/>
      <c r="OHV9967" s="1328"/>
      <c r="OHW9967" s="1328"/>
      <c r="OHY9967" s="1328"/>
      <c r="OHZ9967" s="1328">
        <v>8919645.2799999993</v>
      </c>
      <c r="OIA9967" s="1328"/>
      <c r="OIC9967" s="1328"/>
      <c r="OID9967" s="1328"/>
      <c r="OIE9967" s="1328"/>
      <c r="OIG9967" s="1328"/>
      <c r="OIH9967" s="1328">
        <v>8919645.2799999993</v>
      </c>
      <c r="OII9967" s="1328"/>
      <c r="OIK9967" s="1328"/>
      <c r="OIL9967" s="1328"/>
      <c r="OIM9967" s="1328"/>
      <c r="OIO9967" s="1328"/>
      <c r="OIP9967" s="1328">
        <v>8919645.2799999993</v>
      </c>
      <c r="OIQ9967" s="1328"/>
      <c r="OIS9967" s="1328"/>
      <c r="OIT9967" s="1328"/>
      <c r="OIU9967" s="1328"/>
      <c r="OIW9967" s="1328"/>
      <c r="OIX9967" s="1328">
        <v>8919645.2799999993</v>
      </c>
      <c r="OIY9967" s="1328"/>
      <c r="OJA9967" s="1328"/>
      <c r="OJB9967" s="1328"/>
      <c r="OJC9967" s="1328"/>
      <c r="OJE9967" s="1328"/>
      <c r="OJF9967" s="1328">
        <v>8919645.2799999993</v>
      </c>
      <c r="OJG9967" s="1328"/>
      <c r="OJI9967" s="1328"/>
      <c r="OJJ9967" s="1328"/>
      <c r="OJK9967" s="1328"/>
      <c r="OJM9967" s="1328"/>
      <c r="OJN9967" s="1328">
        <v>8919645.2799999993</v>
      </c>
      <c r="OJO9967" s="1328"/>
      <c r="OJQ9967" s="1328"/>
      <c r="OJR9967" s="1328"/>
      <c r="OJS9967" s="1328"/>
      <c r="OJU9967" s="1328"/>
      <c r="OJV9967" s="1328">
        <v>8919645.2799999993</v>
      </c>
      <c r="OJW9967" s="1328"/>
      <c r="OJY9967" s="1328"/>
      <c r="OJZ9967" s="1328"/>
      <c r="OKA9967" s="1328"/>
      <c r="OKC9967" s="1328"/>
      <c r="OKD9967" s="1328">
        <v>8919645.2799999993</v>
      </c>
      <c r="OKE9967" s="1328"/>
      <c r="OKG9967" s="1328"/>
      <c r="OKH9967" s="1328"/>
      <c r="OKI9967" s="1328"/>
      <c r="OKK9967" s="1328"/>
      <c r="OKL9967" s="1328">
        <v>8919645.2799999993</v>
      </c>
      <c r="OKM9967" s="1328"/>
      <c r="OKO9967" s="1328"/>
      <c r="OKP9967" s="1328"/>
      <c r="OKQ9967" s="1328"/>
      <c r="OKS9967" s="1328"/>
      <c r="OKT9967" s="1328">
        <v>8919645.2799999993</v>
      </c>
      <c r="OKU9967" s="1328"/>
      <c r="OKW9967" s="1328"/>
      <c r="OKX9967" s="1328"/>
      <c r="OKY9967" s="1328"/>
      <c r="OLA9967" s="1328"/>
      <c r="OLB9967" s="1328">
        <v>8919645.2799999993</v>
      </c>
      <c r="OLC9967" s="1328"/>
      <c r="OLE9967" s="1328"/>
      <c r="OLF9967" s="1328"/>
      <c r="OLG9967" s="1328"/>
      <c r="OLI9967" s="1328"/>
      <c r="OLJ9967" s="1328">
        <v>8919645.2799999993</v>
      </c>
      <c r="OLK9967" s="1328"/>
      <c r="OLM9967" s="1328"/>
      <c r="OLN9967" s="1328"/>
      <c r="OLO9967" s="1328"/>
      <c r="OLQ9967" s="1328"/>
      <c r="OLR9967" s="1328">
        <v>8919645.2799999993</v>
      </c>
      <c r="OLS9967" s="1328"/>
      <c r="OLU9967" s="1328"/>
      <c r="OLV9967" s="1328"/>
      <c r="OLW9967" s="1328"/>
      <c r="OLY9967" s="1328"/>
      <c r="OLZ9967" s="1328">
        <v>8919645.2799999993</v>
      </c>
      <c r="OMA9967" s="1328"/>
      <c r="OMC9967" s="1328"/>
      <c r="OMD9967" s="1328"/>
      <c r="OME9967" s="1328"/>
      <c r="OMG9967" s="1328"/>
      <c r="OMH9967" s="1328">
        <v>8919645.2799999993</v>
      </c>
      <c r="OMI9967" s="1328"/>
      <c r="OMK9967" s="1328"/>
      <c r="OML9967" s="1328"/>
      <c r="OMM9967" s="1328"/>
      <c r="OMO9967" s="1328"/>
      <c r="OMP9967" s="1328">
        <v>8919645.2799999993</v>
      </c>
      <c r="OMQ9967" s="1328"/>
      <c r="OMS9967" s="1328"/>
      <c r="OMT9967" s="1328"/>
      <c r="OMU9967" s="1328"/>
      <c r="OMW9967" s="1328"/>
      <c r="OMX9967" s="1328">
        <v>8919645.2799999993</v>
      </c>
      <c r="OMY9967" s="1328"/>
      <c r="ONA9967" s="1328"/>
      <c r="ONB9967" s="1328"/>
      <c r="ONC9967" s="1328"/>
      <c r="ONE9967" s="1328"/>
      <c r="ONF9967" s="1328">
        <v>8919645.2799999993</v>
      </c>
      <c r="ONG9967" s="1328"/>
      <c r="ONI9967" s="1328"/>
      <c r="ONJ9967" s="1328"/>
      <c r="ONK9967" s="1328"/>
      <c r="ONM9967" s="1328"/>
      <c r="ONN9967" s="1328">
        <v>8919645.2799999993</v>
      </c>
      <c r="ONO9967" s="1328"/>
      <c r="ONQ9967" s="1328"/>
      <c r="ONR9967" s="1328"/>
      <c r="ONS9967" s="1328"/>
      <c r="ONU9967" s="1328"/>
      <c r="ONV9967" s="1328">
        <v>8919645.2799999993</v>
      </c>
      <c r="ONW9967" s="1328"/>
      <c r="ONY9967" s="1328"/>
      <c r="ONZ9967" s="1328"/>
      <c r="OOA9967" s="1328"/>
      <c r="OOC9967" s="1328"/>
      <c r="OOD9967" s="1328">
        <v>8919645.2799999993</v>
      </c>
      <c r="OOE9967" s="1328"/>
      <c r="OOG9967" s="1328"/>
      <c r="OOH9967" s="1328"/>
      <c r="OOI9967" s="1328"/>
      <c r="OOK9967" s="1328"/>
      <c r="OOL9967" s="1328">
        <v>8919645.2799999993</v>
      </c>
      <c r="OOM9967" s="1328"/>
      <c r="OOO9967" s="1328"/>
      <c r="OOP9967" s="1328"/>
      <c r="OOQ9967" s="1328"/>
      <c r="OOS9967" s="1328"/>
      <c r="OOT9967" s="1328">
        <v>8919645.2799999993</v>
      </c>
      <c r="OOU9967" s="1328"/>
      <c r="OOW9967" s="1328"/>
      <c r="OOX9967" s="1328"/>
      <c r="OOY9967" s="1328"/>
      <c r="OPA9967" s="1328"/>
      <c r="OPB9967" s="1328">
        <v>8919645.2799999993</v>
      </c>
      <c r="OPC9967" s="1328"/>
      <c r="OPE9967" s="1328"/>
      <c r="OPF9967" s="1328"/>
      <c r="OPG9967" s="1328"/>
      <c r="OPI9967" s="1328"/>
      <c r="OPJ9967" s="1328">
        <v>8919645.2799999993</v>
      </c>
      <c r="OPK9967" s="1328"/>
      <c r="OPM9967" s="1328"/>
      <c r="OPN9967" s="1328"/>
      <c r="OPO9967" s="1328"/>
      <c r="OPQ9967" s="1328"/>
      <c r="OPR9967" s="1328">
        <v>8919645.2799999993</v>
      </c>
      <c r="OPS9967" s="1328"/>
      <c r="OPU9967" s="1328"/>
      <c r="OPV9967" s="1328"/>
      <c r="OPW9967" s="1328"/>
      <c r="OPY9967" s="1328"/>
      <c r="OPZ9967" s="1328">
        <v>8919645.2799999993</v>
      </c>
      <c r="OQA9967" s="1328"/>
      <c r="OQC9967" s="1328"/>
      <c r="OQD9967" s="1328"/>
      <c r="OQE9967" s="1328"/>
      <c r="OQG9967" s="1328"/>
      <c r="OQH9967" s="1328">
        <v>8919645.2799999993</v>
      </c>
      <c r="OQI9967" s="1328"/>
      <c r="OQK9967" s="1328"/>
      <c r="OQL9967" s="1328"/>
      <c r="OQM9967" s="1328"/>
      <c r="OQO9967" s="1328"/>
      <c r="OQP9967" s="1328">
        <v>8919645.2799999993</v>
      </c>
      <c r="OQQ9967" s="1328"/>
      <c r="OQS9967" s="1328"/>
      <c r="OQT9967" s="1328"/>
      <c r="OQU9967" s="1328"/>
      <c r="OQW9967" s="1328"/>
      <c r="OQX9967" s="1328">
        <v>8919645.2799999993</v>
      </c>
      <c r="OQY9967" s="1328"/>
      <c r="ORA9967" s="1328"/>
      <c r="ORB9967" s="1328"/>
      <c r="ORC9967" s="1328"/>
      <c r="ORE9967" s="1328"/>
      <c r="ORF9967" s="1328">
        <v>8919645.2799999993</v>
      </c>
      <c r="ORG9967" s="1328"/>
      <c r="ORI9967" s="1328"/>
      <c r="ORJ9967" s="1328"/>
      <c r="ORK9967" s="1328"/>
      <c r="ORM9967" s="1328"/>
      <c r="ORN9967" s="1328">
        <v>8919645.2799999993</v>
      </c>
      <c r="ORO9967" s="1328"/>
      <c r="ORQ9967" s="1328"/>
      <c r="ORR9967" s="1328"/>
      <c r="ORS9967" s="1328"/>
      <c r="ORU9967" s="1328"/>
      <c r="ORV9967" s="1328">
        <v>8919645.2799999993</v>
      </c>
      <c r="ORW9967" s="1328"/>
      <c r="ORY9967" s="1328"/>
      <c r="ORZ9967" s="1328"/>
      <c r="OSA9967" s="1328"/>
      <c r="OSC9967" s="1328"/>
      <c r="OSD9967" s="1328">
        <v>8919645.2799999993</v>
      </c>
      <c r="OSE9967" s="1328"/>
      <c r="OSG9967" s="1328"/>
      <c r="OSH9967" s="1328"/>
      <c r="OSI9967" s="1328"/>
      <c r="OSK9967" s="1328"/>
      <c r="OSL9967" s="1328">
        <v>8919645.2799999993</v>
      </c>
      <c r="OSM9967" s="1328"/>
      <c r="OSO9967" s="1328"/>
      <c r="OSP9967" s="1328"/>
      <c r="OSQ9967" s="1328"/>
      <c r="OSS9967" s="1328"/>
      <c r="OST9967" s="1328">
        <v>8919645.2799999993</v>
      </c>
      <c r="OSU9967" s="1328"/>
      <c r="OSW9967" s="1328"/>
      <c r="OSX9967" s="1328"/>
      <c r="OSY9967" s="1328"/>
      <c r="OTA9967" s="1328"/>
      <c r="OTB9967" s="1328">
        <v>8919645.2799999993</v>
      </c>
      <c r="OTC9967" s="1328"/>
      <c r="OTE9967" s="1328"/>
      <c r="OTF9967" s="1328"/>
      <c r="OTG9967" s="1328"/>
      <c r="OTI9967" s="1328"/>
      <c r="OTJ9967" s="1328">
        <v>8919645.2799999993</v>
      </c>
      <c r="OTK9967" s="1328"/>
      <c r="OTM9967" s="1328"/>
      <c r="OTN9967" s="1328"/>
      <c r="OTO9967" s="1328"/>
      <c r="OTQ9967" s="1328"/>
      <c r="OTR9967" s="1328">
        <v>8919645.2799999993</v>
      </c>
      <c r="OTS9967" s="1328"/>
      <c r="OTU9967" s="1328"/>
      <c r="OTV9967" s="1328"/>
      <c r="OTW9967" s="1328"/>
      <c r="OTY9967" s="1328"/>
      <c r="OTZ9967" s="1328">
        <v>8919645.2799999993</v>
      </c>
      <c r="OUA9967" s="1328"/>
      <c r="OUC9967" s="1328"/>
      <c r="OUD9967" s="1328"/>
      <c r="OUE9967" s="1328"/>
      <c r="OUG9967" s="1328"/>
      <c r="OUH9967" s="1328">
        <v>8919645.2799999993</v>
      </c>
      <c r="OUI9967" s="1328"/>
      <c r="OUK9967" s="1328"/>
      <c r="OUL9967" s="1328"/>
      <c r="OUM9967" s="1328"/>
      <c r="OUO9967" s="1328"/>
      <c r="OUP9967" s="1328">
        <v>8919645.2799999993</v>
      </c>
      <c r="OUQ9967" s="1328"/>
      <c r="OUS9967" s="1328"/>
      <c r="OUT9967" s="1328"/>
      <c r="OUU9967" s="1328"/>
      <c r="OUW9967" s="1328"/>
      <c r="OUX9967" s="1328">
        <v>8919645.2799999993</v>
      </c>
      <c r="OUY9967" s="1328"/>
      <c r="OVA9967" s="1328"/>
      <c r="OVB9967" s="1328"/>
      <c r="OVC9967" s="1328"/>
      <c r="OVE9967" s="1328"/>
      <c r="OVF9967" s="1328">
        <v>8919645.2799999993</v>
      </c>
      <c r="OVG9967" s="1328"/>
      <c r="OVI9967" s="1328"/>
      <c r="OVJ9967" s="1328"/>
      <c r="OVK9967" s="1328"/>
      <c r="OVM9967" s="1328"/>
      <c r="OVN9967" s="1328">
        <v>8919645.2799999993</v>
      </c>
      <c r="OVO9967" s="1328"/>
      <c r="OVQ9967" s="1328"/>
      <c r="OVR9967" s="1328"/>
      <c r="OVS9967" s="1328"/>
      <c r="OVU9967" s="1328"/>
      <c r="OVV9967" s="1328">
        <v>8919645.2799999993</v>
      </c>
      <c r="OVW9967" s="1328"/>
      <c r="OVY9967" s="1328"/>
      <c r="OVZ9967" s="1328"/>
      <c r="OWA9967" s="1328"/>
      <c r="OWC9967" s="1328"/>
      <c r="OWD9967" s="1328">
        <v>8919645.2799999993</v>
      </c>
      <c r="OWE9967" s="1328"/>
      <c r="OWG9967" s="1328"/>
      <c r="OWH9967" s="1328"/>
      <c r="OWI9967" s="1328"/>
      <c r="OWK9967" s="1328"/>
      <c r="OWL9967" s="1328">
        <v>8919645.2799999993</v>
      </c>
      <c r="OWM9967" s="1328"/>
      <c r="OWO9967" s="1328"/>
      <c r="OWP9967" s="1328"/>
      <c r="OWQ9967" s="1328"/>
      <c r="OWS9967" s="1328"/>
      <c r="OWT9967" s="1328">
        <v>8919645.2799999993</v>
      </c>
      <c r="OWU9967" s="1328"/>
      <c r="OWW9967" s="1328"/>
      <c r="OWX9967" s="1328"/>
      <c r="OWY9967" s="1328"/>
      <c r="OXA9967" s="1328"/>
      <c r="OXB9967" s="1328">
        <v>8919645.2799999993</v>
      </c>
      <c r="OXC9967" s="1328"/>
      <c r="OXE9967" s="1328"/>
      <c r="OXF9967" s="1328"/>
      <c r="OXG9967" s="1328"/>
      <c r="OXI9967" s="1328"/>
      <c r="OXJ9967" s="1328">
        <v>8919645.2799999993</v>
      </c>
      <c r="OXK9967" s="1328"/>
      <c r="OXM9967" s="1328"/>
      <c r="OXN9967" s="1328"/>
      <c r="OXO9967" s="1328"/>
      <c r="OXQ9967" s="1328"/>
      <c r="OXR9967" s="1328">
        <v>8919645.2799999993</v>
      </c>
      <c r="OXS9967" s="1328"/>
      <c r="OXU9967" s="1328"/>
      <c r="OXV9967" s="1328"/>
      <c r="OXW9967" s="1328"/>
      <c r="OXY9967" s="1328"/>
      <c r="OXZ9967" s="1328">
        <v>8919645.2799999993</v>
      </c>
      <c r="OYA9967" s="1328"/>
      <c r="OYC9967" s="1328"/>
      <c r="OYD9967" s="1328"/>
      <c r="OYE9967" s="1328"/>
      <c r="OYG9967" s="1328"/>
      <c r="OYH9967" s="1328">
        <v>8919645.2799999993</v>
      </c>
      <c r="OYI9967" s="1328"/>
      <c r="OYK9967" s="1328"/>
      <c r="OYL9967" s="1328"/>
      <c r="OYM9967" s="1328"/>
      <c r="OYO9967" s="1328"/>
      <c r="OYP9967" s="1328">
        <v>8919645.2799999993</v>
      </c>
      <c r="OYQ9967" s="1328"/>
      <c r="OYS9967" s="1328"/>
      <c r="OYT9967" s="1328"/>
      <c r="OYU9967" s="1328"/>
      <c r="OYW9967" s="1328"/>
      <c r="OYX9967" s="1328">
        <v>8919645.2799999993</v>
      </c>
      <c r="OYY9967" s="1328"/>
      <c r="OZA9967" s="1328"/>
      <c r="OZB9967" s="1328"/>
      <c r="OZC9967" s="1328"/>
      <c r="OZE9967" s="1328"/>
      <c r="OZF9967" s="1328">
        <v>8919645.2799999993</v>
      </c>
      <c r="OZG9967" s="1328"/>
      <c r="OZI9967" s="1328"/>
      <c r="OZJ9967" s="1328"/>
      <c r="OZK9967" s="1328"/>
      <c r="OZM9967" s="1328"/>
      <c r="OZN9967" s="1328">
        <v>8919645.2799999993</v>
      </c>
      <c r="OZO9967" s="1328"/>
      <c r="OZQ9967" s="1328"/>
      <c r="OZR9967" s="1328"/>
      <c r="OZS9967" s="1328"/>
      <c r="OZU9967" s="1328"/>
      <c r="OZV9967" s="1328">
        <v>8919645.2799999993</v>
      </c>
      <c r="OZW9967" s="1328"/>
      <c r="OZY9967" s="1328"/>
      <c r="OZZ9967" s="1328"/>
      <c r="PAA9967" s="1328"/>
      <c r="PAC9967" s="1328"/>
      <c r="PAD9967" s="1328">
        <v>8919645.2799999993</v>
      </c>
      <c r="PAE9967" s="1328"/>
      <c r="PAG9967" s="1328"/>
      <c r="PAH9967" s="1328"/>
      <c r="PAI9967" s="1328"/>
      <c r="PAK9967" s="1328"/>
      <c r="PAL9967" s="1328">
        <v>8919645.2799999993</v>
      </c>
      <c r="PAM9967" s="1328"/>
      <c r="PAO9967" s="1328"/>
      <c r="PAP9967" s="1328"/>
      <c r="PAQ9967" s="1328"/>
      <c r="PAS9967" s="1328"/>
      <c r="PAT9967" s="1328">
        <v>8919645.2799999993</v>
      </c>
      <c r="PAU9967" s="1328"/>
      <c r="PAW9967" s="1328"/>
      <c r="PAX9967" s="1328"/>
      <c r="PAY9967" s="1328"/>
      <c r="PBA9967" s="1328"/>
      <c r="PBB9967" s="1328">
        <v>8919645.2799999993</v>
      </c>
      <c r="PBC9967" s="1328"/>
      <c r="PBE9967" s="1328"/>
      <c r="PBF9967" s="1328"/>
      <c r="PBG9967" s="1328"/>
      <c r="PBI9967" s="1328"/>
      <c r="PBJ9967" s="1328">
        <v>8919645.2799999993</v>
      </c>
      <c r="PBK9967" s="1328"/>
      <c r="PBM9967" s="1328"/>
      <c r="PBN9967" s="1328"/>
      <c r="PBO9967" s="1328"/>
      <c r="PBQ9967" s="1328"/>
      <c r="PBR9967" s="1328">
        <v>8919645.2799999993</v>
      </c>
      <c r="PBS9967" s="1328"/>
      <c r="PBU9967" s="1328"/>
      <c r="PBV9967" s="1328"/>
      <c r="PBW9967" s="1328"/>
      <c r="PBY9967" s="1328"/>
      <c r="PBZ9967" s="1328">
        <v>8919645.2799999993</v>
      </c>
      <c r="PCA9967" s="1328"/>
      <c r="PCC9967" s="1328"/>
      <c r="PCD9967" s="1328"/>
      <c r="PCE9967" s="1328"/>
      <c r="PCG9967" s="1328"/>
      <c r="PCH9967" s="1328">
        <v>8919645.2799999993</v>
      </c>
      <c r="PCI9967" s="1328"/>
      <c r="PCK9967" s="1328"/>
      <c r="PCL9967" s="1328"/>
      <c r="PCM9967" s="1328"/>
      <c r="PCO9967" s="1328"/>
      <c r="PCP9967" s="1328">
        <v>8919645.2799999993</v>
      </c>
      <c r="PCQ9967" s="1328"/>
      <c r="PCS9967" s="1328"/>
      <c r="PCT9967" s="1328"/>
      <c r="PCU9967" s="1328"/>
      <c r="PCW9967" s="1328"/>
      <c r="PCX9967" s="1328">
        <v>8919645.2799999993</v>
      </c>
      <c r="PCY9967" s="1328"/>
      <c r="PDA9967" s="1328"/>
      <c r="PDB9967" s="1328"/>
      <c r="PDC9967" s="1328"/>
      <c r="PDE9967" s="1328"/>
      <c r="PDF9967" s="1328">
        <v>8919645.2799999993</v>
      </c>
      <c r="PDG9967" s="1328"/>
      <c r="PDI9967" s="1328"/>
      <c r="PDJ9967" s="1328"/>
      <c r="PDK9967" s="1328"/>
      <c r="PDM9967" s="1328"/>
      <c r="PDN9967" s="1328">
        <v>8919645.2799999993</v>
      </c>
      <c r="PDO9967" s="1328"/>
      <c r="PDQ9967" s="1328"/>
      <c r="PDR9967" s="1328"/>
      <c r="PDS9967" s="1328"/>
      <c r="PDU9967" s="1328"/>
      <c r="PDV9967" s="1328">
        <v>8919645.2799999993</v>
      </c>
      <c r="PDW9967" s="1328"/>
      <c r="PDY9967" s="1328"/>
      <c r="PDZ9967" s="1328"/>
      <c r="PEA9967" s="1328"/>
      <c r="PEC9967" s="1328"/>
      <c r="PED9967" s="1328">
        <v>8919645.2799999993</v>
      </c>
      <c r="PEE9967" s="1328"/>
      <c r="PEG9967" s="1328"/>
      <c r="PEH9967" s="1328"/>
      <c r="PEI9967" s="1328"/>
      <c r="PEK9967" s="1328"/>
      <c r="PEL9967" s="1328">
        <v>8919645.2799999993</v>
      </c>
      <c r="PEM9967" s="1328"/>
      <c r="PEO9967" s="1328"/>
      <c r="PEP9967" s="1328"/>
      <c r="PEQ9967" s="1328"/>
      <c r="PES9967" s="1328"/>
      <c r="PET9967" s="1328">
        <v>8919645.2799999993</v>
      </c>
      <c r="PEU9967" s="1328"/>
      <c r="PEW9967" s="1328"/>
      <c r="PEX9967" s="1328"/>
      <c r="PEY9967" s="1328"/>
      <c r="PFA9967" s="1328"/>
      <c r="PFB9967" s="1328">
        <v>8919645.2799999993</v>
      </c>
      <c r="PFC9967" s="1328"/>
      <c r="PFE9967" s="1328"/>
      <c r="PFF9967" s="1328"/>
      <c r="PFG9967" s="1328"/>
      <c r="PFI9967" s="1328"/>
      <c r="PFJ9967" s="1328">
        <v>8919645.2799999993</v>
      </c>
      <c r="PFK9967" s="1328"/>
      <c r="PFM9967" s="1328"/>
      <c r="PFN9967" s="1328"/>
      <c r="PFO9967" s="1328"/>
      <c r="PFQ9967" s="1328"/>
      <c r="PFR9967" s="1328">
        <v>8919645.2799999993</v>
      </c>
      <c r="PFS9967" s="1328"/>
      <c r="PFU9967" s="1328"/>
      <c r="PFV9967" s="1328"/>
      <c r="PFW9967" s="1328"/>
      <c r="PFY9967" s="1328"/>
      <c r="PFZ9967" s="1328">
        <v>8919645.2799999993</v>
      </c>
      <c r="PGA9967" s="1328"/>
      <c r="PGC9967" s="1328"/>
      <c r="PGD9967" s="1328"/>
      <c r="PGE9967" s="1328"/>
      <c r="PGG9967" s="1328"/>
      <c r="PGH9967" s="1328">
        <v>8919645.2799999993</v>
      </c>
      <c r="PGI9967" s="1328"/>
      <c r="PGK9967" s="1328"/>
      <c r="PGL9967" s="1328"/>
      <c r="PGM9967" s="1328"/>
      <c r="PGO9967" s="1328"/>
      <c r="PGP9967" s="1328">
        <v>8919645.2799999993</v>
      </c>
      <c r="PGQ9967" s="1328"/>
      <c r="PGS9967" s="1328"/>
      <c r="PGT9967" s="1328"/>
      <c r="PGU9967" s="1328"/>
      <c r="PGW9967" s="1328"/>
      <c r="PGX9967" s="1328">
        <v>8919645.2799999993</v>
      </c>
      <c r="PGY9967" s="1328"/>
      <c r="PHA9967" s="1328"/>
      <c r="PHB9967" s="1328"/>
      <c r="PHC9967" s="1328"/>
      <c r="PHE9967" s="1328"/>
      <c r="PHF9967" s="1328">
        <v>8919645.2799999993</v>
      </c>
      <c r="PHG9967" s="1328"/>
      <c r="PHI9967" s="1328"/>
      <c r="PHJ9967" s="1328"/>
      <c r="PHK9967" s="1328"/>
      <c r="PHM9967" s="1328"/>
      <c r="PHN9967" s="1328">
        <v>8919645.2799999993</v>
      </c>
      <c r="PHO9967" s="1328"/>
      <c r="PHQ9967" s="1328"/>
      <c r="PHR9967" s="1328"/>
      <c r="PHS9967" s="1328"/>
      <c r="PHU9967" s="1328"/>
      <c r="PHV9967" s="1328">
        <v>8919645.2799999993</v>
      </c>
      <c r="PHW9967" s="1328"/>
      <c r="PHY9967" s="1328"/>
      <c r="PHZ9967" s="1328"/>
      <c r="PIA9967" s="1328"/>
      <c r="PIC9967" s="1328"/>
      <c r="PID9967" s="1328">
        <v>8919645.2799999993</v>
      </c>
      <c r="PIE9967" s="1328"/>
      <c r="PIG9967" s="1328"/>
      <c r="PIH9967" s="1328"/>
      <c r="PII9967" s="1328"/>
      <c r="PIK9967" s="1328"/>
      <c r="PIL9967" s="1328">
        <v>8919645.2799999993</v>
      </c>
      <c r="PIM9967" s="1328"/>
      <c r="PIO9967" s="1328"/>
      <c r="PIP9967" s="1328"/>
      <c r="PIQ9967" s="1328"/>
      <c r="PIS9967" s="1328"/>
      <c r="PIT9967" s="1328">
        <v>8919645.2799999993</v>
      </c>
      <c r="PIU9967" s="1328"/>
      <c r="PIW9967" s="1328"/>
      <c r="PIX9967" s="1328"/>
      <c r="PIY9967" s="1328"/>
      <c r="PJA9967" s="1328"/>
      <c r="PJB9967" s="1328">
        <v>8919645.2799999993</v>
      </c>
      <c r="PJC9967" s="1328"/>
      <c r="PJE9967" s="1328"/>
      <c r="PJF9967" s="1328"/>
      <c r="PJG9967" s="1328"/>
      <c r="PJI9967" s="1328"/>
      <c r="PJJ9967" s="1328">
        <v>8919645.2799999993</v>
      </c>
      <c r="PJK9967" s="1328"/>
      <c r="PJM9967" s="1328"/>
      <c r="PJN9967" s="1328"/>
      <c r="PJO9967" s="1328"/>
      <c r="PJQ9967" s="1328"/>
      <c r="PJR9967" s="1328">
        <v>8919645.2799999993</v>
      </c>
      <c r="PJS9967" s="1328"/>
      <c r="PJU9967" s="1328"/>
      <c r="PJV9967" s="1328"/>
      <c r="PJW9967" s="1328"/>
      <c r="PJY9967" s="1328"/>
      <c r="PJZ9967" s="1328">
        <v>8919645.2799999993</v>
      </c>
      <c r="PKA9967" s="1328"/>
      <c r="PKC9967" s="1328"/>
      <c r="PKD9967" s="1328"/>
      <c r="PKE9967" s="1328"/>
      <c r="PKG9967" s="1328"/>
      <c r="PKH9967" s="1328">
        <v>8919645.2799999993</v>
      </c>
      <c r="PKI9967" s="1328"/>
      <c r="PKK9967" s="1328"/>
      <c r="PKL9967" s="1328"/>
      <c r="PKM9967" s="1328"/>
      <c r="PKO9967" s="1328"/>
      <c r="PKP9967" s="1328">
        <v>8919645.2799999993</v>
      </c>
      <c r="PKQ9967" s="1328"/>
      <c r="PKS9967" s="1328"/>
      <c r="PKT9967" s="1328"/>
      <c r="PKU9967" s="1328"/>
      <c r="PKW9967" s="1328"/>
      <c r="PKX9967" s="1328">
        <v>8919645.2799999993</v>
      </c>
      <c r="PKY9967" s="1328"/>
      <c r="PLA9967" s="1328"/>
      <c r="PLB9967" s="1328"/>
      <c r="PLC9967" s="1328"/>
      <c r="PLE9967" s="1328"/>
      <c r="PLF9967" s="1328">
        <v>8919645.2799999993</v>
      </c>
      <c r="PLG9967" s="1328"/>
      <c r="PLI9967" s="1328"/>
      <c r="PLJ9967" s="1328"/>
      <c r="PLK9967" s="1328"/>
      <c r="PLM9967" s="1328"/>
      <c r="PLN9967" s="1328">
        <v>8919645.2799999993</v>
      </c>
      <c r="PLO9967" s="1328"/>
      <c r="PLQ9967" s="1328"/>
      <c r="PLR9967" s="1328"/>
      <c r="PLS9967" s="1328"/>
      <c r="PLU9967" s="1328"/>
      <c r="PLV9967" s="1328">
        <v>8919645.2799999993</v>
      </c>
      <c r="PLW9967" s="1328"/>
      <c r="PLY9967" s="1328"/>
      <c r="PLZ9967" s="1328"/>
      <c r="PMA9967" s="1328"/>
      <c r="PMC9967" s="1328"/>
      <c r="PMD9967" s="1328">
        <v>8919645.2799999993</v>
      </c>
      <c r="PME9967" s="1328"/>
      <c r="PMG9967" s="1328"/>
      <c r="PMH9967" s="1328"/>
      <c r="PMI9967" s="1328"/>
      <c r="PMK9967" s="1328"/>
      <c r="PML9967" s="1328">
        <v>8919645.2799999993</v>
      </c>
      <c r="PMM9967" s="1328"/>
      <c r="PMO9967" s="1328"/>
      <c r="PMP9967" s="1328"/>
      <c r="PMQ9967" s="1328"/>
      <c r="PMS9967" s="1328"/>
      <c r="PMT9967" s="1328">
        <v>8919645.2799999993</v>
      </c>
      <c r="PMU9967" s="1328"/>
      <c r="PMW9967" s="1328"/>
      <c r="PMX9967" s="1328"/>
      <c r="PMY9967" s="1328"/>
      <c r="PNA9967" s="1328"/>
      <c r="PNB9967" s="1328">
        <v>8919645.2799999993</v>
      </c>
      <c r="PNC9967" s="1328"/>
      <c r="PNE9967" s="1328"/>
      <c r="PNF9967" s="1328"/>
      <c r="PNG9967" s="1328"/>
      <c r="PNI9967" s="1328"/>
      <c r="PNJ9967" s="1328">
        <v>8919645.2799999993</v>
      </c>
      <c r="PNK9967" s="1328"/>
      <c r="PNM9967" s="1328"/>
      <c r="PNN9967" s="1328"/>
      <c r="PNO9967" s="1328"/>
      <c r="PNQ9967" s="1328"/>
      <c r="PNR9967" s="1328">
        <v>8919645.2799999993</v>
      </c>
      <c r="PNS9967" s="1328"/>
      <c r="PNU9967" s="1328"/>
      <c r="PNV9967" s="1328"/>
      <c r="PNW9967" s="1328"/>
      <c r="PNY9967" s="1328"/>
      <c r="PNZ9967" s="1328">
        <v>8919645.2799999993</v>
      </c>
      <c r="POA9967" s="1328"/>
      <c r="POC9967" s="1328"/>
      <c r="POD9967" s="1328"/>
      <c r="POE9967" s="1328"/>
      <c r="POG9967" s="1328"/>
      <c r="POH9967" s="1328">
        <v>8919645.2799999993</v>
      </c>
      <c r="POI9967" s="1328"/>
      <c r="POK9967" s="1328"/>
      <c r="POL9967" s="1328"/>
      <c r="POM9967" s="1328"/>
      <c r="POO9967" s="1328"/>
      <c r="POP9967" s="1328">
        <v>8919645.2799999993</v>
      </c>
      <c r="POQ9967" s="1328"/>
      <c r="POS9967" s="1328"/>
      <c r="POT9967" s="1328"/>
      <c r="POU9967" s="1328"/>
      <c r="POW9967" s="1328"/>
      <c r="POX9967" s="1328">
        <v>8919645.2799999993</v>
      </c>
      <c r="POY9967" s="1328"/>
      <c r="PPA9967" s="1328"/>
      <c r="PPB9967" s="1328"/>
      <c r="PPC9967" s="1328"/>
      <c r="PPE9967" s="1328"/>
      <c r="PPF9967" s="1328">
        <v>8919645.2799999993</v>
      </c>
      <c r="PPG9967" s="1328"/>
      <c r="PPI9967" s="1328"/>
      <c r="PPJ9967" s="1328"/>
      <c r="PPK9967" s="1328"/>
      <c r="PPM9967" s="1328"/>
      <c r="PPN9967" s="1328">
        <v>8919645.2799999993</v>
      </c>
      <c r="PPO9967" s="1328"/>
      <c r="PPQ9967" s="1328"/>
      <c r="PPR9967" s="1328"/>
      <c r="PPS9967" s="1328"/>
      <c r="PPU9967" s="1328"/>
      <c r="PPV9967" s="1328">
        <v>8919645.2799999993</v>
      </c>
      <c r="PPW9967" s="1328"/>
      <c r="PPY9967" s="1328"/>
      <c r="PPZ9967" s="1328"/>
      <c r="PQA9967" s="1328"/>
      <c r="PQC9967" s="1328"/>
      <c r="PQD9967" s="1328">
        <v>8919645.2799999993</v>
      </c>
      <c r="PQE9967" s="1328"/>
      <c r="PQG9967" s="1328"/>
      <c r="PQH9967" s="1328"/>
      <c r="PQI9967" s="1328"/>
      <c r="PQK9967" s="1328"/>
      <c r="PQL9967" s="1328">
        <v>8919645.2799999993</v>
      </c>
      <c r="PQM9967" s="1328"/>
      <c r="PQO9967" s="1328"/>
      <c r="PQP9967" s="1328"/>
      <c r="PQQ9967" s="1328"/>
      <c r="PQS9967" s="1328"/>
      <c r="PQT9967" s="1328">
        <v>8919645.2799999993</v>
      </c>
      <c r="PQU9967" s="1328"/>
      <c r="PQW9967" s="1328"/>
      <c r="PQX9967" s="1328"/>
      <c r="PQY9967" s="1328"/>
      <c r="PRA9967" s="1328"/>
      <c r="PRB9967" s="1328">
        <v>8919645.2799999993</v>
      </c>
      <c r="PRC9967" s="1328"/>
      <c r="PRE9967" s="1328"/>
      <c r="PRF9967" s="1328"/>
      <c r="PRG9967" s="1328"/>
      <c r="PRI9967" s="1328"/>
      <c r="PRJ9967" s="1328">
        <v>8919645.2799999993</v>
      </c>
      <c r="PRK9967" s="1328"/>
      <c r="PRM9967" s="1328"/>
      <c r="PRN9967" s="1328"/>
      <c r="PRO9967" s="1328"/>
      <c r="PRQ9967" s="1328"/>
      <c r="PRR9967" s="1328">
        <v>8919645.2799999993</v>
      </c>
      <c r="PRS9967" s="1328"/>
      <c r="PRU9967" s="1328"/>
      <c r="PRV9967" s="1328"/>
      <c r="PRW9967" s="1328"/>
      <c r="PRY9967" s="1328"/>
      <c r="PRZ9967" s="1328">
        <v>8919645.2799999993</v>
      </c>
      <c r="PSA9967" s="1328"/>
      <c r="PSC9967" s="1328"/>
      <c r="PSD9967" s="1328"/>
      <c r="PSE9967" s="1328"/>
      <c r="PSG9967" s="1328"/>
      <c r="PSH9967" s="1328">
        <v>8919645.2799999993</v>
      </c>
      <c r="PSI9967" s="1328"/>
      <c r="PSK9967" s="1328"/>
      <c r="PSL9967" s="1328"/>
      <c r="PSM9967" s="1328"/>
      <c r="PSO9967" s="1328"/>
      <c r="PSP9967" s="1328">
        <v>8919645.2799999993</v>
      </c>
      <c r="PSQ9967" s="1328"/>
      <c r="PSS9967" s="1328"/>
      <c r="PST9967" s="1328"/>
      <c r="PSU9967" s="1328"/>
      <c r="PSW9967" s="1328"/>
      <c r="PSX9967" s="1328">
        <v>8919645.2799999993</v>
      </c>
      <c r="PSY9967" s="1328"/>
      <c r="PTA9967" s="1328"/>
      <c r="PTB9967" s="1328"/>
      <c r="PTC9967" s="1328"/>
      <c r="PTE9967" s="1328"/>
      <c r="PTF9967" s="1328">
        <v>8919645.2799999993</v>
      </c>
      <c r="PTG9967" s="1328"/>
      <c r="PTI9967" s="1328"/>
      <c r="PTJ9967" s="1328"/>
      <c r="PTK9967" s="1328"/>
      <c r="PTM9967" s="1328"/>
      <c r="PTN9967" s="1328">
        <v>8919645.2799999993</v>
      </c>
      <c r="PTO9967" s="1328"/>
      <c r="PTQ9967" s="1328"/>
      <c r="PTR9967" s="1328"/>
      <c r="PTS9967" s="1328"/>
      <c r="PTU9967" s="1328"/>
      <c r="PTV9967" s="1328">
        <v>8919645.2799999993</v>
      </c>
      <c r="PTW9967" s="1328"/>
      <c r="PTY9967" s="1328"/>
      <c r="PTZ9967" s="1328"/>
      <c r="PUA9967" s="1328"/>
      <c r="PUC9967" s="1328"/>
      <c r="PUD9967" s="1328">
        <v>8919645.2799999993</v>
      </c>
      <c r="PUE9967" s="1328"/>
      <c r="PUG9967" s="1328"/>
      <c r="PUH9967" s="1328"/>
      <c r="PUI9967" s="1328"/>
      <c r="PUK9967" s="1328"/>
      <c r="PUL9967" s="1328">
        <v>8919645.2799999993</v>
      </c>
      <c r="PUM9967" s="1328"/>
      <c r="PUO9967" s="1328"/>
      <c r="PUP9967" s="1328"/>
      <c r="PUQ9967" s="1328"/>
      <c r="PUS9967" s="1328"/>
      <c r="PUT9967" s="1328">
        <v>8919645.2799999993</v>
      </c>
      <c r="PUU9967" s="1328"/>
      <c r="PUW9967" s="1328"/>
      <c r="PUX9967" s="1328"/>
      <c r="PUY9967" s="1328"/>
      <c r="PVA9967" s="1328"/>
      <c r="PVB9967" s="1328">
        <v>8919645.2799999993</v>
      </c>
      <c r="PVC9967" s="1328"/>
      <c r="PVE9967" s="1328"/>
      <c r="PVF9967" s="1328"/>
      <c r="PVG9967" s="1328"/>
      <c r="PVI9967" s="1328"/>
      <c r="PVJ9967" s="1328">
        <v>8919645.2799999993</v>
      </c>
      <c r="PVK9967" s="1328"/>
      <c r="PVM9967" s="1328"/>
      <c r="PVN9967" s="1328"/>
      <c r="PVO9967" s="1328"/>
      <c r="PVQ9967" s="1328"/>
      <c r="PVR9967" s="1328">
        <v>8919645.2799999993</v>
      </c>
      <c r="PVS9967" s="1328"/>
      <c r="PVU9967" s="1328"/>
      <c r="PVV9967" s="1328"/>
      <c r="PVW9967" s="1328"/>
      <c r="PVY9967" s="1328"/>
      <c r="PVZ9967" s="1328">
        <v>8919645.2799999993</v>
      </c>
      <c r="PWA9967" s="1328"/>
      <c r="PWC9967" s="1328"/>
      <c r="PWD9967" s="1328"/>
      <c r="PWE9967" s="1328"/>
      <c r="PWG9967" s="1328"/>
      <c r="PWH9967" s="1328">
        <v>8919645.2799999993</v>
      </c>
      <c r="PWI9967" s="1328"/>
      <c r="PWK9967" s="1328"/>
      <c r="PWL9967" s="1328"/>
      <c r="PWM9967" s="1328"/>
      <c r="PWO9967" s="1328"/>
      <c r="PWP9967" s="1328">
        <v>8919645.2799999993</v>
      </c>
      <c r="PWQ9967" s="1328"/>
      <c r="PWS9967" s="1328"/>
      <c r="PWT9967" s="1328"/>
      <c r="PWU9967" s="1328"/>
      <c r="PWW9967" s="1328"/>
      <c r="PWX9967" s="1328">
        <v>8919645.2799999993</v>
      </c>
      <c r="PWY9967" s="1328"/>
      <c r="PXA9967" s="1328"/>
      <c r="PXB9967" s="1328"/>
      <c r="PXC9967" s="1328"/>
      <c r="PXE9967" s="1328"/>
      <c r="PXF9967" s="1328">
        <v>8919645.2799999993</v>
      </c>
      <c r="PXG9967" s="1328"/>
      <c r="PXI9967" s="1328"/>
      <c r="PXJ9967" s="1328"/>
      <c r="PXK9967" s="1328"/>
      <c r="PXM9967" s="1328"/>
      <c r="PXN9967" s="1328">
        <v>8919645.2799999993</v>
      </c>
      <c r="PXO9967" s="1328"/>
      <c r="PXQ9967" s="1328"/>
      <c r="PXR9967" s="1328"/>
      <c r="PXS9967" s="1328"/>
      <c r="PXU9967" s="1328"/>
      <c r="PXV9967" s="1328">
        <v>8919645.2799999993</v>
      </c>
      <c r="PXW9967" s="1328"/>
      <c r="PXY9967" s="1328"/>
      <c r="PXZ9967" s="1328"/>
      <c r="PYA9967" s="1328"/>
      <c r="PYC9967" s="1328"/>
      <c r="PYD9967" s="1328">
        <v>8919645.2799999993</v>
      </c>
      <c r="PYE9967" s="1328"/>
      <c r="PYG9967" s="1328"/>
      <c r="PYH9967" s="1328"/>
      <c r="PYI9967" s="1328"/>
      <c r="PYK9967" s="1328"/>
      <c r="PYL9967" s="1328">
        <v>8919645.2799999993</v>
      </c>
      <c r="PYM9967" s="1328"/>
      <c r="PYO9967" s="1328"/>
      <c r="PYP9967" s="1328"/>
      <c r="PYQ9967" s="1328"/>
      <c r="PYS9967" s="1328"/>
      <c r="PYT9967" s="1328">
        <v>8919645.2799999993</v>
      </c>
      <c r="PYU9967" s="1328"/>
      <c r="PYW9967" s="1328"/>
      <c r="PYX9967" s="1328"/>
      <c r="PYY9967" s="1328"/>
      <c r="PZA9967" s="1328"/>
      <c r="PZB9967" s="1328">
        <v>8919645.2799999993</v>
      </c>
      <c r="PZC9967" s="1328"/>
      <c r="PZE9967" s="1328"/>
      <c r="PZF9967" s="1328"/>
      <c r="PZG9967" s="1328"/>
      <c r="PZI9967" s="1328"/>
      <c r="PZJ9967" s="1328">
        <v>8919645.2799999993</v>
      </c>
      <c r="PZK9967" s="1328"/>
      <c r="PZM9967" s="1328"/>
      <c r="PZN9967" s="1328"/>
      <c r="PZO9967" s="1328"/>
      <c r="PZQ9967" s="1328"/>
      <c r="PZR9967" s="1328">
        <v>8919645.2799999993</v>
      </c>
      <c r="PZS9967" s="1328"/>
      <c r="PZU9967" s="1328"/>
      <c r="PZV9967" s="1328"/>
      <c r="PZW9967" s="1328"/>
      <c r="PZY9967" s="1328"/>
      <c r="PZZ9967" s="1328">
        <v>8919645.2799999993</v>
      </c>
      <c r="QAA9967" s="1328"/>
      <c r="QAC9967" s="1328"/>
      <c r="QAD9967" s="1328"/>
      <c r="QAE9967" s="1328"/>
      <c r="QAG9967" s="1328"/>
      <c r="QAH9967" s="1328">
        <v>8919645.2799999993</v>
      </c>
      <c r="QAI9967" s="1328"/>
      <c r="QAK9967" s="1328"/>
      <c r="QAL9967" s="1328"/>
      <c r="QAM9967" s="1328"/>
      <c r="QAO9967" s="1328"/>
      <c r="QAP9967" s="1328">
        <v>8919645.2799999993</v>
      </c>
      <c r="QAQ9967" s="1328"/>
      <c r="QAS9967" s="1328"/>
      <c r="QAT9967" s="1328"/>
      <c r="QAU9967" s="1328"/>
      <c r="QAW9967" s="1328"/>
      <c r="QAX9967" s="1328">
        <v>8919645.2799999993</v>
      </c>
      <c r="QAY9967" s="1328"/>
      <c r="QBA9967" s="1328"/>
      <c r="QBB9967" s="1328"/>
      <c r="QBC9967" s="1328"/>
      <c r="QBE9967" s="1328"/>
      <c r="QBF9967" s="1328">
        <v>8919645.2799999993</v>
      </c>
      <c r="QBG9967" s="1328"/>
      <c r="QBI9967" s="1328"/>
      <c r="QBJ9967" s="1328"/>
      <c r="QBK9967" s="1328"/>
      <c r="QBM9967" s="1328"/>
      <c r="QBN9967" s="1328">
        <v>8919645.2799999993</v>
      </c>
      <c r="QBO9967" s="1328"/>
      <c r="QBQ9967" s="1328"/>
      <c r="QBR9967" s="1328"/>
      <c r="QBS9967" s="1328"/>
      <c r="QBU9967" s="1328"/>
      <c r="QBV9967" s="1328">
        <v>8919645.2799999993</v>
      </c>
      <c r="QBW9967" s="1328"/>
      <c r="QBY9967" s="1328"/>
      <c r="QBZ9967" s="1328"/>
      <c r="QCA9967" s="1328"/>
      <c r="QCC9967" s="1328"/>
      <c r="QCD9967" s="1328">
        <v>8919645.2799999993</v>
      </c>
      <c r="QCE9967" s="1328"/>
      <c r="QCG9967" s="1328"/>
      <c r="QCH9967" s="1328"/>
      <c r="QCI9967" s="1328"/>
      <c r="QCK9967" s="1328"/>
      <c r="QCL9967" s="1328">
        <v>8919645.2799999993</v>
      </c>
      <c r="QCM9967" s="1328"/>
      <c r="QCO9967" s="1328"/>
      <c r="QCP9967" s="1328"/>
      <c r="QCQ9967" s="1328"/>
      <c r="QCS9967" s="1328"/>
      <c r="QCT9967" s="1328">
        <v>8919645.2799999993</v>
      </c>
      <c r="QCU9967" s="1328"/>
      <c r="QCW9967" s="1328"/>
      <c r="QCX9967" s="1328"/>
      <c r="QCY9967" s="1328"/>
      <c r="QDA9967" s="1328"/>
      <c r="QDB9967" s="1328">
        <v>8919645.2799999993</v>
      </c>
      <c r="QDC9967" s="1328"/>
      <c r="QDE9967" s="1328"/>
      <c r="QDF9967" s="1328"/>
      <c r="QDG9967" s="1328"/>
      <c r="QDI9967" s="1328"/>
      <c r="QDJ9967" s="1328">
        <v>8919645.2799999993</v>
      </c>
      <c r="QDK9967" s="1328"/>
      <c r="QDM9967" s="1328"/>
      <c r="QDN9967" s="1328"/>
      <c r="QDO9967" s="1328"/>
      <c r="QDQ9967" s="1328"/>
      <c r="QDR9967" s="1328">
        <v>8919645.2799999993</v>
      </c>
      <c r="QDS9967" s="1328"/>
      <c r="QDU9967" s="1328"/>
      <c r="QDV9967" s="1328"/>
      <c r="QDW9967" s="1328"/>
      <c r="QDY9967" s="1328"/>
      <c r="QDZ9967" s="1328">
        <v>8919645.2799999993</v>
      </c>
      <c r="QEA9967" s="1328"/>
      <c r="QEC9967" s="1328"/>
      <c r="QED9967" s="1328"/>
      <c r="QEE9967" s="1328"/>
      <c r="QEG9967" s="1328"/>
      <c r="QEH9967" s="1328">
        <v>8919645.2799999993</v>
      </c>
      <c r="QEI9967" s="1328"/>
      <c r="QEK9967" s="1328"/>
      <c r="QEL9967" s="1328"/>
      <c r="QEM9967" s="1328"/>
      <c r="QEO9967" s="1328"/>
      <c r="QEP9967" s="1328">
        <v>8919645.2799999993</v>
      </c>
      <c r="QEQ9967" s="1328"/>
      <c r="QES9967" s="1328"/>
      <c r="QET9967" s="1328"/>
      <c r="QEU9967" s="1328"/>
      <c r="QEW9967" s="1328"/>
      <c r="QEX9967" s="1328">
        <v>8919645.2799999993</v>
      </c>
      <c r="QEY9967" s="1328"/>
      <c r="QFA9967" s="1328"/>
      <c r="QFB9967" s="1328"/>
      <c r="QFC9967" s="1328"/>
      <c r="QFE9967" s="1328"/>
      <c r="QFF9967" s="1328">
        <v>8919645.2799999993</v>
      </c>
      <c r="QFG9967" s="1328"/>
      <c r="QFI9967" s="1328"/>
      <c r="QFJ9967" s="1328"/>
      <c r="QFK9967" s="1328"/>
      <c r="QFM9967" s="1328"/>
      <c r="QFN9967" s="1328">
        <v>8919645.2799999993</v>
      </c>
      <c r="QFO9967" s="1328"/>
      <c r="QFQ9967" s="1328"/>
      <c r="QFR9967" s="1328"/>
      <c r="QFS9967" s="1328"/>
      <c r="QFU9967" s="1328"/>
      <c r="QFV9967" s="1328">
        <v>8919645.2799999993</v>
      </c>
      <c r="QFW9967" s="1328"/>
      <c r="QFY9967" s="1328"/>
      <c r="QFZ9967" s="1328"/>
      <c r="QGA9967" s="1328"/>
      <c r="QGC9967" s="1328"/>
      <c r="QGD9967" s="1328">
        <v>8919645.2799999993</v>
      </c>
      <c r="QGE9967" s="1328"/>
      <c r="QGG9967" s="1328"/>
      <c r="QGH9967" s="1328"/>
      <c r="QGI9967" s="1328"/>
      <c r="QGK9967" s="1328"/>
      <c r="QGL9967" s="1328">
        <v>8919645.2799999993</v>
      </c>
      <c r="QGM9967" s="1328"/>
      <c r="QGO9967" s="1328"/>
      <c r="QGP9967" s="1328"/>
      <c r="QGQ9967" s="1328"/>
      <c r="QGS9967" s="1328"/>
      <c r="QGT9967" s="1328">
        <v>8919645.2799999993</v>
      </c>
      <c r="QGU9967" s="1328"/>
      <c r="QGW9967" s="1328"/>
      <c r="QGX9967" s="1328"/>
      <c r="QGY9967" s="1328"/>
      <c r="QHA9967" s="1328"/>
      <c r="QHB9967" s="1328">
        <v>8919645.2799999993</v>
      </c>
      <c r="QHC9967" s="1328"/>
      <c r="QHE9967" s="1328"/>
      <c r="QHF9967" s="1328"/>
      <c r="QHG9967" s="1328"/>
      <c r="QHI9967" s="1328"/>
      <c r="QHJ9967" s="1328">
        <v>8919645.2799999993</v>
      </c>
      <c r="QHK9967" s="1328"/>
      <c r="QHM9967" s="1328"/>
      <c r="QHN9967" s="1328"/>
      <c r="QHO9967" s="1328"/>
      <c r="QHQ9967" s="1328"/>
      <c r="QHR9967" s="1328">
        <v>8919645.2799999993</v>
      </c>
      <c r="QHS9967" s="1328"/>
      <c r="QHU9967" s="1328"/>
      <c r="QHV9967" s="1328"/>
      <c r="QHW9967" s="1328"/>
      <c r="QHY9967" s="1328"/>
      <c r="QHZ9967" s="1328">
        <v>8919645.2799999993</v>
      </c>
      <c r="QIA9967" s="1328"/>
      <c r="QIC9967" s="1328"/>
      <c r="QID9967" s="1328"/>
      <c r="QIE9967" s="1328"/>
      <c r="QIG9967" s="1328"/>
      <c r="QIH9967" s="1328">
        <v>8919645.2799999993</v>
      </c>
      <c r="QII9967" s="1328"/>
      <c r="QIK9967" s="1328"/>
      <c r="QIL9967" s="1328"/>
      <c r="QIM9967" s="1328"/>
      <c r="QIO9967" s="1328"/>
      <c r="QIP9967" s="1328">
        <v>8919645.2799999993</v>
      </c>
      <c r="QIQ9967" s="1328"/>
      <c r="QIS9967" s="1328"/>
      <c r="QIT9967" s="1328"/>
      <c r="QIU9967" s="1328"/>
      <c r="QIW9967" s="1328"/>
      <c r="QIX9967" s="1328">
        <v>8919645.2799999993</v>
      </c>
      <c r="QIY9967" s="1328"/>
      <c r="QJA9967" s="1328"/>
      <c r="QJB9967" s="1328"/>
      <c r="QJC9967" s="1328"/>
      <c r="QJE9967" s="1328"/>
      <c r="QJF9967" s="1328">
        <v>8919645.2799999993</v>
      </c>
      <c r="QJG9967" s="1328"/>
      <c r="QJI9967" s="1328"/>
      <c r="QJJ9967" s="1328"/>
      <c r="QJK9967" s="1328"/>
      <c r="QJM9967" s="1328"/>
      <c r="QJN9967" s="1328">
        <v>8919645.2799999993</v>
      </c>
      <c r="QJO9967" s="1328"/>
      <c r="QJQ9967" s="1328"/>
      <c r="QJR9967" s="1328"/>
      <c r="QJS9967" s="1328"/>
      <c r="QJU9967" s="1328"/>
      <c r="QJV9967" s="1328">
        <v>8919645.2799999993</v>
      </c>
      <c r="QJW9967" s="1328"/>
      <c r="QJY9967" s="1328"/>
      <c r="QJZ9967" s="1328"/>
      <c r="QKA9967" s="1328"/>
      <c r="QKC9967" s="1328"/>
      <c r="QKD9967" s="1328">
        <v>8919645.2799999993</v>
      </c>
      <c r="QKE9967" s="1328"/>
      <c r="QKG9967" s="1328"/>
      <c r="QKH9967" s="1328"/>
      <c r="QKI9967" s="1328"/>
      <c r="QKK9967" s="1328"/>
      <c r="QKL9967" s="1328">
        <v>8919645.2799999993</v>
      </c>
      <c r="QKM9967" s="1328"/>
      <c r="QKO9967" s="1328"/>
      <c r="QKP9967" s="1328"/>
      <c r="QKQ9967" s="1328"/>
      <c r="QKS9967" s="1328"/>
      <c r="QKT9967" s="1328">
        <v>8919645.2799999993</v>
      </c>
      <c r="QKU9967" s="1328"/>
      <c r="QKW9967" s="1328"/>
      <c r="QKX9967" s="1328"/>
      <c r="QKY9967" s="1328"/>
      <c r="QLA9967" s="1328"/>
      <c r="QLB9967" s="1328">
        <v>8919645.2799999993</v>
      </c>
      <c r="QLC9967" s="1328"/>
      <c r="QLE9967" s="1328"/>
      <c r="QLF9967" s="1328"/>
      <c r="QLG9967" s="1328"/>
      <c r="QLI9967" s="1328"/>
      <c r="QLJ9967" s="1328">
        <v>8919645.2799999993</v>
      </c>
      <c r="QLK9967" s="1328"/>
      <c r="QLM9967" s="1328"/>
      <c r="QLN9967" s="1328"/>
      <c r="QLO9967" s="1328"/>
      <c r="QLQ9967" s="1328"/>
      <c r="QLR9967" s="1328">
        <v>8919645.2799999993</v>
      </c>
      <c r="QLS9967" s="1328"/>
      <c r="QLU9967" s="1328"/>
      <c r="QLV9967" s="1328"/>
      <c r="QLW9967" s="1328"/>
      <c r="QLY9967" s="1328"/>
      <c r="QLZ9967" s="1328">
        <v>8919645.2799999993</v>
      </c>
      <c r="QMA9967" s="1328"/>
      <c r="QMC9967" s="1328"/>
      <c r="QMD9967" s="1328"/>
      <c r="QME9967" s="1328"/>
      <c r="QMG9967" s="1328"/>
      <c r="QMH9967" s="1328">
        <v>8919645.2799999993</v>
      </c>
      <c r="QMI9967" s="1328"/>
      <c r="QMK9967" s="1328"/>
      <c r="QML9967" s="1328"/>
      <c r="QMM9967" s="1328"/>
      <c r="QMO9967" s="1328"/>
      <c r="QMP9967" s="1328">
        <v>8919645.2799999993</v>
      </c>
      <c r="QMQ9967" s="1328"/>
      <c r="QMS9967" s="1328"/>
      <c r="QMT9967" s="1328"/>
      <c r="QMU9967" s="1328"/>
      <c r="QMW9967" s="1328"/>
      <c r="QMX9967" s="1328">
        <v>8919645.2799999993</v>
      </c>
      <c r="QMY9967" s="1328"/>
      <c r="QNA9967" s="1328"/>
      <c r="QNB9967" s="1328"/>
      <c r="QNC9967" s="1328"/>
      <c r="QNE9967" s="1328"/>
      <c r="QNF9967" s="1328">
        <v>8919645.2799999993</v>
      </c>
      <c r="QNG9967" s="1328"/>
      <c r="QNI9967" s="1328"/>
      <c r="QNJ9967" s="1328"/>
      <c r="QNK9967" s="1328"/>
      <c r="QNM9967" s="1328"/>
      <c r="QNN9967" s="1328">
        <v>8919645.2799999993</v>
      </c>
      <c r="QNO9967" s="1328"/>
      <c r="QNQ9967" s="1328"/>
      <c r="QNR9967" s="1328"/>
      <c r="QNS9967" s="1328"/>
      <c r="QNU9967" s="1328"/>
      <c r="QNV9967" s="1328">
        <v>8919645.2799999993</v>
      </c>
      <c r="QNW9967" s="1328"/>
      <c r="QNY9967" s="1328"/>
      <c r="QNZ9967" s="1328"/>
      <c r="QOA9967" s="1328"/>
      <c r="QOC9967" s="1328"/>
      <c r="QOD9967" s="1328">
        <v>8919645.2799999993</v>
      </c>
      <c r="QOE9967" s="1328"/>
      <c r="QOG9967" s="1328"/>
      <c r="QOH9967" s="1328"/>
      <c r="QOI9967" s="1328"/>
      <c r="QOK9967" s="1328"/>
      <c r="QOL9967" s="1328">
        <v>8919645.2799999993</v>
      </c>
      <c r="QOM9967" s="1328"/>
      <c r="QOO9967" s="1328"/>
      <c r="QOP9967" s="1328"/>
      <c r="QOQ9967" s="1328"/>
      <c r="QOS9967" s="1328"/>
      <c r="QOT9967" s="1328">
        <v>8919645.2799999993</v>
      </c>
      <c r="QOU9967" s="1328"/>
      <c r="QOW9967" s="1328"/>
      <c r="QOX9967" s="1328"/>
      <c r="QOY9967" s="1328"/>
      <c r="QPA9967" s="1328"/>
      <c r="QPB9967" s="1328">
        <v>8919645.2799999993</v>
      </c>
      <c r="QPC9967" s="1328"/>
      <c r="QPE9967" s="1328"/>
      <c r="QPF9967" s="1328"/>
      <c r="QPG9967" s="1328"/>
      <c r="QPI9967" s="1328"/>
      <c r="QPJ9967" s="1328">
        <v>8919645.2799999993</v>
      </c>
      <c r="QPK9967" s="1328"/>
      <c r="QPM9967" s="1328"/>
      <c r="QPN9967" s="1328"/>
      <c r="QPO9967" s="1328"/>
      <c r="QPQ9967" s="1328"/>
      <c r="QPR9967" s="1328">
        <v>8919645.2799999993</v>
      </c>
      <c r="QPS9967" s="1328"/>
      <c r="QPU9967" s="1328"/>
      <c r="QPV9967" s="1328"/>
      <c r="QPW9967" s="1328"/>
      <c r="QPY9967" s="1328"/>
      <c r="QPZ9967" s="1328">
        <v>8919645.2799999993</v>
      </c>
      <c r="QQA9967" s="1328"/>
      <c r="QQC9967" s="1328"/>
      <c r="QQD9967" s="1328"/>
      <c r="QQE9967" s="1328"/>
      <c r="QQG9967" s="1328"/>
      <c r="QQH9967" s="1328">
        <v>8919645.2799999993</v>
      </c>
      <c r="QQI9967" s="1328"/>
      <c r="QQK9967" s="1328"/>
      <c r="QQL9967" s="1328"/>
      <c r="QQM9967" s="1328"/>
      <c r="QQO9967" s="1328"/>
      <c r="QQP9967" s="1328">
        <v>8919645.2799999993</v>
      </c>
      <c r="QQQ9967" s="1328"/>
      <c r="QQS9967" s="1328"/>
      <c r="QQT9967" s="1328"/>
      <c r="QQU9967" s="1328"/>
      <c r="QQW9967" s="1328"/>
      <c r="QQX9967" s="1328">
        <v>8919645.2799999993</v>
      </c>
      <c r="QQY9967" s="1328"/>
      <c r="QRA9967" s="1328"/>
      <c r="QRB9967" s="1328"/>
      <c r="QRC9967" s="1328"/>
      <c r="QRE9967" s="1328"/>
      <c r="QRF9967" s="1328">
        <v>8919645.2799999993</v>
      </c>
      <c r="QRG9967" s="1328"/>
      <c r="QRI9967" s="1328"/>
      <c r="QRJ9967" s="1328"/>
      <c r="QRK9967" s="1328"/>
      <c r="QRM9967" s="1328"/>
      <c r="QRN9967" s="1328">
        <v>8919645.2799999993</v>
      </c>
      <c r="QRO9967" s="1328"/>
      <c r="QRQ9967" s="1328"/>
      <c r="QRR9967" s="1328"/>
      <c r="QRS9967" s="1328"/>
      <c r="QRU9967" s="1328"/>
      <c r="QRV9967" s="1328">
        <v>8919645.2799999993</v>
      </c>
      <c r="QRW9967" s="1328"/>
      <c r="QRY9967" s="1328"/>
      <c r="QRZ9967" s="1328"/>
      <c r="QSA9967" s="1328"/>
      <c r="QSC9967" s="1328"/>
      <c r="QSD9967" s="1328">
        <v>8919645.2799999993</v>
      </c>
      <c r="QSE9967" s="1328"/>
      <c r="QSG9967" s="1328"/>
      <c r="QSH9967" s="1328"/>
      <c r="QSI9967" s="1328"/>
      <c r="QSK9967" s="1328"/>
      <c r="QSL9967" s="1328">
        <v>8919645.2799999993</v>
      </c>
      <c r="QSM9967" s="1328"/>
      <c r="QSO9967" s="1328"/>
      <c r="QSP9967" s="1328"/>
      <c r="QSQ9967" s="1328"/>
      <c r="QSS9967" s="1328"/>
      <c r="QST9967" s="1328">
        <v>8919645.2799999993</v>
      </c>
      <c r="QSU9967" s="1328"/>
      <c r="QSW9967" s="1328"/>
      <c r="QSX9967" s="1328"/>
      <c r="QSY9967" s="1328"/>
      <c r="QTA9967" s="1328"/>
      <c r="QTB9967" s="1328">
        <v>8919645.2799999993</v>
      </c>
      <c r="QTC9967" s="1328"/>
      <c r="QTE9967" s="1328"/>
      <c r="QTF9967" s="1328"/>
      <c r="QTG9967" s="1328"/>
      <c r="QTI9967" s="1328"/>
      <c r="QTJ9967" s="1328">
        <v>8919645.2799999993</v>
      </c>
      <c r="QTK9967" s="1328"/>
      <c r="QTM9967" s="1328"/>
      <c r="QTN9967" s="1328"/>
      <c r="QTO9967" s="1328"/>
      <c r="QTQ9967" s="1328"/>
      <c r="QTR9967" s="1328">
        <v>8919645.2799999993</v>
      </c>
      <c r="QTS9967" s="1328"/>
      <c r="QTU9967" s="1328"/>
      <c r="QTV9967" s="1328"/>
      <c r="QTW9967" s="1328"/>
      <c r="QTY9967" s="1328"/>
      <c r="QTZ9967" s="1328">
        <v>8919645.2799999993</v>
      </c>
      <c r="QUA9967" s="1328"/>
      <c r="QUC9967" s="1328"/>
      <c r="QUD9967" s="1328"/>
      <c r="QUE9967" s="1328"/>
      <c r="QUG9967" s="1328"/>
      <c r="QUH9967" s="1328">
        <v>8919645.2799999993</v>
      </c>
      <c r="QUI9967" s="1328"/>
      <c r="QUK9967" s="1328"/>
      <c r="QUL9967" s="1328"/>
      <c r="QUM9967" s="1328"/>
      <c r="QUO9967" s="1328"/>
      <c r="QUP9967" s="1328">
        <v>8919645.2799999993</v>
      </c>
      <c r="QUQ9967" s="1328"/>
      <c r="QUS9967" s="1328"/>
      <c r="QUT9967" s="1328"/>
      <c r="QUU9967" s="1328"/>
      <c r="QUW9967" s="1328"/>
      <c r="QUX9967" s="1328">
        <v>8919645.2799999993</v>
      </c>
      <c r="QUY9967" s="1328"/>
      <c r="QVA9967" s="1328"/>
      <c r="QVB9967" s="1328"/>
      <c r="QVC9967" s="1328"/>
      <c r="QVE9967" s="1328"/>
      <c r="QVF9967" s="1328">
        <v>8919645.2799999993</v>
      </c>
      <c r="QVG9967" s="1328"/>
      <c r="QVI9967" s="1328"/>
      <c r="QVJ9967" s="1328"/>
      <c r="QVK9967" s="1328"/>
      <c r="QVM9967" s="1328"/>
      <c r="QVN9967" s="1328">
        <v>8919645.2799999993</v>
      </c>
      <c r="QVO9967" s="1328"/>
      <c r="QVQ9967" s="1328"/>
      <c r="QVR9967" s="1328"/>
      <c r="QVS9967" s="1328"/>
      <c r="QVU9967" s="1328"/>
      <c r="QVV9967" s="1328">
        <v>8919645.2799999993</v>
      </c>
      <c r="QVW9967" s="1328"/>
      <c r="QVY9967" s="1328"/>
      <c r="QVZ9967" s="1328"/>
      <c r="QWA9967" s="1328"/>
      <c r="QWC9967" s="1328"/>
      <c r="QWD9967" s="1328">
        <v>8919645.2799999993</v>
      </c>
      <c r="QWE9967" s="1328"/>
      <c r="QWG9967" s="1328"/>
      <c r="QWH9967" s="1328"/>
      <c r="QWI9967" s="1328"/>
      <c r="QWK9967" s="1328"/>
      <c r="QWL9967" s="1328">
        <v>8919645.2799999993</v>
      </c>
      <c r="QWM9967" s="1328"/>
      <c r="QWO9967" s="1328"/>
      <c r="QWP9967" s="1328"/>
      <c r="QWQ9967" s="1328"/>
      <c r="QWS9967" s="1328"/>
      <c r="QWT9967" s="1328">
        <v>8919645.2799999993</v>
      </c>
      <c r="QWU9967" s="1328"/>
      <c r="QWW9967" s="1328"/>
      <c r="QWX9967" s="1328"/>
      <c r="QWY9967" s="1328"/>
      <c r="QXA9967" s="1328"/>
      <c r="QXB9967" s="1328">
        <v>8919645.2799999993</v>
      </c>
      <c r="QXC9967" s="1328"/>
      <c r="QXE9967" s="1328"/>
      <c r="QXF9967" s="1328"/>
      <c r="QXG9967" s="1328"/>
      <c r="QXI9967" s="1328"/>
      <c r="QXJ9967" s="1328">
        <v>8919645.2799999993</v>
      </c>
      <c r="QXK9967" s="1328"/>
      <c r="QXM9967" s="1328"/>
      <c r="QXN9967" s="1328"/>
      <c r="QXO9967" s="1328"/>
      <c r="QXQ9967" s="1328"/>
      <c r="QXR9967" s="1328">
        <v>8919645.2799999993</v>
      </c>
      <c r="QXS9967" s="1328"/>
      <c r="QXU9967" s="1328"/>
      <c r="QXV9967" s="1328"/>
      <c r="QXW9967" s="1328"/>
      <c r="QXY9967" s="1328"/>
      <c r="QXZ9967" s="1328">
        <v>8919645.2799999993</v>
      </c>
      <c r="QYA9967" s="1328"/>
      <c r="QYC9967" s="1328"/>
      <c r="QYD9967" s="1328"/>
      <c r="QYE9967" s="1328"/>
      <c r="QYG9967" s="1328"/>
      <c r="QYH9967" s="1328">
        <v>8919645.2799999993</v>
      </c>
      <c r="QYI9967" s="1328"/>
      <c r="QYK9967" s="1328"/>
      <c r="QYL9967" s="1328"/>
      <c r="QYM9967" s="1328"/>
      <c r="QYO9967" s="1328"/>
      <c r="QYP9967" s="1328">
        <v>8919645.2799999993</v>
      </c>
      <c r="QYQ9967" s="1328"/>
      <c r="QYS9967" s="1328"/>
      <c r="QYT9967" s="1328"/>
      <c r="QYU9967" s="1328"/>
      <c r="QYW9967" s="1328"/>
      <c r="QYX9967" s="1328">
        <v>8919645.2799999993</v>
      </c>
      <c r="QYY9967" s="1328"/>
      <c r="QZA9967" s="1328"/>
      <c r="QZB9967" s="1328"/>
      <c r="QZC9967" s="1328"/>
      <c r="QZE9967" s="1328"/>
      <c r="QZF9967" s="1328">
        <v>8919645.2799999993</v>
      </c>
      <c r="QZG9967" s="1328"/>
      <c r="QZI9967" s="1328"/>
      <c r="QZJ9967" s="1328"/>
      <c r="QZK9967" s="1328"/>
      <c r="QZM9967" s="1328"/>
      <c r="QZN9967" s="1328">
        <v>8919645.2799999993</v>
      </c>
      <c r="QZO9967" s="1328"/>
      <c r="QZQ9967" s="1328"/>
      <c r="QZR9967" s="1328"/>
      <c r="QZS9967" s="1328"/>
      <c r="QZU9967" s="1328"/>
      <c r="QZV9967" s="1328">
        <v>8919645.2799999993</v>
      </c>
      <c r="QZW9967" s="1328"/>
      <c r="QZY9967" s="1328"/>
      <c r="QZZ9967" s="1328"/>
      <c r="RAA9967" s="1328"/>
      <c r="RAC9967" s="1328"/>
      <c r="RAD9967" s="1328">
        <v>8919645.2799999993</v>
      </c>
      <c r="RAE9967" s="1328"/>
      <c r="RAG9967" s="1328"/>
      <c r="RAH9967" s="1328"/>
      <c r="RAI9967" s="1328"/>
      <c r="RAK9967" s="1328"/>
      <c r="RAL9967" s="1328">
        <v>8919645.2799999993</v>
      </c>
      <c r="RAM9967" s="1328"/>
      <c r="RAO9967" s="1328"/>
      <c r="RAP9967" s="1328"/>
      <c r="RAQ9967" s="1328"/>
      <c r="RAS9967" s="1328"/>
      <c r="RAT9967" s="1328">
        <v>8919645.2799999993</v>
      </c>
      <c r="RAU9967" s="1328"/>
      <c r="RAW9967" s="1328"/>
      <c r="RAX9967" s="1328"/>
      <c r="RAY9967" s="1328"/>
      <c r="RBA9967" s="1328"/>
      <c r="RBB9967" s="1328">
        <v>8919645.2799999993</v>
      </c>
      <c r="RBC9967" s="1328"/>
      <c r="RBE9967" s="1328"/>
      <c r="RBF9967" s="1328"/>
      <c r="RBG9967" s="1328"/>
      <c r="RBI9967" s="1328"/>
      <c r="RBJ9967" s="1328">
        <v>8919645.2799999993</v>
      </c>
      <c r="RBK9967" s="1328"/>
      <c r="RBM9967" s="1328"/>
      <c r="RBN9967" s="1328"/>
      <c r="RBO9967" s="1328"/>
      <c r="RBQ9967" s="1328"/>
      <c r="RBR9967" s="1328">
        <v>8919645.2799999993</v>
      </c>
      <c r="RBS9967" s="1328"/>
      <c r="RBU9967" s="1328"/>
      <c r="RBV9967" s="1328"/>
      <c r="RBW9967" s="1328"/>
      <c r="RBY9967" s="1328"/>
      <c r="RBZ9967" s="1328">
        <v>8919645.2799999993</v>
      </c>
      <c r="RCA9967" s="1328"/>
      <c r="RCC9967" s="1328"/>
      <c r="RCD9967" s="1328"/>
      <c r="RCE9967" s="1328"/>
      <c r="RCG9967" s="1328"/>
      <c r="RCH9967" s="1328">
        <v>8919645.2799999993</v>
      </c>
      <c r="RCI9967" s="1328"/>
      <c r="RCK9967" s="1328"/>
      <c r="RCL9967" s="1328"/>
      <c r="RCM9967" s="1328"/>
      <c r="RCO9967" s="1328"/>
      <c r="RCP9967" s="1328">
        <v>8919645.2799999993</v>
      </c>
      <c r="RCQ9967" s="1328"/>
      <c r="RCS9967" s="1328"/>
      <c r="RCT9967" s="1328"/>
      <c r="RCU9967" s="1328"/>
      <c r="RCW9967" s="1328"/>
      <c r="RCX9967" s="1328">
        <v>8919645.2799999993</v>
      </c>
      <c r="RCY9967" s="1328"/>
      <c r="RDA9967" s="1328"/>
      <c r="RDB9967" s="1328"/>
      <c r="RDC9967" s="1328"/>
      <c r="RDE9967" s="1328"/>
      <c r="RDF9967" s="1328">
        <v>8919645.2799999993</v>
      </c>
      <c r="RDG9967" s="1328"/>
      <c r="RDI9967" s="1328"/>
      <c r="RDJ9967" s="1328"/>
      <c r="RDK9967" s="1328"/>
      <c r="RDM9967" s="1328"/>
      <c r="RDN9967" s="1328">
        <v>8919645.2799999993</v>
      </c>
      <c r="RDO9967" s="1328"/>
      <c r="RDQ9967" s="1328"/>
      <c r="RDR9967" s="1328"/>
      <c r="RDS9967" s="1328"/>
      <c r="RDU9967" s="1328"/>
      <c r="RDV9967" s="1328">
        <v>8919645.2799999993</v>
      </c>
      <c r="RDW9967" s="1328"/>
      <c r="RDY9967" s="1328"/>
      <c r="RDZ9967" s="1328"/>
      <c r="REA9967" s="1328"/>
      <c r="REC9967" s="1328"/>
      <c r="RED9967" s="1328">
        <v>8919645.2799999993</v>
      </c>
      <c r="REE9967" s="1328"/>
      <c r="REG9967" s="1328"/>
      <c r="REH9967" s="1328"/>
      <c r="REI9967" s="1328"/>
      <c r="REK9967" s="1328"/>
      <c r="REL9967" s="1328">
        <v>8919645.2799999993</v>
      </c>
      <c r="REM9967" s="1328"/>
      <c r="REO9967" s="1328"/>
      <c r="REP9967" s="1328"/>
      <c r="REQ9967" s="1328"/>
      <c r="RES9967" s="1328"/>
      <c r="RET9967" s="1328">
        <v>8919645.2799999993</v>
      </c>
      <c r="REU9967" s="1328"/>
      <c r="REW9967" s="1328"/>
      <c r="REX9967" s="1328"/>
      <c r="REY9967" s="1328"/>
      <c r="RFA9967" s="1328"/>
      <c r="RFB9967" s="1328">
        <v>8919645.2799999993</v>
      </c>
      <c r="RFC9967" s="1328"/>
      <c r="RFE9967" s="1328"/>
      <c r="RFF9967" s="1328"/>
      <c r="RFG9967" s="1328"/>
      <c r="RFI9967" s="1328"/>
      <c r="RFJ9967" s="1328">
        <v>8919645.2799999993</v>
      </c>
      <c r="RFK9967" s="1328"/>
      <c r="RFM9967" s="1328"/>
      <c r="RFN9967" s="1328"/>
      <c r="RFO9967" s="1328"/>
      <c r="RFQ9967" s="1328"/>
      <c r="RFR9967" s="1328">
        <v>8919645.2799999993</v>
      </c>
      <c r="RFS9967" s="1328"/>
      <c r="RFU9967" s="1328"/>
      <c r="RFV9967" s="1328"/>
      <c r="RFW9967" s="1328"/>
      <c r="RFY9967" s="1328"/>
      <c r="RFZ9967" s="1328">
        <v>8919645.2799999993</v>
      </c>
      <c r="RGA9967" s="1328"/>
      <c r="RGC9967" s="1328"/>
      <c r="RGD9967" s="1328"/>
      <c r="RGE9967" s="1328"/>
      <c r="RGG9967" s="1328"/>
      <c r="RGH9967" s="1328">
        <v>8919645.2799999993</v>
      </c>
      <c r="RGI9967" s="1328"/>
      <c r="RGK9967" s="1328"/>
      <c r="RGL9967" s="1328"/>
      <c r="RGM9967" s="1328"/>
      <c r="RGO9967" s="1328"/>
      <c r="RGP9967" s="1328">
        <v>8919645.2799999993</v>
      </c>
      <c r="RGQ9967" s="1328"/>
      <c r="RGS9967" s="1328"/>
      <c r="RGT9967" s="1328"/>
      <c r="RGU9967" s="1328"/>
      <c r="RGW9967" s="1328"/>
      <c r="RGX9967" s="1328">
        <v>8919645.2799999993</v>
      </c>
      <c r="RGY9967" s="1328"/>
      <c r="RHA9967" s="1328"/>
      <c r="RHB9967" s="1328"/>
      <c r="RHC9967" s="1328"/>
      <c r="RHE9967" s="1328"/>
      <c r="RHF9967" s="1328">
        <v>8919645.2799999993</v>
      </c>
      <c r="RHG9967" s="1328"/>
      <c r="RHI9967" s="1328"/>
      <c r="RHJ9967" s="1328"/>
      <c r="RHK9967" s="1328"/>
      <c r="RHM9967" s="1328"/>
      <c r="RHN9967" s="1328">
        <v>8919645.2799999993</v>
      </c>
      <c r="RHO9967" s="1328"/>
      <c r="RHQ9967" s="1328"/>
      <c r="RHR9967" s="1328"/>
      <c r="RHS9967" s="1328"/>
      <c r="RHU9967" s="1328"/>
      <c r="RHV9967" s="1328">
        <v>8919645.2799999993</v>
      </c>
      <c r="RHW9967" s="1328"/>
      <c r="RHY9967" s="1328"/>
      <c r="RHZ9967" s="1328"/>
      <c r="RIA9967" s="1328"/>
      <c r="RIC9967" s="1328"/>
      <c r="RID9967" s="1328">
        <v>8919645.2799999993</v>
      </c>
      <c r="RIE9967" s="1328"/>
      <c r="RIG9967" s="1328"/>
      <c r="RIH9967" s="1328"/>
      <c r="RII9967" s="1328"/>
      <c r="RIK9967" s="1328"/>
      <c r="RIL9967" s="1328">
        <v>8919645.2799999993</v>
      </c>
      <c r="RIM9967" s="1328"/>
      <c r="RIO9967" s="1328"/>
      <c r="RIP9967" s="1328"/>
      <c r="RIQ9967" s="1328"/>
      <c r="RIS9967" s="1328"/>
      <c r="RIT9967" s="1328">
        <v>8919645.2799999993</v>
      </c>
      <c r="RIU9967" s="1328"/>
      <c r="RIW9967" s="1328"/>
      <c r="RIX9967" s="1328"/>
      <c r="RIY9967" s="1328"/>
      <c r="RJA9967" s="1328"/>
      <c r="RJB9967" s="1328">
        <v>8919645.2799999993</v>
      </c>
      <c r="RJC9967" s="1328"/>
      <c r="RJE9967" s="1328"/>
      <c r="RJF9967" s="1328"/>
      <c r="RJG9967" s="1328"/>
      <c r="RJI9967" s="1328"/>
      <c r="RJJ9967" s="1328">
        <v>8919645.2799999993</v>
      </c>
      <c r="RJK9967" s="1328"/>
      <c r="RJM9967" s="1328"/>
      <c r="RJN9967" s="1328"/>
      <c r="RJO9967" s="1328"/>
      <c r="RJQ9967" s="1328"/>
      <c r="RJR9967" s="1328">
        <v>8919645.2799999993</v>
      </c>
      <c r="RJS9967" s="1328"/>
      <c r="RJU9967" s="1328"/>
      <c r="RJV9967" s="1328"/>
      <c r="RJW9967" s="1328"/>
      <c r="RJY9967" s="1328"/>
      <c r="RJZ9967" s="1328">
        <v>8919645.2799999993</v>
      </c>
      <c r="RKA9967" s="1328"/>
      <c r="RKC9967" s="1328"/>
      <c r="RKD9967" s="1328"/>
      <c r="RKE9967" s="1328"/>
      <c r="RKG9967" s="1328"/>
      <c r="RKH9967" s="1328">
        <v>8919645.2799999993</v>
      </c>
      <c r="RKI9967" s="1328"/>
      <c r="RKK9967" s="1328"/>
      <c r="RKL9967" s="1328"/>
      <c r="RKM9967" s="1328"/>
      <c r="RKO9967" s="1328"/>
      <c r="RKP9967" s="1328">
        <v>8919645.2799999993</v>
      </c>
      <c r="RKQ9967" s="1328"/>
      <c r="RKS9967" s="1328"/>
      <c r="RKT9967" s="1328"/>
      <c r="RKU9967" s="1328"/>
      <c r="RKW9967" s="1328"/>
      <c r="RKX9967" s="1328">
        <v>8919645.2799999993</v>
      </c>
      <c r="RKY9967" s="1328"/>
      <c r="RLA9967" s="1328"/>
      <c r="RLB9967" s="1328"/>
      <c r="RLC9967" s="1328"/>
      <c r="RLE9967" s="1328"/>
      <c r="RLF9967" s="1328">
        <v>8919645.2799999993</v>
      </c>
      <c r="RLG9967" s="1328"/>
      <c r="RLI9967" s="1328"/>
      <c r="RLJ9967" s="1328"/>
      <c r="RLK9967" s="1328"/>
      <c r="RLM9967" s="1328"/>
      <c r="RLN9967" s="1328">
        <v>8919645.2799999993</v>
      </c>
      <c r="RLO9967" s="1328"/>
      <c r="RLQ9967" s="1328"/>
      <c r="RLR9967" s="1328"/>
      <c r="RLS9967" s="1328"/>
      <c r="RLU9967" s="1328"/>
      <c r="RLV9967" s="1328">
        <v>8919645.2799999993</v>
      </c>
      <c r="RLW9967" s="1328"/>
      <c r="RLY9967" s="1328"/>
      <c r="RLZ9967" s="1328"/>
      <c r="RMA9967" s="1328"/>
      <c r="RMC9967" s="1328"/>
      <c r="RMD9967" s="1328">
        <v>8919645.2799999993</v>
      </c>
      <c r="RME9967" s="1328"/>
      <c r="RMG9967" s="1328"/>
      <c r="RMH9967" s="1328"/>
      <c r="RMI9967" s="1328"/>
      <c r="RMK9967" s="1328"/>
      <c r="RML9967" s="1328">
        <v>8919645.2799999993</v>
      </c>
      <c r="RMM9967" s="1328"/>
      <c r="RMO9967" s="1328"/>
      <c r="RMP9967" s="1328"/>
      <c r="RMQ9967" s="1328"/>
      <c r="RMS9967" s="1328"/>
      <c r="RMT9967" s="1328">
        <v>8919645.2799999993</v>
      </c>
      <c r="RMU9967" s="1328"/>
      <c r="RMW9967" s="1328"/>
      <c r="RMX9967" s="1328"/>
      <c r="RMY9967" s="1328"/>
      <c r="RNA9967" s="1328"/>
      <c r="RNB9967" s="1328">
        <v>8919645.2799999993</v>
      </c>
      <c r="RNC9967" s="1328"/>
      <c r="RNE9967" s="1328"/>
      <c r="RNF9967" s="1328"/>
      <c r="RNG9967" s="1328"/>
      <c r="RNI9967" s="1328"/>
      <c r="RNJ9967" s="1328">
        <v>8919645.2799999993</v>
      </c>
      <c r="RNK9967" s="1328"/>
      <c r="RNM9967" s="1328"/>
      <c r="RNN9967" s="1328"/>
      <c r="RNO9967" s="1328"/>
      <c r="RNQ9967" s="1328"/>
      <c r="RNR9967" s="1328">
        <v>8919645.2799999993</v>
      </c>
      <c r="RNS9967" s="1328"/>
      <c r="RNU9967" s="1328"/>
      <c r="RNV9967" s="1328"/>
      <c r="RNW9967" s="1328"/>
      <c r="RNY9967" s="1328"/>
      <c r="RNZ9967" s="1328">
        <v>8919645.2799999993</v>
      </c>
      <c r="ROA9967" s="1328"/>
      <c r="ROC9967" s="1328"/>
      <c r="ROD9967" s="1328"/>
      <c r="ROE9967" s="1328"/>
      <c r="ROG9967" s="1328"/>
      <c r="ROH9967" s="1328">
        <v>8919645.2799999993</v>
      </c>
      <c r="ROI9967" s="1328"/>
      <c r="ROK9967" s="1328"/>
      <c r="ROL9967" s="1328"/>
      <c r="ROM9967" s="1328"/>
      <c r="ROO9967" s="1328"/>
      <c r="ROP9967" s="1328">
        <v>8919645.2799999993</v>
      </c>
      <c r="ROQ9967" s="1328"/>
      <c r="ROS9967" s="1328"/>
      <c r="ROT9967" s="1328"/>
      <c r="ROU9967" s="1328"/>
      <c r="ROW9967" s="1328"/>
      <c r="ROX9967" s="1328">
        <v>8919645.2799999993</v>
      </c>
      <c r="ROY9967" s="1328"/>
      <c r="RPA9967" s="1328"/>
      <c r="RPB9967" s="1328"/>
      <c r="RPC9967" s="1328"/>
      <c r="RPE9967" s="1328"/>
      <c r="RPF9967" s="1328">
        <v>8919645.2799999993</v>
      </c>
      <c r="RPG9967" s="1328"/>
      <c r="RPI9967" s="1328"/>
      <c r="RPJ9967" s="1328"/>
      <c r="RPK9967" s="1328"/>
      <c r="RPM9967" s="1328"/>
      <c r="RPN9967" s="1328">
        <v>8919645.2799999993</v>
      </c>
      <c r="RPO9967" s="1328"/>
      <c r="RPQ9967" s="1328"/>
      <c r="RPR9967" s="1328"/>
      <c r="RPS9967" s="1328"/>
      <c r="RPU9967" s="1328"/>
      <c r="RPV9967" s="1328">
        <v>8919645.2799999993</v>
      </c>
      <c r="RPW9967" s="1328"/>
      <c r="RPY9967" s="1328"/>
      <c r="RPZ9967" s="1328"/>
      <c r="RQA9967" s="1328"/>
      <c r="RQC9967" s="1328"/>
      <c r="RQD9967" s="1328">
        <v>8919645.2799999993</v>
      </c>
      <c r="RQE9967" s="1328"/>
      <c r="RQG9967" s="1328"/>
      <c r="RQH9967" s="1328"/>
      <c r="RQI9967" s="1328"/>
      <c r="RQK9967" s="1328"/>
      <c r="RQL9967" s="1328">
        <v>8919645.2799999993</v>
      </c>
      <c r="RQM9967" s="1328"/>
      <c r="RQO9967" s="1328"/>
      <c r="RQP9967" s="1328"/>
      <c r="RQQ9967" s="1328"/>
      <c r="RQS9967" s="1328"/>
      <c r="RQT9967" s="1328">
        <v>8919645.2799999993</v>
      </c>
      <c r="RQU9967" s="1328"/>
      <c r="RQW9967" s="1328"/>
      <c r="RQX9967" s="1328"/>
      <c r="RQY9967" s="1328"/>
      <c r="RRA9967" s="1328"/>
      <c r="RRB9967" s="1328">
        <v>8919645.2799999993</v>
      </c>
      <c r="RRC9967" s="1328"/>
      <c r="RRE9967" s="1328"/>
      <c r="RRF9967" s="1328"/>
      <c r="RRG9967" s="1328"/>
      <c r="RRI9967" s="1328"/>
      <c r="RRJ9967" s="1328">
        <v>8919645.2799999993</v>
      </c>
      <c r="RRK9967" s="1328"/>
      <c r="RRM9967" s="1328"/>
      <c r="RRN9967" s="1328"/>
      <c r="RRO9967" s="1328"/>
      <c r="RRQ9967" s="1328"/>
      <c r="RRR9967" s="1328">
        <v>8919645.2799999993</v>
      </c>
      <c r="RRS9967" s="1328"/>
      <c r="RRU9967" s="1328"/>
      <c r="RRV9967" s="1328"/>
      <c r="RRW9967" s="1328"/>
      <c r="RRY9967" s="1328"/>
      <c r="RRZ9967" s="1328">
        <v>8919645.2799999993</v>
      </c>
      <c r="RSA9967" s="1328"/>
      <c r="RSC9967" s="1328"/>
      <c r="RSD9967" s="1328"/>
      <c r="RSE9967" s="1328"/>
      <c r="RSG9967" s="1328"/>
      <c r="RSH9967" s="1328">
        <v>8919645.2799999993</v>
      </c>
      <c r="RSI9967" s="1328"/>
      <c r="RSK9967" s="1328"/>
      <c r="RSL9967" s="1328"/>
      <c r="RSM9967" s="1328"/>
      <c r="RSO9967" s="1328"/>
      <c r="RSP9967" s="1328">
        <v>8919645.2799999993</v>
      </c>
      <c r="RSQ9967" s="1328"/>
      <c r="RSS9967" s="1328"/>
      <c r="RST9967" s="1328"/>
      <c r="RSU9967" s="1328"/>
      <c r="RSW9967" s="1328"/>
      <c r="RSX9967" s="1328">
        <v>8919645.2799999993</v>
      </c>
      <c r="RSY9967" s="1328"/>
      <c r="RTA9967" s="1328"/>
      <c r="RTB9967" s="1328"/>
      <c r="RTC9967" s="1328"/>
      <c r="RTE9967" s="1328"/>
      <c r="RTF9967" s="1328">
        <v>8919645.2799999993</v>
      </c>
      <c r="RTG9967" s="1328"/>
      <c r="RTI9967" s="1328"/>
      <c r="RTJ9967" s="1328"/>
      <c r="RTK9967" s="1328"/>
      <c r="RTM9967" s="1328"/>
      <c r="RTN9967" s="1328">
        <v>8919645.2799999993</v>
      </c>
      <c r="RTO9967" s="1328"/>
      <c r="RTQ9967" s="1328"/>
      <c r="RTR9967" s="1328"/>
      <c r="RTS9967" s="1328"/>
      <c r="RTU9967" s="1328"/>
      <c r="RTV9967" s="1328">
        <v>8919645.2799999993</v>
      </c>
      <c r="RTW9967" s="1328"/>
      <c r="RTY9967" s="1328"/>
      <c r="RTZ9967" s="1328"/>
      <c r="RUA9967" s="1328"/>
      <c r="RUC9967" s="1328"/>
      <c r="RUD9967" s="1328">
        <v>8919645.2799999993</v>
      </c>
      <c r="RUE9967" s="1328"/>
      <c r="RUG9967" s="1328"/>
      <c r="RUH9967" s="1328"/>
      <c r="RUI9967" s="1328"/>
      <c r="RUK9967" s="1328"/>
      <c r="RUL9967" s="1328">
        <v>8919645.2799999993</v>
      </c>
      <c r="RUM9967" s="1328"/>
      <c r="RUO9967" s="1328"/>
      <c r="RUP9967" s="1328"/>
      <c r="RUQ9967" s="1328"/>
      <c r="RUS9967" s="1328"/>
      <c r="RUT9967" s="1328">
        <v>8919645.2799999993</v>
      </c>
      <c r="RUU9967" s="1328"/>
      <c r="RUW9967" s="1328"/>
      <c r="RUX9967" s="1328"/>
      <c r="RUY9967" s="1328"/>
      <c r="RVA9967" s="1328"/>
      <c r="RVB9967" s="1328">
        <v>8919645.2799999993</v>
      </c>
      <c r="RVC9967" s="1328"/>
      <c r="RVE9967" s="1328"/>
      <c r="RVF9967" s="1328"/>
      <c r="RVG9967" s="1328"/>
      <c r="RVI9967" s="1328"/>
      <c r="RVJ9967" s="1328">
        <v>8919645.2799999993</v>
      </c>
      <c r="RVK9967" s="1328"/>
      <c r="RVM9967" s="1328"/>
      <c r="RVN9967" s="1328"/>
      <c r="RVO9967" s="1328"/>
      <c r="RVQ9967" s="1328"/>
      <c r="RVR9967" s="1328">
        <v>8919645.2799999993</v>
      </c>
      <c r="RVS9967" s="1328"/>
      <c r="RVU9967" s="1328"/>
      <c r="RVV9967" s="1328"/>
      <c r="RVW9967" s="1328"/>
      <c r="RVY9967" s="1328"/>
      <c r="RVZ9967" s="1328">
        <v>8919645.2799999993</v>
      </c>
      <c r="RWA9967" s="1328"/>
      <c r="RWC9967" s="1328"/>
      <c r="RWD9967" s="1328"/>
      <c r="RWE9967" s="1328"/>
      <c r="RWG9967" s="1328"/>
      <c r="RWH9967" s="1328">
        <v>8919645.2799999993</v>
      </c>
      <c r="RWI9967" s="1328"/>
      <c r="RWK9967" s="1328"/>
      <c r="RWL9967" s="1328"/>
      <c r="RWM9967" s="1328"/>
      <c r="RWO9967" s="1328"/>
      <c r="RWP9967" s="1328">
        <v>8919645.2799999993</v>
      </c>
      <c r="RWQ9967" s="1328"/>
      <c r="RWS9967" s="1328"/>
      <c r="RWT9967" s="1328"/>
      <c r="RWU9967" s="1328"/>
      <c r="RWW9967" s="1328"/>
      <c r="RWX9967" s="1328">
        <v>8919645.2799999993</v>
      </c>
      <c r="RWY9967" s="1328"/>
      <c r="RXA9967" s="1328"/>
      <c r="RXB9967" s="1328"/>
      <c r="RXC9967" s="1328"/>
      <c r="RXE9967" s="1328"/>
      <c r="RXF9967" s="1328">
        <v>8919645.2799999993</v>
      </c>
      <c r="RXG9967" s="1328"/>
      <c r="RXI9967" s="1328"/>
      <c r="RXJ9967" s="1328"/>
      <c r="RXK9967" s="1328"/>
      <c r="RXM9967" s="1328"/>
      <c r="RXN9967" s="1328">
        <v>8919645.2799999993</v>
      </c>
      <c r="RXO9967" s="1328"/>
      <c r="RXQ9967" s="1328"/>
      <c r="RXR9967" s="1328"/>
      <c r="RXS9967" s="1328"/>
      <c r="RXU9967" s="1328"/>
      <c r="RXV9967" s="1328">
        <v>8919645.2799999993</v>
      </c>
      <c r="RXW9967" s="1328"/>
      <c r="RXY9967" s="1328"/>
      <c r="RXZ9967" s="1328"/>
      <c r="RYA9967" s="1328"/>
      <c r="RYC9967" s="1328"/>
      <c r="RYD9967" s="1328">
        <v>8919645.2799999993</v>
      </c>
      <c r="RYE9967" s="1328"/>
      <c r="RYG9967" s="1328"/>
      <c r="RYH9967" s="1328"/>
      <c r="RYI9967" s="1328"/>
      <c r="RYK9967" s="1328"/>
      <c r="RYL9967" s="1328">
        <v>8919645.2799999993</v>
      </c>
      <c r="RYM9967" s="1328"/>
      <c r="RYO9967" s="1328"/>
      <c r="RYP9967" s="1328"/>
      <c r="RYQ9967" s="1328"/>
      <c r="RYS9967" s="1328"/>
      <c r="RYT9967" s="1328">
        <v>8919645.2799999993</v>
      </c>
      <c r="RYU9967" s="1328"/>
      <c r="RYW9967" s="1328"/>
      <c r="RYX9967" s="1328"/>
      <c r="RYY9967" s="1328"/>
      <c r="RZA9967" s="1328"/>
      <c r="RZB9967" s="1328">
        <v>8919645.2799999993</v>
      </c>
      <c r="RZC9967" s="1328"/>
      <c r="RZE9967" s="1328"/>
      <c r="RZF9967" s="1328"/>
      <c r="RZG9967" s="1328"/>
      <c r="RZI9967" s="1328"/>
      <c r="RZJ9967" s="1328">
        <v>8919645.2799999993</v>
      </c>
      <c r="RZK9967" s="1328"/>
      <c r="RZM9967" s="1328"/>
      <c r="RZN9967" s="1328"/>
      <c r="RZO9967" s="1328"/>
      <c r="RZQ9967" s="1328"/>
      <c r="RZR9967" s="1328">
        <v>8919645.2799999993</v>
      </c>
      <c r="RZS9967" s="1328"/>
      <c r="RZU9967" s="1328"/>
      <c r="RZV9967" s="1328"/>
      <c r="RZW9967" s="1328"/>
      <c r="RZY9967" s="1328"/>
      <c r="RZZ9967" s="1328">
        <v>8919645.2799999993</v>
      </c>
      <c r="SAA9967" s="1328"/>
      <c r="SAC9967" s="1328"/>
      <c r="SAD9967" s="1328"/>
      <c r="SAE9967" s="1328"/>
      <c r="SAG9967" s="1328"/>
      <c r="SAH9967" s="1328">
        <v>8919645.2799999993</v>
      </c>
      <c r="SAI9967" s="1328"/>
      <c r="SAK9967" s="1328"/>
      <c r="SAL9967" s="1328"/>
      <c r="SAM9967" s="1328"/>
      <c r="SAO9967" s="1328"/>
      <c r="SAP9967" s="1328">
        <v>8919645.2799999993</v>
      </c>
      <c r="SAQ9967" s="1328"/>
      <c r="SAS9967" s="1328"/>
      <c r="SAT9967" s="1328"/>
      <c r="SAU9967" s="1328"/>
      <c r="SAW9967" s="1328"/>
      <c r="SAX9967" s="1328">
        <v>8919645.2799999993</v>
      </c>
      <c r="SAY9967" s="1328"/>
      <c r="SBA9967" s="1328"/>
      <c r="SBB9967" s="1328"/>
      <c r="SBC9967" s="1328"/>
      <c r="SBE9967" s="1328"/>
      <c r="SBF9967" s="1328">
        <v>8919645.2799999993</v>
      </c>
      <c r="SBG9967" s="1328"/>
      <c r="SBI9967" s="1328"/>
      <c r="SBJ9967" s="1328"/>
      <c r="SBK9967" s="1328"/>
      <c r="SBM9967" s="1328"/>
      <c r="SBN9967" s="1328">
        <v>8919645.2799999993</v>
      </c>
      <c r="SBO9967" s="1328"/>
      <c r="SBQ9967" s="1328"/>
      <c r="SBR9967" s="1328"/>
      <c r="SBS9967" s="1328"/>
      <c r="SBU9967" s="1328"/>
      <c r="SBV9967" s="1328">
        <v>8919645.2799999993</v>
      </c>
      <c r="SBW9967" s="1328"/>
      <c r="SBY9967" s="1328"/>
      <c r="SBZ9967" s="1328"/>
      <c r="SCA9967" s="1328"/>
      <c r="SCC9967" s="1328"/>
      <c r="SCD9967" s="1328">
        <v>8919645.2799999993</v>
      </c>
      <c r="SCE9967" s="1328"/>
      <c r="SCG9967" s="1328"/>
      <c r="SCH9967" s="1328"/>
      <c r="SCI9967" s="1328"/>
      <c r="SCK9967" s="1328"/>
      <c r="SCL9967" s="1328">
        <v>8919645.2799999993</v>
      </c>
      <c r="SCM9967" s="1328"/>
      <c r="SCO9967" s="1328"/>
      <c r="SCP9967" s="1328"/>
      <c r="SCQ9967" s="1328"/>
      <c r="SCS9967" s="1328"/>
      <c r="SCT9967" s="1328">
        <v>8919645.2799999993</v>
      </c>
      <c r="SCU9967" s="1328"/>
      <c r="SCW9967" s="1328"/>
      <c r="SCX9967" s="1328"/>
      <c r="SCY9967" s="1328"/>
      <c r="SDA9967" s="1328"/>
      <c r="SDB9967" s="1328">
        <v>8919645.2799999993</v>
      </c>
      <c r="SDC9967" s="1328"/>
      <c r="SDE9967" s="1328"/>
      <c r="SDF9967" s="1328"/>
      <c r="SDG9967" s="1328"/>
      <c r="SDI9967" s="1328"/>
      <c r="SDJ9967" s="1328">
        <v>8919645.2799999993</v>
      </c>
      <c r="SDK9967" s="1328"/>
      <c r="SDM9967" s="1328"/>
      <c r="SDN9967" s="1328"/>
      <c r="SDO9967" s="1328"/>
      <c r="SDQ9967" s="1328"/>
      <c r="SDR9967" s="1328">
        <v>8919645.2799999993</v>
      </c>
      <c r="SDS9967" s="1328"/>
      <c r="SDU9967" s="1328"/>
      <c r="SDV9967" s="1328"/>
      <c r="SDW9967" s="1328"/>
      <c r="SDY9967" s="1328"/>
      <c r="SDZ9967" s="1328">
        <v>8919645.2799999993</v>
      </c>
      <c r="SEA9967" s="1328"/>
      <c r="SEC9967" s="1328"/>
      <c r="SED9967" s="1328"/>
      <c r="SEE9967" s="1328"/>
      <c r="SEG9967" s="1328"/>
      <c r="SEH9967" s="1328">
        <v>8919645.2799999993</v>
      </c>
      <c r="SEI9967" s="1328"/>
      <c r="SEK9967" s="1328"/>
      <c r="SEL9967" s="1328"/>
      <c r="SEM9967" s="1328"/>
      <c r="SEO9967" s="1328"/>
      <c r="SEP9967" s="1328">
        <v>8919645.2799999993</v>
      </c>
      <c r="SEQ9967" s="1328"/>
      <c r="SES9967" s="1328"/>
      <c r="SET9967" s="1328"/>
      <c r="SEU9967" s="1328"/>
      <c r="SEW9967" s="1328"/>
      <c r="SEX9967" s="1328">
        <v>8919645.2799999993</v>
      </c>
      <c r="SEY9967" s="1328"/>
      <c r="SFA9967" s="1328"/>
      <c r="SFB9967" s="1328"/>
      <c r="SFC9967" s="1328"/>
      <c r="SFE9967" s="1328"/>
      <c r="SFF9967" s="1328">
        <v>8919645.2799999993</v>
      </c>
      <c r="SFG9967" s="1328"/>
      <c r="SFI9967" s="1328"/>
      <c r="SFJ9967" s="1328"/>
      <c r="SFK9967" s="1328"/>
      <c r="SFM9967" s="1328"/>
      <c r="SFN9967" s="1328">
        <v>8919645.2799999993</v>
      </c>
      <c r="SFO9967" s="1328"/>
      <c r="SFQ9967" s="1328"/>
      <c r="SFR9967" s="1328"/>
      <c r="SFS9967" s="1328"/>
      <c r="SFU9967" s="1328"/>
      <c r="SFV9967" s="1328">
        <v>8919645.2799999993</v>
      </c>
      <c r="SFW9967" s="1328"/>
      <c r="SFY9967" s="1328"/>
      <c r="SFZ9967" s="1328"/>
      <c r="SGA9967" s="1328"/>
      <c r="SGC9967" s="1328"/>
      <c r="SGD9967" s="1328">
        <v>8919645.2799999993</v>
      </c>
      <c r="SGE9967" s="1328"/>
      <c r="SGG9967" s="1328"/>
      <c r="SGH9967" s="1328"/>
      <c r="SGI9967" s="1328"/>
      <c r="SGK9967" s="1328"/>
      <c r="SGL9967" s="1328">
        <v>8919645.2799999993</v>
      </c>
      <c r="SGM9967" s="1328"/>
      <c r="SGO9967" s="1328"/>
      <c r="SGP9967" s="1328"/>
      <c r="SGQ9967" s="1328"/>
      <c r="SGS9967" s="1328"/>
      <c r="SGT9967" s="1328">
        <v>8919645.2799999993</v>
      </c>
      <c r="SGU9967" s="1328"/>
      <c r="SGW9967" s="1328"/>
      <c r="SGX9967" s="1328"/>
      <c r="SGY9967" s="1328"/>
      <c r="SHA9967" s="1328"/>
      <c r="SHB9967" s="1328">
        <v>8919645.2799999993</v>
      </c>
      <c r="SHC9967" s="1328"/>
      <c r="SHE9967" s="1328"/>
      <c r="SHF9967" s="1328"/>
      <c r="SHG9967" s="1328"/>
      <c r="SHI9967" s="1328"/>
      <c r="SHJ9967" s="1328">
        <v>8919645.2799999993</v>
      </c>
      <c r="SHK9967" s="1328"/>
      <c r="SHM9967" s="1328"/>
      <c r="SHN9967" s="1328"/>
      <c r="SHO9967" s="1328"/>
      <c r="SHQ9967" s="1328"/>
      <c r="SHR9967" s="1328">
        <v>8919645.2799999993</v>
      </c>
      <c r="SHS9967" s="1328"/>
      <c r="SHU9967" s="1328"/>
      <c r="SHV9967" s="1328"/>
      <c r="SHW9967" s="1328"/>
      <c r="SHY9967" s="1328"/>
      <c r="SHZ9967" s="1328">
        <v>8919645.2799999993</v>
      </c>
      <c r="SIA9967" s="1328"/>
      <c r="SIC9967" s="1328"/>
      <c r="SID9967" s="1328"/>
      <c r="SIE9967" s="1328"/>
      <c r="SIG9967" s="1328"/>
      <c r="SIH9967" s="1328">
        <v>8919645.2799999993</v>
      </c>
      <c r="SII9967" s="1328"/>
      <c r="SIK9967" s="1328"/>
      <c r="SIL9967" s="1328"/>
      <c r="SIM9967" s="1328"/>
      <c r="SIO9967" s="1328"/>
      <c r="SIP9967" s="1328">
        <v>8919645.2799999993</v>
      </c>
      <c r="SIQ9967" s="1328"/>
      <c r="SIS9967" s="1328"/>
      <c r="SIT9967" s="1328"/>
      <c r="SIU9967" s="1328"/>
      <c r="SIW9967" s="1328"/>
      <c r="SIX9967" s="1328">
        <v>8919645.2799999993</v>
      </c>
      <c r="SIY9967" s="1328"/>
      <c r="SJA9967" s="1328"/>
      <c r="SJB9967" s="1328"/>
      <c r="SJC9967" s="1328"/>
      <c r="SJE9967" s="1328"/>
      <c r="SJF9967" s="1328">
        <v>8919645.2799999993</v>
      </c>
      <c r="SJG9967" s="1328"/>
      <c r="SJI9967" s="1328"/>
      <c r="SJJ9967" s="1328"/>
      <c r="SJK9967" s="1328"/>
      <c r="SJM9967" s="1328"/>
      <c r="SJN9967" s="1328">
        <v>8919645.2799999993</v>
      </c>
      <c r="SJO9967" s="1328"/>
      <c r="SJQ9967" s="1328"/>
      <c r="SJR9967" s="1328"/>
      <c r="SJS9967" s="1328"/>
      <c r="SJU9967" s="1328"/>
      <c r="SJV9967" s="1328">
        <v>8919645.2799999993</v>
      </c>
      <c r="SJW9967" s="1328"/>
      <c r="SJY9967" s="1328"/>
      <c r="SJZ9967" s="1328"/>
      <c r="SKA9967" s="1328"/>
      <c r="SKC9967" s="1328"/>
      <c r="SKD9967" s="1328">
        <v>8919645.2799999993</v>
      </c>
      <c r="SKE9967" s="1328"/>
      <c r="SKG9967" s="1328"/>
      <c r="SKH9967" s="1328"/>
      <c r="SKI9967" s="1328"/>
      <c r="SKK9967" s="1328"/>
      <c r="SKL9967" s="1328">
        <v>8919645.2799999993</v>
      </c>
      <c r="SKM9967" s="1328"/>
      <c r="SKO9967" s="1328"/>
      <c r="SKP9967" s="1328"/>
      <c r="SKQ9967" s="1328"/>
      <c r="SKS9967" s="1328"/>
      <c r="SKT9967" s="1328">
        <v>8919645.2799999993</v>
      </c>
      <c r="SKU9967" s="1328"/>
      <c r="SKW9967" s="1328"/>
      <c r="SKX9967" s="1328"/>
      <c r="SKY9967" s="1328"/>
      <c r="SLA9967" s="1328"/>
      <c r="SLB9967" s="1328">
        <v>8919645.2799999993</v>
      </c>
      <c r="SLC9967" s="1328"/>
      <c r="SLE9967" s="1328"/>
      <c r="SLF9967" s="1328"/>
      <c r="SLG9967" s="1328"/>
      <c r="SLI9967" s="1328"/>
      <c r="SLJ9967" s="1328">
        <v>8919645.2799999993</v>
      </c>
      <c r="SLK9967" s="1328"/>
      <c r="SLM9967" s="1328"/>
      <c r="SLN9967" s="1328"/>
      <c r="SLO9967" s="1328"/>
      <c r="SLQ9967" s="1328"/>
      <c r="SLR9967" s="1328">
        <v>8919645.2799999993</v>
      </c>
      <c r="SLS9967" s="1328"/>
      <c r="SLU9967" s="1328"/>
      <c r="SLV9967" s="1328"/>
      <c r="SLW9967" s="1328"/>
      <c r="SLY9967" s="1328"/>
      <c r="SLZ9967" s="1328">
        <v>8919645.2799999993</v>
      </c>
      <c r="SMA9967" s="1328"/>
      <c r="SMC9967" s="1328"/>
      <c r="SMD9967" s="1328"/>
      <c r="SME9967" s="1328"/>
      <c r="SMG9967" s="1328"/>
      <c r="SMH9967" s="1328">
        <v>8919645.2799999993</v>
      </c>
      <c r="SMI9967" s="1328"/>
      <c r="SMK9967" s="1328"/>
      <c r="SML9967" s="1328"/>
      <c r="SMM9967" s="1328"/>
      <c r="SMO9967" s="1328"/>
      <c r="SMP9967" s="1328">
        <v>8919645.2799999993</v>
      </c>
      <c r="SMQ9967" s="1328"/>
      <c r="SMS9967" s="1328"/>
      <c r="SMT9967" s="1328"/>
      <c r="SMU9967" s="1328"/>
      <c r="SMW9967" s="1328"/>
      <c r="SMX9967" s="1328">
        <v>8919645.2799999993</v>
      </c>
      <c r="SMY9967" s="1328"/>
      <c r="SNA9967" s="1328"/>
      <c r="SNB9967" s="1328"/>
      <c r="SNC9967" s="1328"/>
      <c r="SNE9967" s="1328"/>
      <c r="SNF9967" s="1328">
        <v>8919645.2799999993</v>
      </c>
      <c r="SNG9967" s="1328"/>
      <c r="SNI9967" s="1328"/>
      <c r="SNJ9967" s="1328"/>
      <c r="SNK9967" s="1328"/>
      <c r="SNM9967" s="1328"/>
      <c r="SNN9967" s="1328">
        <v>8919645.2799999993</v>
      </c>
      <c r="SNO9967" s="1328"/>
      <c r="SNQ9967" s="1328"/>
      <c r="SNR9967" s="1328"/>
      <c r="SNS9967" s="1328"/>
      <c r="SNU9967" s="1328"/>
      <c r="SNV9967" s="1328">
        <v>8919645.2799999993</v>
      </c>
      <c r="SNW9967" s="1328"/>
      <c r="SNY9967" s="1328"/>
      <c r="SNZ9967" s="1328"/>
      <c r="SOA9967" s="1328"/>
      <c r="SOC9967" s="1328"/>
      <c r="SOD9967" s="1328">
        <v>8919645.2799999993</v>
      </c>
      <c r="SOE9967" s="1328"/>
      <c r="SOG9967" s="1328"/>
      <c r="SOH9967" s="1328"/>
      <c r="SOI9967" s="1328"/>
      <c r="SOK9967" s="1328"/>
      <c r="SOL9967" s="1328">
        <v>8919645.2799999993</v>
      </c>
      <c r="SOM9967" s="1328"/>
      <c r="SOO9967" s="1328"/>
      <c r="SOP9967" s="1328"/>
      <c r="SOQ9967" s="1328"/>
      <c r="SOS9967" s="1328"/>
      <c r="SOT9967" s="1328">
        <v>8919645.2799999993</v>
      </c>
      <c r="SOU9967" s="1328"/>
      <c r="SOW9967" s="1328"/>
      <c r="SOX9967" s="1328"/>
      <c r="SOY9967" s="1328"/>
      <c r="SPA9967" s="1328"/>
      <c r="SPB9967" s="1328">
        <v>8919645.2799999993</v>
      </c>
      <c r="SPC9967" s="1328"/>
      <c r="SPE9967" s="1328"/>
      <c r="SPF9967" s="1328"/>
      <c r="SPG9967" s="1328"/>
      <c r="SPI9967" s="1328"/>
      <c r="SPJ9967" s="1328">
        <v>8919645.2799999993</v>
      </c>
      <c r="SPK9967" s="1328"/>
      <c r="SPM9967" s="1328"/>
      <c r="SPN9967" s="1328"/>
      <c r="SPO9967" s="1328"/>
      <c r="SPQ9967" s="1328"/>
      <c r="SPR9967" s="1328">
        <v>8919645.2799999993</v>
      </c>
      <c r="SPS9967" s="1328"/>
      <c r="SPU9967" s="1328"/>
      <c r="SPV9967" s="1328"/>
      <c r="SPW9967" s="1328"/>
      <c r="SPY9967" s="1328"/>
      <c r="SPZ9967" s="1328">
        <v>8919645.2799999993</v>
      </c>
      <c r="SQA9967" s="1328"/>
      <c r="SQC9967" s="1328"/>
      <c r="SQD9967" s="1328"/>
      <c r="SQE9967" s="1328"/>
      <c r="SQG9967" s="1328"/>
      <c r="SQH9967" s="1328">
        <v>8919645.2799999993</v>
      </c>
      <c r="SQI9967" s="1328"/>
      <c r="SQK9967" s="1328"/>
      <c r="SQL9967" s="1328"/>
      <c r="SQM9967" s="1328"/>
      <c r="SQO9967" s="1328"/>
      <c r="SQP9967" s="1328">
        <v>8919645.2799999993</v>
      </c>
      <c r="SQQ9967" s="1328"/>
      <c r="SQS9967" s="1328"/>
      <c r="SQT9967" s="1328"/>
      <c r="SQU9967" s="1328"/>
      <c r="SQW9967" s="1328"/>
      <c r="SQX9967" s="1328">
        <v>8919645.2799999993</v>
      </c>
      <c r="SQY9967" s="1328"/>
      <c r="SRA9967" s="1328"/>
      <c r="SRB9967" s="1328"/>
      <c r="SRC9967" s="1328"/>
      <c r="SRE9967" s="1328"/>
      <c r="SRF9967" s="1328">
        <v>8919645.2799999993</v>
      </c>
      <c r="SRG9967" s="1328"/>
      <c r="SRI9967" s="1328"/>
      <c r="SRJ9967" s="1328"/>
      <c r="SRK9967" s="1328"/>
      <c r="SRM9967" s="1328"/>
      <c r="SRN9967" s="1328">
        <v>8919645.2799999993</v>
      </c>
      <c r="SRO9967" s="1328"/>
      <c r="SRQ9967" s="1328"/>
      <c r="SRR9967" s="1328"/>
      <c r="SRS9967" s="1328"/>
      <c r="SRU9967" s="1328"/>
      <c r="SRV9967" s="1328">
        <v>8919645.2799999993</v>
      </c>
      <c r="SRW9967" s="1328"/>
      <c r="SRY9967" s="1328"/>
      <c r="SRZ9967" s="1328"/>
      <c r="SSA9967" s="1328"/>
      <c r="SSC9967" s="1328"/>
      <c r="SSD9967" s="1328">
        <v>8919645.2799999993</v>
      </c>
      <c r="SSE9967" s="1328"/>
      <c r="SSG9967" s="1328"/>
      <c r="SSH9967" s="1328"/>
      <c r="SSI9967" s="1328"/>
      <c r="SSK9967" s="1328"/>
      <c r="SSL9967" s="1328">
        <v>8919645.2799999993</v>
      </c>
      <c r="SSM9967" s="1328"/>
      <c r="SSO9967" s="1328"/>
      <c r="SSP9967" s="1328"/>
      <c r="SSQ9967" s="1328"/>
      <c r="SSS9967" s="1328"/>
      <c r="SST9967" s="1328">
        <v>8919645.2799999993</v>
      </c>
      <c r="SSU9967" s="1328"/>
      <c r="SSW9967" s="1328"/>
      <c r="SSX9967" s="1328"/>
      <c r="SSY9967" s="1328"/>
      <c r="STA9967" s="1328"/>
      <c r="STB9967" s="1328">
        <v>8919645.2799999993</v>
      </c>
      <c r="STC9967" s="1328"/>
      <c r="STE9967" s="1328"/>
      <c r="STF9967" s="1328"/>
      <c r="STG9967" s="1328"/>
      <c r="STI9967" s="1328"/>
      <c r="STJ9967" s="1328">
        <v>8919645.2799999993</v>
      </c>
      <c r="STK9967" s="1328"/>
      <c r="STM9967" s="1328"/>
      <c r="STN9967" s="1328"/>
      <c r="STO9967" s="1328"/>
      <c r="STQ9967" s="1328"/>
      <c r="STR9967" s="1328">
        <v>8919645.2799999993</v>
      </c>
      <c r="STS9967" s="1328"/>
      <c r="STU9967" s="1328"/>
      <c r="STV9967" s="1328"/>
      <c r="STW9967" s="1328"/>
      <c r="STY9967" s="1328"/>
      <c r="STZ9967" s="1328">
        <v>8919645.2799999993</v>
      </c>
      <c r="SUA9967" s="1328"/>
      <c r="SUC9967" s="1328"/>
      <c r="SUD9967" s="1328"/>
      <c r="SUE9967" s="1328"/>
      <c r="SUG9967" s="1328"/>
      <c r="SUH9967" s="1328">
        <v>8919645.2799999993</v>
      </c>
      <c r="SUI9967" s="1328"/>
      <c r="SUK9967" s="1328"/>
      <c r="SUL9967" s="1328"/>
      <c r="SUM9967" s="1328"/>
      <c r="SUO9967" s="1328"/>
      <c r="SUP9967" s="1328">
        <v>8919645.2799999993</v>
      </c>
      <c r="SUQ9967" s="1328"/>
      <c r="SUS9967" s="1328"/>
      <c r="SUT9967" s="1328"/>
      <c r="SUU9967" s="1328"/>
      <c r="SUW9967" s="1328"/>
      <c r="SUX9967" s="1328">
        <v>8919645.2799999993</v>
      </c>
      <c r="SUY9967" s="1328"/>
      <c r="SVA9967" s="1328"/>
      <c r="SVB9967" s="1328"/>
      <c r="SVC9967" s="1328"/>
      <c r="SVE9967" s="1328"/>
      <c r="SVF9967" s="1328">
        <v>8919645.2799999993</v>
      </c>
      <c r="SVG9967" s="1328"/>
      <c r="SVI9967" s="1328"/>
      <c r="SVJ9967" s="1328"/>
      <c r="SVK9967" s="1328"/>
      <c r="SVM9967" s="1328"/>
      <c r="SVN9967" s="1328">
        <v>8919645.2799999993</v>
      </c>
      <c r="SVO9967" s="1328"/>
      <c r="SVQ9967" s="1328"/>
      <c r="SVR9967" s="1328"/>
      <c r="SVS9967" s="1328"/>
      <c r="SVU9967" s="1328"/>
      <c r="SVV9967" s="1328">
        <v>8919645.2799999993</v>
      </c>
      <c r="SVW9967" s="1328"/>
      <c r="SVY9967" s="1328"/>
      <c r="SVZ9967" s="1328"/>
      <c r="SWA9967" s="1328"/>
      <c r="SWC9967" s="1328"/>
      <c r="SWD9967" s="1328">
        <v>8919645.2799999993</v>
      </c>
      <c r="SWE9967" s="1328"/>
      <c r="SWG9967" s="1328"/>
      <c r="SWH9967" s="1328"/>
      <c r="SWI9967" s="1328"/>
      <c r="SWK9967" s="1328"/>
      <c r="SWL9967" s="1328">
        <v>8919645.2799999993</v>
      </c>
      <c r="SWM9967" s="1328"/>
      <c r="SWO9967" s="1328"/>
      <c r="SWP9967" s="1328"/>
      <c r="SWQ9967" s="1328"/>
      <c r="SWS9967" s="1328"/>
      <c r="SWT9967" s="1328">
        <v>8919645.2799999993</v>
      </c>
      <c r="SWU9967" s="1328"/>
      <c r="SWW9967" s="1328"/>
      <c r="SWX9967" s="1328"/>
      <c r="SWY9967" s="1328"/>
      <c r="SXA9967" s="1328"/>
      <c r="SXB9967" s="1328">
        <v>8919645.2799999993</v>
      </c>
      <c r="SXC9967" s="1328"/>
      <c r="SXE9967" s="1328"/>
      <c r="SXF9967" s="1328"/>
      <c r="SXG9967" s="1328"/>
      <c r="SXI9967" s="1328"/>
      <c r="SXJ9967" s="1328">
        <v>8919645.2799999993</v>
      </c>
      <c r="SXK9967" s="1328"/>
      <c r="SXM9967" s="1328"/>
      <c r="SXN9967" s="1328"/>
      <c r="SXO9967" s="1328"/>
      <c r="SXQ9967" s="1328"/>
      <c r="SXR9967" s="1328">
        <v>8919645.2799999993</v>
      </c>
      <c r="SXS9967" s="1328"/>
      <c r="SXU9967" s="1328"/>
      <c r="SXV9967" s="1328"/>
      <c r="SXW9967" s="1328"/>
      <c r="SXY9967" s="1328"/>
      <c r="SXZ9967" s="1328">
        <v>8919645.2799999993</v>
      </c>
      <c r="SYA9967" s="1328"/>
      <c r="SYC9967" s="1328"/>
      <c r="SYD9967" s="1328"/>
      <c r="SYE9967" s="1328"/>
      <c r="SYG9967" s="1328"/>
      <c r="SYH9967" s="1328">
        <v>8919645.2799999993</v>
      </c>
      <c r="SYI9967" s="1328"/>
      <c r="SYK9967" s="1328"/>
      <c r="SYL9967" s="1328"/>
      <c r="SYM9967" s="1328"/>
      <c r="SYO9967" s="1328"/>
      <c r="SYP9967" s="1328">
        <v>8919645.2799999993</v>
      </c>
      <c r="SYQ9967" s="1328"/>
      <c r="SYS9967" s="1328"/>
      <c r="SYT9967" s="1328"/>
      <c r="SYU9967" s="1328"/>
      <c r="SYW9967" s="1328"/>
      <c r="SYX9967" s="1328">
        <v>8919645.2799999993</v>
      </c>
      <c r="SYY9967" s="1328"/>
      <c r="SZA9967" s="1328"/>
      <c r="SZB9967" s="1328"/>
      <c r="SZC9967" s="1328"/>
      <c r="SZE9967" s="1328"/>
      <c r="SZF9967" s="1328">
        <v>8919645.2799999993</v>
      </c>
      <c r="SZG9967" s="1328"/>
      <c r="SZI9967" s="1328"/>
      <c r="SZJ9967" s="1328"/>
      <c r="SZK9967" s="1328"/>
      <c r="SZM9967" s="1328"/>
      <c r="SZN9967" s="1328">
        <v>8919645.2799999993</v>
      </c>
      <c r="SZO9967" s="1328"/>
      <c r="SZQ9967" s="1328"/>
      <c r="SZR9967" s="1328"/>
      <c r="SZS9967" s="1328"/>
      <c r="SZU9967" s="1328"/>
      <c r="SZV9967" s="1328">
        <v>8919645.2799999993</v>
      </c>
      <c r="SZW9967" s="1328"/>
      <c r="SZY9967" s="1328"/>
      <c r="SZZ9967" s="1328"/>
      <c r="TAA9967" s="1328"/>
      <c r="TAC9967" s="1328"/>
      <c r="TAD9967" s="1328">
        <v>8919645.2799999993</v>
      </c>
      <c r="TAE9967" s="1328"/>
      <c r="TAG9967" s="1328"/>
      <c r="TAH9967" s="1328"/>
      <c r="TAI9967" s="1328"/>
      <c r="TAK9967" s="1328"/>
      <c r="TAL9967" s="1328">
        <v>8919645.2799999993</v>
      </c>
      <c r="TAM9967" s="1328"/>
      <c r="TAO9967" s="1328"/>
      <c r="TAP9967" s="1328"/>
      <c r="TAQ9967" s="1328"/>
      <c r="TAS9967" s="1328"/>
      <c r="TAT9967" s="1328">
        <v>8919645.2799999993</v>
      </c>
      <c r="TAU9967" s="1328"/>
      <c r="TAW9967" s="1328"/>
      <c r="TAX9967" s="1328"/>
      <c r="TAY9967" s="1328"/>
      <c r="TBA9967" s="1328"/>
      <c r="TBB9967" s="1328">
        <v>8919645.2799999993</v>
      </c>
      <c r="TBC9967" s="1328"/>
      <c r="TBE9967" s="1328"/>
      <c r="TBF9967" s="1328"/>
      <c r="TBG9967" s="1328"/>
      <c r="TBI9967" s="1328"/>
      <c r="TBJ9967" s="1328">
        <v>8919645.2799999993</v>
      </c>
      <c r="TBK9967" s="1328"/>
      <c r="TBM9967" s="1328"/>
      <c r="TBN9967" s="1328"/>
      <c r="TBO9967" s="1328"/>
      <c r="TBQ9967" s="1328"/>
      <c r="TBR9967" s="1328">
        <v>8919645.2799999993</v>
      </c>
      <c r="TBS9967" s="1328"/>
      <c r="TBU9967" s="1328"/>
      <c r="TBV9967" s="1328"/>
      <c r="TBW9967" s="1328"/>
      <c r="TBY9967" s="1328"/>
      <c r="TBZ9967" s="1328">
        <v>8919645.2799999993</v>
      </c>
      <c r="TCA9967" s="1328"/>
      <c r="TCC9967" s="1328"/>
      <c r="TCD9967" s="1328"/>
      <c r="TCE9967" s="1328"/>
      <c r="TCG9967" s="1328"/>
      <c r="TCH9967" s="1328">
        <v>8919645.2799999993</v>
      </c>
      <c r="TCI9967" s="1328"/>
      <c r="TCK9967" s="1328"/>
      <c r="TCL9967" s="1328"/>
      <c r="TCM9967" s="1328"/>
      <c r="TCO9967" s="1328"/>
      <c r="TCP9967" s="1328">
        <v>8919645.2799999993</v>
      </c>
      <c r="TCQ9967" s="1328"/>
      <c r="TCS9967" s="1328"/>
      <c r="TCT9967" s="1328"/>
      <c r="TCU9967" s="1328"/>
      <c r="TCW9967" s="1328"/>
      <c r="TCX9967" s="1328">
        <v>8919645.2799999993</v>
      </c>
      <c r="TCY9967" s="1328"/>
      <c r="TDA9967" s="1328"/>
      <c r="TDB9967" s="1328"/>
      <c r="TDC9967" s="1328"/>
      <c r="TDE9967" s="1328"/>
      <c r="TDF9967" s="1328">
        <v>8919645.2799999993</v>
      </c>
      <c r="TDG9967" s="1328"/>
      <c r="TDI9967" s="1328"/>
      <c r="TDJ9967" s="1328"/>
      <c r="TDK9967" s="1328"/>
      <c r="TDM9967" s="1328"/>
      <c r="TDN9967" s="1328">
        <v>8919645.2799999993</v>
      </c>
      <c r="TDO9967" s="1328"/>
      <c r="TDQ9967" s="1328"/>
      <c r="TDR9967" s="1328"/>
      <c r="TDS9967" s="1328"/>
      <c r="TDU9967" s="1328"/>
      <c r="TDV9967" s="1328">
        <v>8919645.2799999993</v>
      </c>
      <c r="TDW9967" s="1328"/>
      <c r="TDY9967" s="1328"/>
      <c r="TDZ9967" s="1328"/>
      <c r="TEA9967" s="1328"/>
      <c r="TEC9967" s="1328"/>
      <c r="TED9967" s="1328">
        <v>8919645.2799999993</v>
      </c>
      <c r="TEE9967" s="1328"/>
      <c r="TEG9967" s="1328"/>
      <c r="TEH9967" s="1328"/>
      <c r="TEI9967" s="1328"/>
      <c r="TEK9967" s="1328"/>
      <c r="TEL9967" s="1328">
        <v>8919645.2799999993</v>
      </c>
      <c r="TEM9967" s="1328"/>
      <c r="TEO9967" s="1328"/>
      <c r="TEP9967" s="1328"/>
      <c r="TEQ9967" s="1328"/>
      <c r="TES9967" s="1328"/>
      <c r="TET9967" s="1328">
        <v>8919645.2799999993</v>
      </c>
      <c r="TEU9967" s="1328"/>
      <c r="TEW9967" s="1328"/>
      <c r="TEX9967" s="1328"/>
      <c r="TEY9967" s="1328"/>
      <c r="TFA9967" s="1328"/>
      <c r="TFB9967" s="1328">
        <v>8919645.2799999993</v>
      </c>
      <c r="TFC9967" s="1328"/>
      <c r="TFE9967" s="1328"/>
      <c r="TFF9967" s="1328"/>
      <c r="TFG9967" s="1328"/>
      <c r="TFI9967" s="1328"/>
      <c r="TFJ9967" s="1328">
        <v>8919645.2799999993</v>
      </c>
      <c r="TFK9967" s="1328"/>
      <c r="TFM9967" s="1328"/>
      <c r="TFN9967" s="1328"/>
      <c r="TFO9967" s="1328"/>
      <c r="TFQ9967" s="1328"/>
      <c r="TFR9967" s="1328">
        <v>8919645.2799999993</v>
      </c>
      <c r="TFS9967" s="1328"/>
      <c r="TFU9967" s="1328"/>
      <c r="TFV9967" s="1328"/>
      <c r="TFW9967" s="1328"/>
      <c r="TFY9967" s="1328"/>
      <c r="TFZ9967" s="1328">
        <v>8919645.2799999993</v>
      </c>
      <c r="TGA9967" s="1328"/>
      <c r="TGC9967" s="1328"/>
      <c r="TGD9967" s="1328"/>
      <c r="TGE9967" s="1328"/>
      <c r="TGG9967" s="1328"/>
      <c r="TGH9967" s="1328">
        <v>8919645.2799999993</v>
      </c>
      <c r="TGI9967" s="1328"/>
      <c r="TGK9967" s="1328"/>
      <c r="TGL9967" s="1328"/>
      <c r="TGM9967" s="1328"/>
      <c r="TGO9967" s="1328"/>
      <c r="TGP9967" s="1328">
        <v>8919645.2799999993</v>
      </c>
      <c r="TGQ9967" s="1328"/>
      <c r="TGS9967" s="1328"/>
      <c r="TGT9967" s="1328"/>
      <c r="TGU9967" s="1328"/>
      <c r="TGW9967" s="1328"/>
      <c r="TGX9967" s="1328">
        <v>8919645.2799999993</v>
      </c>
      <c r="TGY9967" s="1328"/>
      <c r="THA9967" s="1328"/>
      <c r="THB9967" s="1328"/>
      <c r="THC9967" s="1328"/>
      <c r="THE9967" s="1328"/>
      <c r="THF9967" s="1328">
        <v>8919645.2799999993</v>
      </c>
      <c r="THG9967" s="1328"/>
      <c r="THI9967" s="1328"/>
      <c r="THJ9967" s="1328"/>
      <c r="THK9967" s="1328"/>
      <c r="THM9967" s="1328"/>
      <c r="THN9967" s="1328">
        <v>8919645.2799999993</v>
      </c>
      <c r="THO9967" s="1328"/>
      <c r="THQ9967" s="1328"/>
      <c r="THR9967" s="1328"/>
      <c r="THS9967" s="1328"/>
      <c r="THU9967" s="1328"/>
      <c r="THV9967" s="1328">
        <v>8919645.2799999993</v>
      </c>
      <c r="THW9967" s="1328"/>
      <c r="THY9967" s="1328"/>
      <c r="THZ9967" s="1328"/>
      <c r="TIA9967" s="1328"/>
      <c r="TIC9967" s="1328"/>
      <c r="TID9967" s="1328">
        <v>8919645.2799999993</v>
      </c>
      <c r="TIE9967" s="1328"/>
      <c r="TIG9967" s="1328"/>
      <c r="TIH9967" s="1328"/>
      <c r="TII9967" s="1328"/>
      <c r="TIK9967" s="1328"/>
      <c r="TIL9967" s="1328">
        <v>8919645.2799999993</v>
      </c>
      <c r="TIM9967" s="1328"/>
      <c r="TIO9967" s="1328"/>
      <c r="TIP9967" s="1328"/>
      <c r="TIQ9967" s="1328"/>
      <c r="TIS9967" s="1328"/>
      <c r="TIT9967" s="1328">
        <v>8919645.2799999993</v>
      </c>
      <c r="TIU9967" s="1328"/>
      <c r="TIW9967" s="1328"/>
      <c r="TIX9967" s="1328"/>
      <c r="TIY9967" s="1328"/>
      <c r="TJA9967" s="1328"/>
      <c r="TJB9967" s="1328">
        <v>8919645.2799999993</v>
      </c>
      <c r="TJC9967" s="1328"/>
      <c r="TJE9967" s="1328"/>
      <c r="TJF9967" s="1328"/>
      <c r="TJG9967" s="1328"/>
      <c r="TJI9967" s="1328"/>
      <c r="TJJ9967" s="1328">
        <v>8919645.2799999993</v>
      </c>
      <c r="TJK9967" s="1328"/>
      <c r="TJM9967" s="1328"/>
      <c r="TJN9967" s="1328"/>
      <c r="TJO9967" s="1328"/>
      <c r="TJQ9967" s="1328"/>
      <c r="TJR9967" s="1328">
        <v>8919645.2799999993</v>
      </c>
      <c r="TJS9967" s="1328"/>
      <c r="TJU9967" s="1328"/>
      <c r="TJV9967" s="1328"/>
      <c r="TJW9967" s="1328"/>
      <c r="TJY9967" s="1328"/>
      <c r="TJZ9967" s="1328">
        <v>8919645.2799999993</v>
      </c>
      <c r="TKA9967" s="1328"/>
      <c r="TKC9967" s="1328"/>
      <c r="TKD9967" s="1328"/>
      <c r="TKE9967" s="1328"/>
      <c r="TKG9967" s="1328"/>
      <c r="TKH9967" s="1328">
        <v>8919645.2799999993</v>
      </c>
      <c r="TKI9967" s="1328"/>
      <c r="TKK9967" s="1328"/>
      <c r="TKL9967" s="1328"/>
      <c r="TKM9967" s="1328"/>
      <c r="TKO9967" s="1328"/>
      <c r="TKP9967" s="1328">
        <v>8919645.2799999993</v>
      </c>
      <c r="TKQ9967" s="1328"/>
      <c r="TKS9967" s="1328"/>
      <c r="TKT9967" s="1328"/>
      <c r="TKU9967" s="1328"/>
      <c r="TKW9967" s="1328"/>
      <c r="TKX9967" s="1328">
        <v>8919645.2799999993</v>
      </c>
      <c r="TKY9967" s="1328"/>
      <c r="TLA9967" s="1328"/>
      <c r="TLB9967" s="1328"/>
      <c r="TLC9967" s="1328"/>
      <c r="TLE9967" s="1328"/>
      <c r="TLF9967" s="1328">
        <v>8919645.2799999993</v>
      </c>
      <c r="TLG9967" s="1328"/>
      <c r="TLI9967" s="1328"/>
      <c r="TLJ9967" s="1328"/>
      <c r="TLK9967" s="1328"/>
      <c r="TLM9967" s="1328"/>
      <c r="TLN9967" s="1328">
        <v>8919645.2799999993</v>
      </c>
      <c r="TLO9967" s="1328"/>
      <c r="TLQ9967" s="1328"/>
      <c r="TLR9967" s="1328"/>
      <c r="TLS9967" s="1328"/>
      <c r="TLU9967" s="1328"/>
      <c r="TLV9967" s="1328">
        <v>8919645.2799999993</v>
      </c>
      <c r="TLW9967" s="1328"/>
      <c r="TLY9967" s="1328"/>
      <c r="TLZ9967" s="1328"/>
      <c r="TMA9967" s="1328"/>
      <c r="TMC9967" s="1328"/>
      <c r="TMD9967" s="1328">
        <v>8919645.2799999993</v>
      </c>
      <c r="TME9967" s="1328"/>
      <c r="TMG9967" s="1328"/>
      <c r="TMH9967" s="1328"/>
      <c r="TMI9967" s="1328"/>
      <c r="TMK9967" s="1328"/>
      <c r="TML9967" s="1328">
        <v>8919645.2799999993</v>
      </c>
      <c r="TMM9967" s="1328"/>
      <c r="TMO9967" s="1328"/>
      <c r="TMP9967" s="1328"/>
      <c r="TMQ9967" s="1328"/>
      <c r="TMS9967" s="1328"/>
      <c r="TMT9967" s="1328">
        <v>8919645.2799999993</v>
      </c>
      <c r="TMU9967" s="1328"/>
      <c r="TMW9967" s="1328"/>
      <c r="TMX9967" s="1328"/>
      <c r="TMY9967" s="1328"/>
      <c r="TNA9967" s="1328"/>
      <c r="TNB9967" s="1328">
        <v>8919645.2799999993</v>
      </c>
      <c r="TNC9967" s="1328"/>
      <c r="TNE9967" s="1328"/>
      <c r="TNF9967" s="1328"/>
      <c r="TNG9967" s="1328"/>
      <c r="TNI9967" s="1328"/>
      <c r="TNJ9967" s="1328">
        <v>8919645.2799999993</v>
      </c>
      <c r="TNK9967" s="1328"/>
      <c r="TNM9967" s="1328"/>
      <c r="TNN9967" s="1328"/>
      <c r="TNO9967" s="1328"/>
      <c r="TNQ9967" s="1328"/>
      <c r="TNR9967" s="1328">
        <v>8919645.2799999993</v>
      </c>
      <c r="TNS9967" s="1328"/>
      <c r="TNU9967" s="1328"/>
      <c r="TNV9967" s="1328"/>
      <c r="TNW9967" s="1328"/>
      <c r="TNY9967" s="1328"/>
      <c r="TNZ9967" s="1328">
        <v>8919645.2799999993</v>
      </c>
      <c r="TOA9967" s="1328"/>
      <c r="TOC9967" s="1328"/>
      <c r="TOD9967" s="1328"/>
      <c r="TOE9967" s="1328"/>
      <c r="TOG9967" s="1328"/>
      <c r="TOH9967" s="1328">
        <v>8919645.2799999993</v>
      </c>
      <c r="TOI9967" s="1328"/>
      <c r="TOK9967" s="1328"/>
      <c r="TOL9967" s="1328"/>
      <c r="TOM9967" s="1328"/>
      <c r="TOO9967" s="1328"/>
      <c r="TOP9967" s="1328">
        <v>8919645.2799999993</v>
      </c>
      <c r="TOQ9967" s="1328"/>
      <c r="TOS9967" s="1328"/>
      <c r="TOT9967" s="1328"/>
      <c r="TOU9967" s="1328"/>
      <c r="TOW9967" s="1328"/>
      <c r="TOX9967" s="1328">
        <v>8919645.2799999993</v>
      </c>
      <c r="TOY9967" s="1328"/>
      <c r="TPA9967" s="1328"/>
      <c r="TPB9967" s="1328"/>
      <c r="TPC9967" s="1328"/>
      <c r="TPE9967" s="1328"/>
      <c r="TPF9967" s="1328">
        <v>8919645.2799999993</v>
      </c>
      <c r="TPG9967" s="1328"/>
      <c r="TPI9967" s="1328"/>
      <c r="TPJ9967" s="1328"/>
      <c r="TPK9967" s="1328"/>
      <c r="TPM9967" s="1328"/>
      <c r="TPN9967" s="1328">
        <v>8919645.2799999993</v>
      </c>
      <c r="TPO9967" s="1328"/>
      <c r="TPQ9967" s="1328"/>
      <c r="TPR9967" s="1328"/>
      <c r="TPS9967" s="1328"/>
      <c r="TPU9967" s="1328"/>
      <c r="TPV9967" s="1328">
        <v>8919645.2799999993</v>
      </c>
      <c r="TPW9967" s="1328"/>
      <c r="TPY9967" s="1328"/>
      <c r="TPZ9967" s="1328"/>
      <c r="TQA9967" s="1328"/>
      <c r="TQC9967" s="1328"/>
      <c r="TQD9967" s="1328">
        <v>8919645.2799999993</v>
      </c>
      <c r="TQE9967" s="1328"/>
      <c r="TQG9967" s="1328"/>
      <c r="TQH9967" s="1328"/>
      <c r="TQI9967" s="1328"/>
      <c r="TQK9967" s="1328"/>
      <c r="TQL9967" s="1328">
        <v>8919645.2799999993</v>
      </c>
      <c r="TQM9967" s="1328"/>
      <c r="TQO9967" s="1328"/>
      <c r="TQP9967" s="1328"/>
      <c r="TQQ9967" s="1328"/>
      <c r="TQS9967" s="1328"/>
      <c r="TQT9967" s="1328">
        <v>8919645.2799999993</v>
      </c>
      <c r="TQU9967" s="1328"/>
      <c r="TQW9967" s="1328"/>
      <c r="TQX9967" s="1328"/>
      <c r="TQY9967" s="1328"/>
      <c r="TRA9967" s="1328"/>
      <c r="TRB9967" s="1328">
        <v>8919645.2799999993</v>
      </c>
      <c r="TRC9967" s="1328"/>
      <c r="TRE9967" s="1328"/>
      <c r="TRF9967" s="1328"/>
      <c r="TRG9967" s="1328"/>
      <c r="TRI9967" s="1328"/>
      <c r="TRJ9967" s="1328">
        <v>8919645.2799999993</v>
      </c>
      <c r="TRK9967" s="1328"/>
      <c r="TRM9967" s="1328"/>
      <c r="TRN9967" s="1328"/>
      <c r="TRO9967" s="1328"/>
      <c r="TRQ9967" s="1328"/>
      <c r="TRR9967" s="1328">
        <v>8919645.2799999993</v>
      </c>
      <c r="TRS9967" s="1328"/>
      <c r="TRU9967" s="1328"/>
      <c r="TRV9967" s="1328"/>
      <c r="TRW9967" s="1328"/>
      <c r="TRY9967" s="1328"/>
      <c r="TRZ9967" s="1328">
        <v>8919645.2799999993</v>
      </c>
      <c r="TSA9967" s="1328"/>
      <c r="TSC9967" s="1328"/>
      <c r="TSD9967" s="1328"/>
      <c r="TSE9967" s="1328"/>
      <c r="TSG9967" s="1328"/>
      <c r="TSH9967" s="1328">
        <v>8919645.2799999993</v>
      </c>
      <c r="TSI9967" s="1328"/>
      <c r="TSK9967" s="1328"/>
      <c r="TSL9967" s="1328"/>
      <c r="TSM9967" s="1328"/>
      <c r="TSO9967" s="1328"/>
      <c r="TSP9967" s="1328">
        <v>8919645.2799999993</v>
      </c>
      <c r="TSQ9967" s="1328"/>
      <c r="TSS9967" s="1328"/>
      <c r="TST9967" s="1328"/>
      <c r="TSU9967" s="1328"/>
      <c r="TSW9967" s="1328"/>
      <c r="TSX9967" s="1328">
        <v>8919645.2799999993</v>
      </c>
      <c r="TSY9967" s="1328"/>
      <c r="TTA9967" s="1328"/>
      <c r="TTB9967" s="1328"/>
      <c r="TTC9967" s="1328"/>
      <c r="TTE9967" s="1328"/>
      <c r="TTF9967" s="1328">
        <v>8919645.2799999993</v>
      </c>
      <c r="TTG9967" s="1328"/>
      <c r="TTI9967" s="1328"/>
      <c r="TTJ9967" s="1328"/>
      <c r="TTK9967" s="1328"/>
      <c r="TTM9967" s="1328"/>
      <c r="TTN9967" s="1328">
        <v>8919645.2799999993</v>
      </c>
      <c r="TTO9967" s="1328"/>
      <c r="TTQ9967" s="1328"/>
      <c r="TTR9967" s="1328"/>
      <c r="TTS9967" s="1328"/>
      <c r="TTU9967" s="1328"/>
      <c r="TTV9967" s="1328">
        <v>8919645.2799999993</v>
      </c>
      <c r="TTW9967" s="1328"/>
      <c r="TTY9967" s="1328"/>
      <c r="TTZ9967" s="1328"/>
      <c r="TUA9967" s="1328"/>
      <c r="TUC9967" s="1328"/>
      <c r="TUD9967" s="1328">
        <v>8919645.2799999993</v>
      </c>
      <c r="TUE9967" s="1328"/>
      <c r="TUG9967" s="1328"/>
      <c r="TUH9967" s="1328"/>
      <c r="TUI9967" s="1328"/>
      <c r="TUK9967" s="1328"/>
      <c r="TUL9967" s="1328">
        <v>8919645.2799999993</v>
      </c>
      <c r="TUM9967" s="1328"/>
      <c r="TUO9967" s="1328"/>
      <c r="TUP9967" s="1328"/>
      <c r="TUQ9967" s="1328"/>
      <c r="TUS9967" s="1328"/>
      <c r="TUT9967" s="1328">
        <v>8919645.2799999993</v>
      </c>
      <c r="TUU9967" s="1328"/>
      <c r="TUW9967" s="1328"/>
      <c r="TUX9967" s="1328"/>
      <c r="TUY9967" s="1328"/>
      <c r="TVA9967" s="1328"/>
      <c r="TVB9967" s="1328">
        <v>8919645.2799999993</v>
      </c>
      <c r="TVC9967" s="1328"/>
      <c r="TVE9967" s="1328"/>
      <c r="TVF9967" s="1328"/>
      <c r="TVG9967" s="1328"/>
      <c r="TVI9967" s="1328"/>
      <c r="TVJ9967" s="1328">
        <v>8919645.2799999993</v>
      </c>
      <c r="TVK9967" s="1328"/>
      <c r="TVM9967" s="1328"/>
      <c r="TVN9967" s="1328"/>
      <c r="TVO9967" s="1328"/>
      <c r="TVQ9967" s="1328"/>
      <c r="TVR9967" s="1328">
        <v>8919645.2799999993</v>
      </c>
      <c r="TVS9967" s="1328"/>
      <c r="TVU9967" s="1328"/>
      <c r="TVV9967" s="1328"/>
      <c r="TVW9967" s="1328"/>
      <c r="TVY9967" s="1328"/>
      <c r="TVZ9967" s="1328">
        <v>8919645.2799999993</v>
      </c>
      <c r="TWA9967" s="1328"/>
      <c r="TWC9967" s="1328"/>
      <c r="TWD9967" s="1328"/>
      <c r="TWE9967" s="1328"/>
      <c r="TWG9967" s="1328"/>
      <c r="TWH9967" s="1328">
        <v>8919645.2799999993</v>
      </c>
      <c r="TWI9967" s="1328"/>
      <c r="TWK9967" s="1328"/>
      <c r="TWL9967" s="1328"/>
      <c r="TWM9967" s="1328"/>
      <c r="TWO9967" s="1328"/>
      <c r="TWP9967" s="1328">
        <v>8919645.2799999993</v>
      </c>
      <c r="TWQ9967" s="1328"/>
      <c r="TWS9967" s="1328"/>
      <c r="TWT9967" s="1328"/>
      <c r="TWU9967" s="1328"/>
      <c r="TWW9967" s="1328"/>
      <c r="TWX9967" s="1328">
        <v>8919645.2799999993</v>
      </c>
      <c r="TWY9967" s="1328"/>
      <c r="TXA9967" s="1328"/>
      <c r="TXB9967" s="1328"/>
      <c r="TXC9967" s="1328"/>
      <c r="TXE9967" s="1328"/>
      <c r="TXF9967" s="1328">
        <v>8919645.2799999993</v>
      </c>
      <c r="TXG9967" s="1328"/>
      <c r="TXI9967" s="1328"/>
      <c r="TXJ9967" s="1328"/>
      <c r="TXK9967" s="1328"/>
      <c r="TXM9967" s="1328"/>
      <c r="TXN9967" s="1328">
        <v>8919645.2799999993</v>
      </c>
      <c r="TXO9967" s="1328"/>
      <c r="TXQ9967" s="1328"/>
      <c r="TXR9967" s="1328"/>
      <c r="TXS9967" s="1328"/>
      <c r="TXU9967" s="1328"/>
      <c r="TXV9967" s="1328">
        <v>8919645.2799999993</v>
      </c>
      <c r="TXW9967" s="1328"/>
      <c r="TXY9967" s="1328"/>
      <c r="TXZ9967" s="1328"/>
      <c r="TYA9967" s="1328"/>
      <c r="TYC9967" s="1328"/>
      <c r="TYD9967" s="1328">
        <v>8919645.2799999993</v>
      </c>
      <c r="TYE9967" s="1328"/>
      <c r="TYG9967" s="1328"/>
      <c r="TYH9967" s="1328"/>
      <c r="TYI9967" s="1328"/>
      <c r="TYK9967" s="1328"/>
      <c r="TYL9967" s="1328">
        <v>8919645.2799999993</v>
      </c>
      <c r="TYM9967" s="1328"/>
      <c r="TYO9967" s="1328"/>
      <c r="TYP9967" s="1328"/>
      <c r="TYQ9967" s="1328"/>
      <c r="TYS9967" s="1328"/>
      <c r="TYT9967" s="1328">
        <v>8919645.2799999993</v>
      </c>
      <c r="TYU9967" s="1328"/>
      <c r="TYW9967" s="1328"/>
      <c r="TYX9967" s="1328"/>
      <c r="TYY9967" s="1328"/>
      <c r="TZA9967" s="1328"/>
      <c r="TZB9967" s="1328">
        <v>8919645.2799999993</v>
      </c>
      <c r="TZC9967" s="1328"/>
      <c r="TZE9967" s="1328"/>
      <c r="TZF9967" s="1328"/>
      <c r="TZG9967" s="1328"/>
      <c r="TZI9967" s="1328"/>
      <c r="TZJ9967" s="1328">
        <v>8919645.2799999993</v>
      </c>
      <c r="TZK9967" s="1328"/>
      <c r="TZM9967" s="1328"/>
      <c r="TZN9967" s="1328"/>
      <c r="TZO9967" s="1328"/>
      <c r="TZQ9967" s="1328"/>
      <c r="TZR9967" s="1328">
        <v>8919645.2799999993</v>
      </c>
      <c r="TZS9967" s="1328"/>
      <c r="TZU9967" s="1328"/>
      <c r="TZV9967" s="1328"/>
      <c r="TZW9967" s="1328"/>
      <c r="TZY9967" s="1328"/>
      <c r="TZZ9967" s="1328">
        <v>8919645.2799999993</v>
      </c>
      <c r="UAA9967" s="1328"/>
      <c r="UAC9967" s="1328"/>
      <c r="UAD9967" s="1328"/>
      <c r="UAE9967" s="1328"/>
      <c r="UAG9967" s="1328"/>
      <c r="UAH9967" s="1328">
        <v>8919645.2799999993</v>
      </c>
      <c r="UAI9967" s="1328"/>
      <c r="UAK9967" s="1328"/>
      <c r="UAL9967" s="1328"/>
      <c r="UAM9967" s="1328"/>
      <c r="UAO9967" s="1328"/>
      <c r="UAP9967" s="1328">
        <v>8919645.2799999993</v>
      </c>
      <c r="UAQ9967" s="1328"/>
      <c r="UAS9967" s="1328"/>
      <c r="UAT9967" s="1328"/>
      <c r="UAU9967" s="1328"/>
      <c r="UAW9967" s="1328"/>
      <c r="UAX9967" s="1328">
        <v>8919645.2799999993</v>
      </c>
      <c r="UAY9967" s="1328"/>
      <c r="UBA9967" s="1328"/>
      <c r="UBB9967" s="1328"/>
      <c r="UBC9967" s="1328"/>
      <c r="UBE9967" s="1328"/>
      <c r="UBF9967" s="1328">
        <v>8919645.2799999993</v>
      </c>
      <c r="UBG9967" s="1328"/>
      <c r="UBI9967" s="1328"/>
      <c r="UBJ9967" s="1328"/>
      <c r="UBK9967" s="1328"/>
      <c r="UBM9967" s="1328"/>
      <c r="UBN9967" s="1328">
        <v>8919645.2799999993</v>
      </c>
      <c r="UBO9967" s="1328"/>
      <c r="UBQ9967" s="1328"/>
      <c r="UBR9967" s="1328"/>
      <c r="UBS9967" s="1328"/>
      <c r="UBU9967" s="1328"/>
      <c r="UBV9967" s="1328">
        <v>8919645.2799999993</v>
      </c>
      <c r="UBW9967" s="1328"/>
      <c r="UBY9967" s="1328"/>
      <c r="UBZ9967" s="1328"/>
      <c r="UCA9967" s="1328"/>
      <c r="UCC9967" s="1328"/>
      <c r="UCD9967" s="1328">
        <v>8919645.2799999993</v>
      </c>
      <c r="UCE9967" s="1328"/>
      <c r="UCG9967" s="1328"/>
      <c r="UCH9967" s="1328"/>
      <c r="UCI9967" s="1328"/>
      <c r="UCK9967" s="1328"/>
      <c r="UCL9967" s="1328">
        <v>8919645.2799999993</v>
      </c>
      <c r="UCM9967" s="1328"/>
      <c r="UCO9967" s="1328"/>
      <c r="UCP9967" s="1328"/>
      <c r="UCQ9967" s="1328"/>
      <c r="UCS9967" s="1328"/>
      <c r="UCT9967" s="1328">
        <v>8919645.2799999993</v>
      </c>
      <c r="UCU9967" s="1328"/>
      <c r="UCW9967" s="1328"/>
      <c r="UCX9967" s="1328"/>
      <c r="UCY9967" s="1328"/>
      <c r="UDA9967" s="1328"/>
      <c r="UDB9967" s="1328">
        <v>8919645.2799999993</v>
      </c>
      <c r="UDC9967" s="1328"/>
      <c r="UDE9967" s="1328"/>
      <c r="UDF9967" s="1328"/>
      <c r="UDG9967" s="1328"/>
      <c r="UDI9967" s="1328"/>
      <c r="UDJ9967" s="1328">
        <v>8919645.2799999993</v>
      </c>
      <c r="UDK9967" s="1328"/>
      <c r="UDM9967" s="1328"/>
      <c r="UDN9967" s="1328"/>
      <c r="UDO9967" s="1328"/>
      <c r="UDQ9967" s="1328"/>
      <c r="UDR9967" s="1328">
        <v>8919645.2799999993</v>
      </c>
      <c r="UDS9967" s="1328"/>
      <c r="UDU9967" s="1328"/>
      <c r="UDV9967" s="1328"/>
      <c r="UDW9967" s="1328"/>
      <c r="UDY9967" s="1328"/>
      <c r="UDZ9967" s="1328">
        <v>8919645.2799999993</v>
      </c>
      <c r="UEA9967" s="1328"/>
      <c r="UEC9967" s="1328"/>
      <c r="UED9967" s="1328"/>
      <c r="UEE9967" s="1328"/>
      <c r="UEG9967" s="1328"/>
      <c r="UEH9967" s="1328">
        <v>8919645.2799999993</v>
      </c>
      <c r="UEI9967" s="1328"/>
      <c r="UEK9967" s="1328"/>
      <c r="UEL9967" s="1328"/>
      <c r="UEM9967" s="1328"/>
      <c r="UEO9967" s="1328"/>
      <c r="UEP9967" s="1328">
        <v>8919645.2799999993</v>
      </c>
      <c r="UEQ9967" s="1328"/>
      <c r="UES9967" s="1328"/>
      <c r="UET9967" s="1328"/>
      <c r="UEU9967" s="1328"/>
      <c r="UEW9967" s="1328"/>
      <c r="UEX9967" s="1328">
        <v>8919645.2799999993</v>
      </c>
      <c r="UEY9967" s="1328"/>
      <c r="UFA9967" s="1328"/>
      <c r="UFB9967" s="1328"/>
      <c r="UFC9967" s="1328"/>
      <c r="UFE9967" s="1328"/>
      <c r="UFF9967" s="1328">
        <v>8919645.2799999993</v>
      </c>
      <c r="UFG9967" s="1328"/>
      <c r="UFI9967" s="1328"/>
      <c r="UFJ9967" s="1328"/>
      <c r="UFK9967" s="1328"/>
      <c r="UFM9967" s="1328"/>
      <c r="UFN9967" s="1328">
        <v>8919645.2799999993</v>
      </c>
      <c r="UFO9967" s="1328"/>
      <c r="UFQ9967" s="1328"/>
      <c r="UFR9967" s="1328"/>
      <c r="UFS9967" s="1328"/>
      <c r="UFU9967" s="1328"/>
      <c r="UFV9967" s="1328">
        <v>8919645.2799999993</v>
      </c>
      <c r="UFW9967" s="1328"/>
      <c r="UFY9967" s="1328"/>
      <c r="UFZ9967" s="1328"/>
      <c r="UGA9967" s="1328"/>
      <c r="UGC9967" s="1328"/>
      <c r="UGD9967" s="1328">
        <v>8919645.2799999993</v>
      </c>
      <c r="UGE9967" s="1328"/>
      <c r="UGG9967" s="1328"/>
      <c r="UGH9967" s="1328"/>
      <c r="UGI9967" s="1328"/>
      <c r="UGK9967" s="1328"/>
      <c r="UGL9967" s="1328">
        <v>8919645.2799999993</v>
      </c>
      <c r="UGM9967" s="1328"/>
      <c r="UGO9967" s="1328"/>
      <c r="UGP9967" s="1328"/>
      <c r="UGQ9967" s="1328"/>
      <c r="UGS9967" s="1328"/>
      <c r="UGT9967" s="1328">
        <v>8919645.2799999993</v>
      </c>
      <c r="UGU9967" s="1328"/>
      <c r="UGW9967" s="1328"/>
      <c r="UGX9967" s="1328"/>
      <c r="UGY9967" s="1328"/>
      <c r="UHA9967" s="1328"/>
      <c r="UHB9967" s="1328">
        <v>8919645.2799999993</v>
      </c>
      <c r="UHC9967" s="1328"/>
      <c r="UHE9967" s="1328"/>
      <c r="UHF9967" s="1328"/>
      <c r="UHG9967" s="1328"/>
      <c r="UHI9967" s="1328"/>
      <c r="UHJ9967" s="1328">
        <v>8919645.2799999993</v>
      </c>
      <c r="UHK9967" s="1328"/>
      <c r="UHM9967" s="1328"/>
      <c r="UHN9967" s="1328"/>
      <c r="UHO9967" s="1328"/>
      <c r="UHQ9967" s="1328"/>
      <c r="UHR9967" s="1328">
        <v>8919645.2799999993</v>
      </c>
      <c r="UHS9967" s="1328"/>
      <c r="UHU9967" s="1328"/>
      <c r="UHV9967" s="1328"/>
      <c r="UHW9967" s="1328"/>
      <c r="UHY9967" s="1328"/>
      <c r="UHZ9967" s="1328">
        <v>8919645.2799999993</v>
      </c>
      <c r="UIA9967" s="1328"/>
      <c r="UIC9967" s="1328"/>
      <c r="UID9967" s="1328"/>
      <c r="UIE9967" s="1328"/>
      <c r="UIG9967" s="1328"/>
      <c r="UIH9967" s="1328">
        <v>8919645.2799999993</v>
      </c>
      <c r="UII9967" s="1328"/>
      <c r="UIK9967" s="1328"/>
      <c r="UIL9967" s="1328"/>
      <c r="UIM9967" s="1328"/>
      <c r="UIO9967" s="1328"/>
      <c r="UIP9967" s="1328">
        <v>8919645.2799999993</v>
      </c>
      <c r="UIQ9967" s="1328"/>
      <c r="UIS9967" s="1328"/>
      <c r="UIT9967" s="1328"/>
      <c r="UIU9967" s="1328"/>
      <c r="UIW9967" s="1328"/>
      <c r="UIX9967" s="1328">
        <v>8919645.2799999993</v>
      </c>
      <c r="UIY9967" s="1328"/>
      <c r="UJA9967" s="1328"/>
      <c r="UJB9967" s="1328"/>
      <c r="UJC9967" s="1328"/>
      <c r="UJE9967" s="1328"/>
      <c r="UJF9967" s="1328">
        <v>8919645.2799999993</v>
      </c>
      <c r="UJG9967" s="1328"/>
      <c r="UJI9967" s="1328"/>
      <c r="UJJ9967" s="1328"/>
      <c r="UJK9967" s="1328"/>
      <c r="UJM9967" s="1328"/>
      <c r="UJN9967" s="1328">
        <v>8919645.2799999993</v>
      </c>
      <c r="UJO9967" s="1328"/>
      <c r="UJQ9967" s="1328"/>
      <c r="UJR9967" s="1328"/>
      <c r="UJS9967" s="1328"/>
      <c r="UJU9967" s="1328"/>
      <c r="UJV9967" s="1328">
        <v>8919645.2799999993</v>
      </c>
      <c r="UJW9967" s="1328"/>
      <c r="UJY9967" s="1328"/>
      <c r="UJZ9967" s="1328"/>
      <c r="UKA9967" s="1328"/>
      <c r="UKC9967" s="1328"/>
      <c r="UKD9967" s="1328">
        <v>8919645.2799999993</v>
      </c>
      <c r="UKE9967" s="1328"/>
      <c r="UKG9967" s="1328"/>
      <c r="UKH9967" s="1328"/>
      <c r="UKI9967" s="1328"/>
      <c r="UKK9967" s="1328"/>
      <c r="UKL9967" s="1328">
        <v>8919645.2799999993</v>
      </c>
      <c r="UKM9967" s="1328"/>
      <c r="UKO9967" s="1328"/>
      <c r="UKP9967" s="1328"/>
      <c r="UKQ9967" s="1328"/>
      <c r="UKS9967" s="1328"/>
      <c r="UKT9967" s="1328">
        <v>8919645.2799999993</v>
      </c>
      <c r="UKU9967" s="1328"/>
      <c r="UKW9967" s="1328"/>
      <c r="UKX9967" s="1328"/>
      <c r="UKY9967" s="1328"/>
      <c r="ULA9967" s="1328"/>
      <c r="ULB9967" s="1328">
        <v>8919645.2799999993</v>
      </c>
      <c r="ULC9967" s="1328"/>
      <c r="ULE9967" s="1328"/>
      <c r="ULF9967" s="1328"/>
      <c r="ULG9967" s="1328"/>
      <c r="ULI9967" s="1328"/>
      <c r="ULJ9967" s="1328">
        <v>8919645.2799999993</v>
      </c>
      <c r="ULK9967" s="1328"/>
      <c r="ULM9967" s="1328"/>
      <c r="ULN9967" s="1328"/>
      <c r="ULO9967" s="1328"/>
      <c r="ULQ9967" s="1328"/>
      <c r="ULR9967" s="1328">
        <v>8919645.2799999993</v>
      </c>
      <c r="ULS9967" s="1328"/>
      <c r="ULU9967" s="1328"/>
      <c r="ULV9967" s="1328"/>
      <c r="ULW9967" s="1328"/>
      <c r="ULY9967" s="1328"/>
      <c r="ULZ9967" s="1328">
        <v>8919645.2799999993</v>
      </c>
      <c r="UMA9967" s="1328"/>
      <c r="UMC9967" s="1328"/>
      <c r="UMD9967" s="1328"/>
      <c r="UME9967" s="1328"/>
      <c r="UMG9967" s="1328"/>
      <c r="UMH9967" s="1328">
        <v>8919645.2799999993</v>
      </c>
      <c r="UMI9967" s="1328"/>
      <c r="UMK9967" s="1328"/>
      <c r="UML9967" s="1328"/>
      <c r="UMM9967" s="1328"/>
      <c r="UMO9967" s="1328"/>
      <c r="UMP9967" s="1328">
        <v>8919645.2799999993</v>
      </c>
      <c r="UMQ9967" s="1328"/>
      <c r="UMS9967" s="1328"/>
      <c r="UMT9967" s="1328"/>
      <c r="UMU9967" s="1328"/>
      <c r="UMW9967" s="1328"/>
      <c r="UMX9967" s="1328">
        <v>8919645.2799999993</v>
      </c>
      <c r="UMY9967" s="1328"/>
      <c r="UNA9967" s="1328"/>
      <c r="UNB9967" s="1328"/>
      <c r="UNC9967" s="1328"/>
      <c r="UNE9967" s="1328"/>
      <c r="UNF9967" s="1328">
        <v>8919645.2799999993</v>
      </c>
      <c r="UNG9967" s="1328"/>
      <c r="UNI9967" s="1328"/>
      <c r="UNJ9967" s="1328"/>
      <c r="UNK9967" s="1328"/>
      <c r="UNM9967" s="1328"/>
      <c r="UNN9967" s="1328">
        <v>8919645.2799999993</v>
      </c>
      <c r="UNO9967" s="1328"/>
      <c r="UNQ9967" s="1328"/>
      <c r="UNR9967" s="1328"/>
      <c r="UNS9967" s="1328"/>
      <c r="UNU9967" s="1328"/>
      <c r="UNV9967" s="1328">
        <v>8919645.2799999993</v>
      </c>
      <c r="UNW9967" s="1328"/>
      <c r="UNY9967" s="1328"/>
      <c r="UNZ9967" s="1328"/>
      <c r="UOA9967" s="1328"/>
      <c r="UOC9967" s="1328"/>
      <c r="UOD9967" s="1328">
        <v>8919645.2799999993</v>
      </c>
      <c r="UOE9967" s="1328"/>
      <c r="UOG9967" s="1328"/>
      <c r="UOH9967" s="1328"/>
      <c r="UOI9967" s="1328"/>
      <c r="UOK9967" s="1328"/>
      <c r="UOL9967" s="1328">
        <v>8919645.2799999993</v>
      </c>
      <c r="UOM9967" s="1328"/>
      <c r="UOO9967" s="1328"/>
      <c r="UOP9967" s="1328"/>
      <c r="UOQ9967" s="1328"/>
      <c r="UOS9967" s="1328"/>
      <c r="UOT9967" s="1328">
        <v>8919645.2799999993</v>
      </c>
      <c r="UOU9967" s="1328"/>
      <c r="UOW9967" s="1328"/>
      <c r="UOX9967" s="1328"/>
      <c r="UOY9967" s="1328"/>
      <c r="UPA9967" s="1328"/>
      <c r="UPB9967" s="1328">
        <v>8919645.2799999993</v>
      </c>
      <c r="UPC9967" s="1328"/>
      <c r="UPE9967" s="1328"/>
      <c r="UPF9967" s="1328"/>
      <c r="UPG9967" s="1328"/>
      <c r="UPI9967" s="1328"/>
      <c r="UPJ9967" s="1328">
        <v>8919645.2799999993</v>
      </c>
      <c r="UPK9967" s="1328"/>
      <c r="UPM9967" s="1328"/>
      <c r="UPN9967" s="1328"/>
      <c r="UPO9967" s="1328"/>
      <c r="UPQ9967" s="1328"/>
      <c r="UPR9967" s="1328">
        <v>8919645.2799999993</v>
      </c>
      <c r="UPS9967" s="1328"/>
      <c r="UPU9967" s="1328"/>
      <c r="UPV9967" s="1328"/>
      <c r="UPW9967" s="1328"/>
      <c r="UPY9967" s="1328"/>
      <c r="UPZ9967" s="1328">
        <v>8919645.2799999993</v>
      </c>
      <c r="UQA9967" s="1328"/>
      <c r="UQC9967" s="1328"/>
      <c r="UQD9967" s="1328"/>
      <c r="UQE9967" s="1328"/>
      <c r="UQG9967" s="1328"/>
      <c r="UQH9967" s="1328">
        <v>8919645.2799999993</v>
      </c>
      <c r="UQI9967" s="1328"/>
      <c r="UQK9967" s="1328"/>
      <c r="UQL9967" s="1328"/>
      <c r="UQM9967" s="1328"/>
      <c r="UQO9967" s="1328"/>
      <c r="UQP9967" s="1328">
        <v>8919645.2799999993</v>
      </c>
      <c r="UQQ9967" s="1328"/>
      <c r="UQS9967" s="1328"/>
      <c r="UQT9967" s="1328"/>
      <c r="UQU9967" s="1328"/>
      <c r="UQW9967" s="1328"/>
      <c r="UQX9967" s="1328">
        <v>8919645.2799999993</v>
      </c>
      <c r="UQY9967" s="1328"/>
      <c r="URA9967" s="1328"/>
      <c r="URB9967" s="1328"/>
      <c r="URC9967" s="1328"/>
      <c r="URE9967" s="1328"/>
      <c r="URF9967" s="1328">
        <v>8919645.2799999993</v>
      </c>
      <c r="URG9967" s="1328"/>
      <c r="URI9967" s="1328"/>
      <c r="URJ9967" s="1328"/>
      <c r="URK9967" s="1328"/>
      <c r="URM9967" s="1328"/>
      <c r="URN9967" s="1328">
        <v>8919645.2799999993</v>
      </c>
      <c r="URO9967" s="1328"/>
      <c r="URQ9967" s="1328"/>
      <c r="URR9967" s="1328"/>
      <c r="URS9967" s="1328"/>
      <c r="URU9967" s="1328"/>
      <c r="URV9967" s="1328">
        <v>8919645.2799999993</v>
      </c>
      <c r="URW9967" s="1328"/>
      <c r="URY9967" s="1328"/>
      <c r="URZ9967" s="1328"/>
      <c r="USA9967" s="1328"/>
      <c r="USC9967" s="1328"/>
      <c r="USD9967" s="1328">
        <v>8919645.2799999993</v>
      </c>
      <c r="USE9967" s="1328"/>
      <c r="USG9967" s="1328"/>
      <c r="USH9967" s="1328"/>
      <c r="USI9967" s="1328"/>
      <c r="USK9967" s="1328"/>
      <c r="USL9967" s="1328">
        <v>8919645.2799999993</v>
      </c>
      <c r="USM9967" s="1328"/>
      <c r="USO9967" s="1328"/>
      <c r="USP9967" s="1328"/>
      <c r="USQ9967" s="1328"/>
      <c r="USS9967" s="1328"/>
      <c r="UST9967" s="1328">
        <v>8919645.2799999993</v>
      </c>
      <c r="USU9967" s="1328"/>
      <c r="USW9967" s="1328"/>
      <c r="USX9967" s="1328"/>
      <c r="USY9967" s="1328"/>
      <c r="UTA9967" s="1328"/>
      <c r="UTB9967" s="1328">
        <v>8919645.2799999993</v>
      </c>
      <c r="UTC9967" s="1328"/>
      <c r="UTE9967" s="1328"/>
      <c r="UTF9967" s="1328"/>
      <c r="UTG9967" s="1328"/>
      <c r="UTI9967" s="1328"/>
      <c r="UTJ9967" s="1328">
        <v>8919645.2799999993</v>
      </c>
      <c r="UTK9967" s="1328"/>
      <c r="UTM9967" s="1328"/>
      <c r="UTN9967" s="1328"/>
      <c r="UTO9967" s="1328"/>
      <c r="UTQ9967" s="1328"/>
      <c r="UTR9967" s="1328">
        <v>8919645.2799999993</v>
      </c>
      <c r="UTS9967" s="1328"/>
      <c r="UTU9967" s="1328"/>
      <c r="UTV9967" s="1328"/>
      <c r="UTW9967" s="1328"/>
      <c r="UTY9967" s="1328"/>
      <c r="UTZ9967" s="1328">
        <v>8919645.2799999993</v>
      </c>
      <c r="UUA9967" s="1328"/>
      <c r="UUC9967" s="1328"/>
      <c r="UUD9967" s="1328"/>
      <c r="UUE9967" s="1328"/>
      <c r="UUG9967" s="1328"/>
      <c r="UUH9967" s="1328">
        <v>8919645.2799999993</v>
      </c>
      <c r="UUI9967" s="1328"/>
      <c r="UUK9967" s="1328"/>
      <c r="UUL9967" s="1328"/>
      <c r="UUM9967" s="1328"/>
      <c r="UUO9967" s="1328"/>
      <c r="UUP9967" s="1328">
        <v>8919645.2799999993</v>
      </c>
      <c r="UUQ9967" s="1328"/>
      <c r="UUS9967" s="1328"/>
      <c r="UUT9967" s="1328"/>
      <c r="UUU9967" s="1328"/>
      <c r="UUW9967" s="1328"/>
      <c r="UUX9967" s="1328">
        <v>8919645.2799999993</v>
      </c>
      <c r="UUY9967" s="1328"/>
      <c r="UVA9967" s="1328"/>
      <c r="UVB9967" s="1328"/>
      <c r="UVC9967" s="1328"/>
      <c r="UVE9967" s="1328"/>
      <c r="UVF9967" s="1328">
        <v>8919645.2799999993</v>
      </c>
      <c r="UVG9967" s="1328"/>
      <c r="UVI9967" s="1328"/>
      <c r="UVJ9967" s="1328"/>
      <c r="UVK9967" s="1328"/>
      <c r="UVM9967" s="1328"/>
      <c r="UVN9967" s="1328">
        <v>8919645.2799999993</v>
      </c>
      <c r="UVO9967" s="1328"/>
      <c r="UVQ9967" s="1328"/>
      <c r="UVR9967" s="1328"/>
      <c r="UVS9967" s="1328"/>
      <c r="UVU9967" s="1328"/>
      <c r="UVV9967" s="1328">
        <v>8919645.2799999993</v>
      </c>
      <c r="UVW9967" s="1328"/>
      <c r="UVY9967" s="1328"/>
      <c r="UVZ9967" s="1328"/>
      <c r="UWA9967" s="1328"/>
      <c r="UWC9967" s="1328"/>
      <c r="UWD9967" s="1328">
        <v>8919645.2799999993</v>
      </c>
      <c r="UWE9967" s="1328"/>
      <c r="UWG9967" s="1328"/>
      <c r="UWH9967" s="1328"/>
      <c r="UWI9967" s="1328"/>
      <c r="UWK9967" s="1328"/>
      <c r="UWL9967" s="1328">
        <v>8919645.2799999993</v>
      </c>
      <c r="UWM9967" s="1328"/>
      <c r="UWO9967" s="1328"/>
      <c r="UWP9967" s="1328"/>
      <c r="UWQ9967" s="1328"/>
      <c r="UWS9967" s="1328"/>
      <c r="UWT9967" s="1328">
        <v>8919645.2799999993</v>
      </c>
      <c r="UWU9967" s="1328"/>
      <c r="UWW9967" s="1328"/>
      <c r="UWX9967" s="1328"/>
      <c r="UWY9967" s="1328"/>
      <c r="UXA9967" s="1328"/>
      <c r="UXB9967" s="1328">
        <v>8919645.2799999993</v>
      </c>
      <c r="UXC9967" s="1328"/>
      <c r="UXE9967" s="1328"/>
      <c r="UXF9967" s="1328"/>
      <c r="UXG9967" s="1328"/>
      <c r="UXI9967" s="1328"/>
      <c r="UXJ9967" s="1328">
        <v>8919645.2799999993</v>
      </c>
      <c r="UXK9967" s="1328"/>
      <c r="UXM9967" s="1328"/>
      <c r="UXN9967" s="1328"/>
      <c r="UXO9967" s="1328"/>
      <c r="UXQ9967" s="1328"/>
      <c r="UXR9967" s="1328">
        <v>8919645.2799999993</v>
      </c>
      <c r="UXS9967" s="1328"/>
      <c r="UXU9967" s="1328"/>
      <c r="UXV9967" s="1328"/>
      <c r="UXW9967" s="1328"/>
      <c r="UXY9967" s="1328"/>
      <c r="UXZ9967" s="1328">
        <v>8919645.2799999993</v>
      </c>
      <c r="UYA9967" s="1328"/>
      <c r="UYC9967" s="1328"/>
      <c r="UYD9967" s="1328"/>
      <c r="UYE9967" s="1328"/>
      <c r="UYG9967" s="1328"/>
      <c r="UYH9967" s="1328">
        <v>8919645.2799999993</v>
      </c>
      <c r="UYI9967" s="1328"/>
      <c r="UYK9967" s="1328"/>
      <c r="UYL9967" s="1328"/>
      <c r="UYM9967" s="1328"/>
      <c r="UYO9967" s="1328"/>
      <c r="UYP9967" s="1328">
        <v>8919645.2799999993</v>
      </c>
      <c r="UYQ9967" s="1328"/>
      <c r="UYS9967" s="1328"/>
      <c r="UYT9967" s="1328"/>
      <c r="UYU9967" s="1328"/>
      <c r="UYW9967" s="1328"/>
      <c r="UYX9967" s="1328">
        <v>8919645.2799999993</v>
      </c>
      <c r="UYY9967" s="1328"/>
      <c r="UZA9967" s="1328"/>
      <c r="UZB9967" s="1328"/>
      <c r="UZC9967" s="1328"/>
      <c r="UZE9967" s="1328"/>
      <c r="UZF9967" s="1328">
        <v>8919645.2799999993</v>
      </c>
      <c r="UZG9967" s="1328"/>
      <c r="UZI9967" s="1328"/>
      <c r="UZJ9967" s="1328"/>
      <c r="UZK9967" s="1328"/>
      <c r="UZM9967" s="1328"/>
      <c r="UZN9967" s="1328">
        <v>8919645.2799999993</v>
      </c>
      <c r="UZO9967" s="1328"/>
      <c r="UZQ9967" s="1328"/>
      <c r="UZR9967" s="1328"/>
      <c r="UZS9967" s="1328"/>
      <c r="UZU9967" s="1328"/>
      <c r="UZV9967" s="1328">
        <v>8919645.2799999993</v>
      </c>
      <c r="UZW9967" s="1328"/>
      <c r="UZY9967" s="1328"/>
      <c r="UZZ9967" s="1328"/>
      <c r="VAA9967" s="1328"/>
      <c r="VAC9967" s="1328"/>
      <c r="VAD9967" s="1328">
        <v>8919645.2799999993</v>
      </c>
      <c r="VAE9967" s="1328"/>
      <c r="VAG9967" s="1328"/>
      <c r="VAH9967" s="1328"/>
      <c r="VAI9967" s="1328"/>
      <c r="VAK9967" s="1328"/>
      <c r="VAL9967" s="1328">
        <v>8919645.2799999993</v>
      </c>
      <c r="VAM9967" s="1328"/>
      <c r="VAO9967" s="1328"/>
      <c r="VAP9967" s="1328"/>
      <c r="VAQ9967" s="1328"/>
      <c r="VAS9967" s="1328"/>
      <c r="VAT9967" s="1328">
        <v>8919645.2799999993</v>
      </c>
      <c r="VAU9967" s="1328"/>
      <c r="VAW9967" s="1328"/>
      <c r="VAX9967" s="1328"/>
      <c r="VAY9967" s="1328"/>
      <c r="VBA9967" s="1328"/>
      <c r="VBB9967" s="1328">
        <v>8919645.2799999993</v>
      </c>
      <c r="VBC9967" s="1328"/>
      <c r="VBE9967" s="1328"/>
      <c r="VBF9967" s="1328"/>
      <c r="VBG9967" s="1328"/>
      <c r="VBI9967" s="1328"/>
      <c r="VBJ9967" s="1328">
        <v>8919645.2799999993</v>
      </c>
      <c r="VBK9967" s="1328"/>
      <c r="VBM9967" s="1328"/>
      <c r="VBN9967" s="1328"/>
      <c r="VBO9967" s="1328"/>
      <c r="VBQ9967" s="1328"/>
      <c r="VBR9967" s="1328">
        <v>8919645.2799999993</v>
      </c>
      <c r="VBS9967" s="1328"/>
      <c r="VBU9967" s="1328"/>
      <c r="VBV9967" s="1328"/>
      <c r="VBW9967" s="1328"/>
      <c r="VBY9967" s="1328"/>
      <c r="VBZ9967" s="1328">
        <v>8919645.2799999993</v>
      </c>
      <c r="VCA9967" s="1328"/>
      <c r="VCC9967" s="1328"/>
      <c r="VCD9967" s="1328"/>
      <c r="VCE9967" s="1328"/>
      <c r="VCG9967" s="1328"/>
      <c r="VCH9967" s="1328">
        <v>8919645.2799999993</v>
      </c>
      <c r="VCI9967" s="1328"/>
      <c r="VCK9967" s="1328"/>
      <c r="VCL9967" s="1328"/>
      <c r="VCM9967" s="1328"/>
      <c r="VCO9967" s="1328"/>
      <c r="VCP9967" s="1328">
        <v>8919645.2799999993</v>
      </c>
      <c r="VCQ9967" s="1328"/>
      <c r="VCS9967" s="1328"/>
      <c r="VCT9967" s="1328"/>
      <c r="VCU9967" s="1328"/>
      <c r="VCW9967" s="1328"/>
      <c r="VCX9967" s="1328">
        <v>8919645.2799999993</v>
      </c>
      <c r="VCY9967" s="1328"/>
      <c r="VDA9967" s="1328"/>
      <c r="VDB9967" s="1328"/>
      <c r="VDC9967" s="1328"/>
      <c r="VDE9967" s="1328"/>
      <c r="VDF9967" s="1328">
        <v>8919645.2799999993</v>
      </c>
      <c r="VDG9967" s="1328"/>
      <c r="VDI9967" s="1328"/>
      <c r="VDJ9967" s="1328"/>
      <c r="VDK9967" s="1328"/>
      <c r="VDM9967" s="1328"/>
      <c r="VDN9967" s="1328">
        <v>8919645.2799999993</v>
      </c>
      <c r="VDO9967" s="1328"/>
      <c r="VDQ9967" s="1328"/>
      <c r="VDR9967" s="1328"/>
      <c r="VDS9967" s="1328"/>
      <c r="VDU9967" s="1328"/>
      <c r="VDV9967" s="1328">
        <v>8919645.2799999993</v>
      </c>
      <c r="VDW9967" s="1328"/>
      <c r="VDY9967" s="1328"/>
      <c r="VDZ9967" s="1328"/>
      <c r="VEA9967" s="1328"/>
      <c r="VEC9967" s="1328"/>
      <c r="VED9967" s="1328">
        <v>8919645.2799999993</v>
      </c>
      <c r="VEE9967" s="1328"/>
      <c r="VEG9967" s="1328"/>
      <c r="VEH9967" s="1328"/>
      <c r="VEI9967" s="1328"/>
      <c r="VEK9967" s="1328"/>
      <c r="VEL9967" s="1328">
        <v>8919645.2799999993</v>
      </c>
      <c r="VEM9967" s="1328"/>
      <c r="VEO9967" s="1328"/>
      <c r="VEP9967" s="1328"/>
      <c r="VEQ9967" s="1328"/>
      <c r="VES9967" s="1328"/>
      <c r="VET9967" s="1328">
        <v>8919645.2799999993</v>
      </c>
      <c r="VEU9967" s="1328"/>
      <c r="VEW9967" s="1328"/>
      <c r="VEX9967" s="1328"/>
      <c r="VEY9967" s="1328"/>
      <c r="VFA9967" s="1328"/>
      <c r="VFB9967" s="1328">
        <v>8919645.2799999993</v>
      </c>
      <c r="VFC9967" s="1328"/>
      <c r="VFE9967" s="1328"/>
      <c r="VFF9967" s="1328"/>
      <c r="VFG9967" s="1328"/>
      <c r="VFI9967" s="1328"/>
      <c r="VFJ9967" s="1328">
        <v>8919645.2799999993</v>
      </c>
      <c r="VFK9967" s="1328"/>
      <c r="VFM9967" s="1328"/>
      <c r="VFN9967" s="1328"/>
      <c r="VFO9967" s="1328"/>
      <c r="VFQ9967" s="1328"/>
      <c r="VFR9967" s="1328">
        <v>8919645.2799999993</v>
      </c>
      <c r="VFS9967" s="1328"/>
      <c r="VFU9967" s="1328"/>
      <c r="VFV9967" s="1328"/>
      <c r="VFW9967" s="1328"/>
      <c r="VFY9967" s="1328"/>
      <c r="VFZ9967" s="1328">
        <v>8919645.2799999993</v>
      </c>
      <c r="VGA9967" s="1328"/>
      <c r="VGC9967" s="1328"/>
      <c r="VGD9967" s="1328"/>
      <c r="VGE9967" s="1328"/>
      <c r="VGG9967" s="1328"/>
      <c r="VGH9967" s="1328">
        <v>8919645.2799999993</v>
      </c>
      <c r="VGI9967" s="1328"/>
      <c r="VGK9967" s="1328"/>
      <c r="VGL9967" s="1328"/>
      <c r="VGM9967" s="1328"/>
      <c r="VGO9967" s="1328"/>
      <c r="VGP9967" s="1328">
        <v>8919645.2799999993</v>
      </c>
      <c r="VGQ9967" s="1328"/>
      <c r="VGS9967" s="1328"/>
      <c r="VGT9967" s="1328"/>
      <c r="VGU9967" s="1328"/>
      <c r="VGW9967" s="1328"/>
      <c r="VGX9967" s="1328">
        <v>8919645.2799999993</v>
      </c>
      <c r="VGY9967" s="1328"/>
      <c r="VHA9967" s="1328"/>
      <c r="VHB9967" s="1328"/>
      <c r="VHC9967" s="1328"/>
      <c r="VHE9967" s="1328"/>
      <c r="VHF9967" s="1328">
        <v>8919645.2799999993</v>
      </c>
      <c r="VHG9967" s="1328"/>
      <c r="VHI9967" s="1328"/>
      <c r="VHJ9967" s="1328"/>
      <c r="VHK9967" s="1328"/>
      <c r="VHM9967" s="1328"/>
      <c r="VHN9967" s="1328">
        <v>8919645.2799999993</v>
      </c>
      <c r="VHO9967" s="1328"/>
      <c r="VHQ9967" s="1328"/>
      <c r="VHR9967" s="1328"/>
      <c r="VHS9967" s="1328"/>
      <c r="VHU9967" s="1328"/>
      <c r="VHV9967" s="1328">
        <v>8919645.2799999993</v>
      </c>
      <c r="VHW9967" s="1328"/>
      <c r="VHY9967" s="1328"/>
      <c r="VHZ9967" s="1328"/>
      <c r="VIA9967" s="1328"/>
      <c r="VIC9967" s="1328"/>
      <c r="VID9967" s="1328">
        <v>8919645.2799999993</v>
      </c>
      <c r="VIE9967" s="1328"/>
      <c r="VIG9967" s="1328"/>
      <c r="VIH9967" s="1328"/>
      <c r="VII9967" s="1328"/>
      <c r="VIK9967" s="1328"/>
      <c r="VIL9967" s="1328">
        <v>8919645.2799999993</v>
      </c>
      <c r="VIM9967" s="1328"/>
      <c r="VIO9967" s="1328"/>
      <c r="VIP9967" s="1328"/>
      <c r="VIQ9967" s="1328"/>
      <c r="VIS9967" s="1328"/>
      <c r="VIT9967" s="1328">
        <v>8919645.2799999993</v>
      </c>
      <c r="VIU9967" s="1328"/>
      <c r="VIW9967" s="1328"/>
      <c r="VIX9967" s="1328"/>
      <c r="VIY9967" s="1328"/>
      <c r="VJA9967" s="1328"/>
      <c r="VJB9967" s="1328">
        <v>8919645.2799999993</v>
      </c>
      <c r="VJC9967" s="1328"/>
      <c r="VJE9967" s="1328"/>
      <c r="VJF9967" s="1328"/>
      <c r="VJG9967" s="1328"/>
      <c r="VJI9967" s="1328"/>
      <c r="VJJ9967" s="1328">
        <v>8919645.2799999993</v>
      </c>
      <c r="VJK9967" s="1328"/>
      <c r="VJM9967" s="1328"/>
      <c r="VJN9967" s="1328"/>
      <c r="VJO9967" s="1328"/>
      <c r="VJQ9967" s="1328"/>
      <c r="VJR9967" s="1328">
        <v>8919645.2799999993</v>
      </c>
      <c r="VJS9967" s="1328"/>
      <c r="VJU9967" s="1328"/>
      <c r="VJV9967" s="1328"/>
      <c r="VJW9967" s="1328"/>
      <c r="VJY9967" s="1328"/>
      <c r="VJZ9967" s="1328">
        <v>8919645.2799999993</v>
      </c>
      <c r="VKA9967" s="1328"/>
      <c r="VKC9967" s="1328"/>
      <c r="VKD9967" s="1328"/>
      <c r="VKE9967" s="1328"/>
      <c r="VKG9967" s="1328"/>
      <c r="VKH9967" s="1328">
        <v>8919645.2799999993</v>
      </c>
      <c r="VKI9967" s="1328"/>
      <c r="VKK9967" s="1328"/>
      <c r="VKL9967" s="1328"/>
      <c r="VKM9967" s="1328"/>
      <c r="VKO9967" s="1328"/>
      <c r="VKP9967" s="1328">
        <v>8919645.2799999993</v>
      </c>
      <c r="VKQ9967" s="1328"/>
      <c r="VKS9967" s="1328"/>
      <c r="VKT9967" s="1328"/>
      <c r="VKU9967" s="1328"/>
      <c r="VKW9967" s="1328"/>
      <c r="VKX9967" s="1328">
        <v>8919645.2799999993</v>
      </c>
      <c r="VKY9967" s="1328"/>
      <c r="VLA9967" s="1328"/>
      <c r="VLB9967" s="1328"/>
      <c r="VLC9967" s="1328"/>
      <c r="VLE9967" s="1328"/>
      <c r="VLF9967" s="1328">
        <v>8919645.2799999993</v>
      </c>
      <c r="VLG9967" s="1328"/>
      <c r="VLI9967" s="1328"/>
      <c r="VLJ9967" s="1328"/>
      <c r="VLK9967" s="1328"/>
      <c r="VLM9967" s="1328"/>
      <c r="VLN9967" s="1328">
        <v>8919645.2799999993</v>
      </c>
      <c r="VLO9967" s="1328"/>
      <c r="VLQ9967" s="1328"/>
      <c r="VLR9967" s="1328"/>
      <c r="VLS9967" s="1328"/>
      <c r="VLU9967" s="1328"/>
      <c r="VLV9967" s="1328">
        <v>8919645.2799999993</v>
      </c>
      <c r="VLW9967" s="1328"/>
      <c r="VLY9967" s="1328"/>
      <c r="VLZ9967" s="1328"/>
      <c r="VMA9967" s="1328"/>
      <c r="VMC9967" s="1328"/>
      <c r="VMD9967" s="1328">
        <v>8919645.2799999993</v>
      </c>
      <c r="VME9967" s="1328"/>
      <c r="VMG9967" s="1328"/>
      <c r="VMH9967" s="1328"/>
      <c r="VMI9967" s="1328"/>
      <c r="VMK9967" s="1328"/>
      <c r="VML9967" s="1328">
        <v>8919645.2799999993</v>
      </c>
      <c r="VMM9967" s="1328"/>
      <c r="VMO9967" s="1328"/>
      <c r="VMP9967" s="1328"/>
      <c r="VMQ9967" s="1328"/>
      <c r="VMS9967" s="1328"/>
      <c r="VMT9967" s="1328">
        <v>8919645.2799999993</v>
      </c>
      <c r="VMU9967" s="1328"/>
      <c r="VMW9967" s="1328"/>
      <c r="VMX9967" s="1328"/>
      <c r="VMY9967" s="1328"/>
      <c r="VNA9967" s="1328"/>
      <c r="VNB9967" s="1328">
        <v>8919645.2799999993</v>
      </c>
      <c r="VNC9967" s="1328"/>
      <c r="VNE9967" s="1328"/>
      <c r="VNF9967" s="1328"/>
      <c r="VNG9967" s="1328"/>
      <c r="VNI9967" s="1328"/>
      <c r="VNJ9967" s="1328">
        <v>8919645.2799999993</v>
      </c>
      <c r="VNK9967" s="1328"/>
      <c r="VNM9967" s="1328"/>
      <c r="VNN9967" s="1328"/>
      <c r="VNO9967" s="1328"/>
      <c r="VNQ9967" s="1328"/>
      <c r="VNR9967" s="1328">
        <v>8919645.2799999993</v>
      </c>
      <c r="VNS9967" s="1328"/>
      <c r="VNU9967" s="1328"/>
      <c r="VNV9967" s="1328"/>
      <c r="VNW9967" s="1328"/>
      <c r="VNY9967" s="1328"/>
      <c r="VNZ9967" s="1328">
        <v>8919645.2799999993</v>
      </c>
      <c r="VOA9967" s="1328"/>
      <c r="VOC9967" s="1328"/>
      <c r="VOD9967" s="1328"/>
      <c r="VOE9967" s="1328"/>
      <c r="VOG9967" s="1328"/>
      <c r="VOH9967" s="1328">
        <v>8919645.2799999993</v>
      </c>
      <c r="VOI9967" s="1328"/>
      <c r="VOK9967" s="1328"/>
      <c r="VOL9967" s="1328"/>
      <c r="VOM9967" s="1328"/>
      <c r="VOO9967" s="1328"/>
      <c r="VOP9967" s="1328">
        <v>8919645.2799999993</v>
      </c>
      <c r="VOQ9967" s="1328"/>
      <c r="VOS9967" s="1328"/>
      <c r="VOT9967" s="1328"/>
      <c r="VOU9967" s="1328"/>
      <c r="VOW9967" s="1328"/>
      <c r="VOX9967" s="1328">
        <v>8919645.2799999993</v>
      </c>
      <c r="VOY9967" s="1328"/>
      <c r="VPA9967" s="1328"/>
      <c r="VPB9967" s="1328"/>
      <c r="VPC9967" s="1328"/>
      <c r="VPE9967" s="1328"/>
      <c r="VPF9967" s="1328">
        <v>8919645.2799999993</v>
      </c>
      <c r="VPG9967" s="1328"/>
      <c r="VPI9967" s="1328"/>
      <c r="VPJ9967" s="1328"/>
      <c r="VPK9967" s="1328"/>
      <c r="VPM9967" s="1328"/>
      <c r="VPN9967" s="1328">
        <v>8919645.2799999993</v>
      </c>
      <c r="VPO9967" s="1328"/>
      <c r="VPQ9967" s="1328"/>
      <c r="VPR9967" s="1328"/>
      <c r="VPS9967" s="1328"/>
      <c r="VPU9967" s="1328"/>
      <c r="VPV9967" s="1328">
        <v>8919645.2799999993</v>
      </c>
      <c r="VPW9967" s="1328"/>
      <c r="VPY9967" s="1328"/>
      <c r="VPZ9967" s="1328"/>
      <c r="VQA9967" s="1328"/>
      <c r="VQC9967" s="1328"/>
      <c r="VQD9967" s="1328">
        <v>8919645.2799999993</v>
      </c>
      <c r="VQE9967" s="1328"/>
      <c r="VQG9967" s="1328"/>
      <c r="VQH9967" s="1328"/>
      <c r="VQI9967" s="1328"/>
      <c r="VQK9967" s="1328"/>
      <c r="VQL9967" s="1328">
        <v>8919645.2799999993</v>
      </c>
      <c r="VQM9967" s="1328"/>
      <c r="VQO9967" s="1328"/>
      <c r="VQP9967" s="1328"/>
      <c r="VQQ9967" s="1328"/>
      <c r="VQS9967" s="1328"/>
      <c r="VQT9967" s="1328">
        <v>8919645.2799999993</v>
      </c>
      <c r="VQU9967" s="1328"/>
      <c r="VQW9967" s="1328"/>
      <c r="VQX9967" s="1328"/>
      <c r="VQY9967" s="1328"/>
      <c r="VRA9967" s="1328"/>
      <c r="VRB9967" s="1328">
        <v>8919645.2799999993</v>
      </c>
      <c r="VRC9967" s="1328"/>
      <c r="VRE9967" s="1328"/>
      <c r="VRF9967" s="1328"/>
      <c r="VRG9967" s="1328"/>
      <c r="VRI9967" s="1328"/>
      <c r="VRJ9967" s="1328">
        <v>8919645.2799999993</v>
      </c>
      <c r="VRK9967" s="1328"/>
      <c r="VRM9967" s="1328"/>
      <c r="VRN9967" s="1328"/>
      <c r="VRO9967" s="1328"/>
      <c r="VRQ9967" s="1328"/>
      <c r="VRR9967" s="1328">
        <v>8919645.2799999993</v>
      </c>
      <c r="VRS9967" s="1328"/>
      <c r="VRU9967" s="1328"/>
      <c r="VRV9967" s="1328"/>
      <c r="VRW9967" s="1328"/>
      <c r="VRY9967" s="1328"/>
      <c r="VRZ9967" s="1328">
        <v>8919645.2799999993</v>
      </c>
      <c r="VSA9967" s="1328"/>
      <c r="VSC9967" s="1328"/>
      <c r="VSD9967" s="1328"/>
      <c r="VSE9967" s="1328"/>
      <c r="VSG9967" s="1328"/>
      <c r="VSH9967" s="1328">
        <v>8919645.2799999993</v>
      </c>
      <c r="VSI9967" s="1328"/>
      <c r="VSK9967" s="1328"/>
      <c r="VSL9967" s="1328"/>
      <c r="VSM9967" s="1328"/>
      <c r="VSO9967" s="1328"/>
      <c r="VSP9967" s="1328">
        <v>8919645.2799999993</v>
      </c>
      <c r="VSQ9967" s="1328"/>
      <c r="VSS9967" s="1328"/>
      <c r="VST9967" s="1328"/>
      <c r="VSU9967" s="1328"/>
      <c r="VSW9967" s="1328"/>
      <c r="VSX9967" s="1328">
        <v>8919645.2799999993</v>
      </c>
      <c r="VSY9967" s="1328"/>
      <c r="VTA9967" s="1328"/>
      <c r="VTB9967" s="1328"/>
      <c r="VTC9967" s="1328"/>
      <c r="VTE9967" s="1328"/>
      <c r="VTF9967" s="1328">
        <v>8919645.2799999993</v>
      </c>
      <c r="VTG9967" s="1328"/>
      <c r="VTI9967" s="1328"/>
      <c r="VTJ9967" s="1328"/>
      <c r="VTK9967" s="1328"/>
      <c r="VTM9967" s="1328"/>
      <c r="VTN9967" s="1328">
        <v>8919645.2799999993</v>
      </c>
      <c r="VTO9967" s="1328"/>
      <c r="VTQ9967" s="1328"/>
      <c r="VTR9967" s="1328"/>
      <c r="VTS9967" s="1328"/>
      <c r="VTU9967" s="1328"/>
      <c r="VTV9967" s="1328">
        <v>8919645.2799999993</v>
      </c>
      <c r="VTW9967" s="1328"/>
      <c r="VTY9967" s="1328"/>
      <c r="VTZ9967" s="1328"/>
      <c r="VUA9967" s="1328"/>
      <c r="VUC9967" s="1328"/>
      <c r="VUD9967" s="1328">
        <v>8919645.2799999993</v>
      </c>
      <c r="VUE9967" s="1328"/>
      <c r="VUG9967" s="1328"/>
      <c r="VUH9967" s="1328"/>
      <c r="VUI9967" s="1328"/>
      <c r="VUK9967" s="1328"/>
      <c r="VUL9967" s="1328">
        <v>8919645.2799999993</v>
      </c>
      <c r="VUM9967" s="1328"/>
      <c r="VUO9967" s="1328"/>
      <c r="VUP9967" s="1328"/>
      <c r="VUQ9967" s="1328"/>
      <c r="VUS9967" s="1328"/>
      <c r="VUT9967" s="1328">
        <v>8919645.2799999993</v>
      </c>
      <c r="VUU9967" s="1328"/>
      <c r="VUW9967" s="1328"/>
      <c r="VUX9967" s="1328"/>
      <c r="VUY9967" s="1328"/>
      <c r="VVA9967" s="1328"/>
      <c r="VVB9967" s="1328">
        <v>8919645.2799999993</v>
      </c>
      <c r="VVC9967" s="1328"/>
      <c r="VVE9967" s="1328"/>
      <c r="VVF9967" s="1328"/>
      <c r="VVG9967" s="1328"/>
      <c r="VVI9967" s="1328"/>
      <c r="VVJ9967" s="1328">
        <v>8919645.2799999993</v>
      </c>
      <c r="VVK9967" s="1328"/>
      <c r="VVM9967" s="1328"/>
      <c r="VVN9967" s="1328"/>
      <c r="VVO9967" s="1328"/>
      <c r="VVQ9967" s="1328"/>
      <c r="VVR9967" s="1328">
        <v>8919645.2799999993</v>
      </c>
      <c r="VVS9967" s="1328"/>
      <c r="VVU9967" s="1328"/>
      <c r="VVV9967" s="1328"/>
      <c r="VVW9967" s="1328"/>
      <c r="VVY9967" s="1328"/>
      <c r="VVZ9967" s="1328">
        <v>8919645.2799999993</v>
      </c>
      <c r="VWA9967" s="1328"/>
      <c r="VWC9967" s="1328"/>
      <c r="VWD9967" s="1328"/>
      <c r="VWE9967" s="1328"/>
      <c r="VWG9967" s="1328"/>
      <c r="VWH9967" s="1328">
        <v>8919645.2799999993</v>
      </c>
      <c r="VWI9967" s="1328"/>
      <c r="VWK9967" s="1328"/>
      <c r="VWL9967" s="1328"/>
      <c r="VWM9967" s="1328"/>
      <c r="VWO9967" s="1328"/>
      <c r="VWP9967" s="1328">
        <v>8919645.2799999993</v>
      </c>
      <c r="VWQ9967" s="1328"/>
      <c r="VWS9967" s="1328"/>
      <c r="VWT9967" s="1328"/>
      <c r="VWU9967" s="1328"/>
      <c r="VWW9967" s="1328"/>
      <c r="VWX9967" s="1328">
        <v>8919645.2799999993</v>
      </c>
      <c r="VWY9967" s="1328"/>
      <c r="VXA9967" s="1328"/>
      <c r="VXB9967" s="1328"/>
      <c r="VXC9967" s="1328"/>
      <c r="VXE9967" s="1328"/>
      <c r="VXF9967" s="1328">
        <v>8919645.2799999993</v>
      </c>
      <c r="VXG9967" s="1328"/>
      <c r="VXI9967" s="1328"/>
      <c r="VXJ9967" s="1328"/>
      <c r="VXK9967" s="1328"/>
      <c r="VXM9967" s="1328"/>
      <c r="VXN9967" s="1328">
        <v>8919645.2799999993</v>
      </c>
      <c r="VXO9967" s="1328"/>
      <c r="VXQ9967" s="1328"/>
      <c r="VXR9967" s="1328"/>
      <c r="VXS9967" s="1328"/>
      <c r="VXU9967" s="1328"/>
      <c r="VXV9967" s="1328">
        <v>8919645.2799999993</v>
      </c>
      <c r="VXW9967" s="1328"/>
      <c r="VXY9967" s="1328"/>
      <c r="VXZ9967" s="1328"/>
      <c r="VYA9967" s="1328"/>
      <c r="VYC9967" s="1328"/>
      <c r="VYD9967" s="1328">
        <v>8919645.2799999993</v>
      </c>
      <c r="VYE9967" s="1328"/>
      <c r="VYG9967" s="1328"/>
      <c r="VYH9967" s="1328"/>
      <c r="VYI9967" s="1328"/>
      <c r="VYK9967" s="1328"/>
      <c r="VYL9967" s="1328">
        <v>8919645.2799999993</v>
      </c>
      <c r="VYM9967" s="1328"/>
      <c r="VYO9967" s="1328"/>
      <c r="VYP9967" s="1328"/>
      <c r="VYQ9967" s="1328"/>
      <c r="VYS9967" s="1328"/>
      <c r="VYT9967" s="1328">
        <v>8919645.2799999993</v>
      </c>
      <c r="VYU9967" s="1328"/>
      <c r="VYW9967" s="1328"/>
      <c r="VYX9967" s="1328"/>
      <c r="VYY9967" s="1328"/>
      <c r="VZA9967" s="1328"/>
      <c r="VZB9967" s="1328">
        <v>8919645.2799999993</v>
      </c>
      <c r="VZC9967" s="1328"/>
      <c r="VZE9967" s="1328"/>
      <c r="VZF9967" s="1328"/>
      <c r="VZG9967" s="1328"/>
      <c r="VZI9967" s="1328"/>
      <c r="VZJ9967" s="1328">
        <v>8919645.2799999993</v>
      </c>
      <c r="VZK9967" s="1328"/>
      <c r="VZM9967" s="1328"/>
      <c r="VZN9967" s="1328"/>
      <c r="VZO9967" s="1328"/>
      <c r="VZQ9967" s="1328"/>
      <c r="VZR9967" s="1328">
        <v>8919645.2799999993</v>
      </c>
      <c r="VZS9967" s="1328"/>
      <c r="VZU9967" s="1328"/>
      <c r="VZV9967" s="1328"/>
      <c r="VZW9967" s="1328"/>
      <c r="VZY9967" s="1328"/>
      <c r="VZZ9967" s="1328">
        <v>8919645.2799999993</v>
      </c>
      <c r="WAA9967" s="1328"/>
      <c r="WAC9967" s="1328"/>
      <c r="WAD9967" s="1328"/>
      <c r="WAE9967" s="1328"/>
      <c r="WAG9967" s="1328"/>
      <c r="WAH9967" s="1328">
        <v>8919645.2799999993</v>
      </c>
      <c r="WAI9967" s="1328"/>
      <c r="WAK9967" s="1328"/>
      <c r="WAL9967" s="1328"/>
      <c r="WAM9967" s="1328"/>
      <c r="WAO9967" s="1328"/>
      <c r="WAP9967" s="1328">
        <v>8919645.2799999993</v>
      </c>
      <c r="WAQ9967" s="1328"/>
      <c r="WAS9967" s="1328"/>
      <c r="WAT9967" s="1328"/>
      <c r="WAU9967" s="1328"/>
      <c r="WAW9967" s="1328"/>
      <c r="WAX9967" s="1328">
        <v>8919645.2799999993</v>
      </c>
      <c r="WAY9967" s="1328"/>
      <c r="WBA9967" s="1328"/>
      <c r="WBB9967" s="1328"/>
      <c r="WBC9967" s="1328"/>
      <c r="WBE9967" s="1328"/>
      <c r="WBF9967" s="1328">
        <v>8919645.2799999993</v>
      </c>
      <c r="WBG9967" s="1328"/>
      <c r="WBI9967" s="1328"/>
      <c r="WBJ9967" s="1328"/>
      <c r="WBK9967" s="1328"/>
      <c r="WBM9967" s="1328"/>
      <c r="WBN9967" s="1328">
        <v>8919645.2799999993</v>
      </c>
      <c r="WBO9967" s="1328"/>
      <c r="WBQ9967" s="1328"/>
      <c r="WBR9967" s="1328"/>
      <c r="WBS9967" s="1328"/>
      <c r="WBU9967" s="1328"/>
      <c r="WBV9967" s="1328">
        <v>8919645.2799999993</v>
      </c>
      <c r="WBW9967" s="1328"/>
      <c r="WBY9967" s="1328"/>
      <c r="WBZ9967" s="1328"/>
      <c r="WCA9967" s="1328"/>
      <c r="WCC9967" s="1328"/>
      <c r="WCD9967" s="1328">
        <v>8919645.2799999993</v>
      </c>
      <c r="WCE9967" s="1328"/>
      <c r="WCG9967" s="1328"/>
      <c r="WCH9967" s="1328"/>
      <c r="WCI9967" s="1328"/>
      <c r="WCK9967" s="1328"/>
      <c r="WCL9967" s="1328">
        <v>8919645.2799999993</v>
      </c>
      <c r="WCM9967" s="1328"/>
      <c r="WCO9967" s="1328"/>
      <c r="WCP9967" s="1328"/>
      <c r="WCQ9967" s="1328"/>
      <c r="WCS9967" s="1328"/>
      <c r="WCT9967" s="1328">
        <v>8919645.2799999993</v>
      </c>
      <c r="WCU9967" s="1328"/>
      <c r="WCW9967" s="1328"/>
      <c r="WCX9967" s="1328"/>
      <c r="WCY9967" s="1328"/>
      <c r="WDA9967" s="1328"/>
      <c r="WDB9967" s="1328">
        <v>8919645.2799999993</v>
      </c>
      <c r="WDC9967" s="1328"/>
      <c r="WDE9967" s="1328"/>
      <c r="WDF9967" s="1328"/>
      <c r="WDG9967" s="1328"/>
      <c r="WDI9967" s="1328"/>
      <c r="WDJ9967" s="1328">
        <v>8919645.2799999993</v>
      </c>
      <c r="WDK9967" s="1328"/>
      <c r="WDM9967" s="1328"/>
      <c r="WDN9967" s="1328"/>
      <c r="WDO9967" s="1328"/>
      <c r="WDQ9967" s="1328"/>
      <c r="WDR9967" s="1328">
        <v>8919645.2799999993</v>
      </c>
      <c r="WDS9967" s="1328"/>
      <c r="WDU9967" s="1328"/>
      <c r="WDV9967" s="1328"/>
      <c r="WDW9967" s="1328"/>
      <c r="WDY9967" s="1328"/>
      <c r="WDZ9967" s="1328">
        <v>8919645.2799999993</v>
      </c>
      <c r="WEA9967" s="1328"/>
      <c r="WEC9967" s="1328"/>
      <c r="WED9967" s="1328"/>
      <c r="WEE9967" s="1328"/>
      <c r="WEG9967" s="1328"/>
      <c r="WEH9967" s="1328">
        <v>8919645.2799999993</v>
      </c>
      <c r="WEI9967" s="1328"/>
      <c r="WEK9967" s="1328"/>
      <c r="WEL9967" s="1328"/>
      <c r="WEM9967" s="1328"/>
      <c r="WEO9967" s="1328"/>
      <c r="WEP9967" s="1328">
        <v>8919645.2799999993</v>
      </c>
      <c r="WEQ9967" s="1328"/>
      <c r="WES9967" s="1328"/>
      <c r="WET9967" s="1328"/>
      <c r="WEU9967" s="1328"/>
      <c r="WEW9967" s="1328"/>
      <c r="WEX9967" s="1328">
        <v>8919645.2799999993</v>
      </c>
      <c r="WEY9967" s="1328"/>
      <c r="WFA9967" s="1328"/>
      <c r="WFB9967" s="1328"/>
      <c r="WFC9967" s="1328"/>
      <c r="WFE9967" s="1328"/>
      <c r="WFF9967" s="1328">
        <v>8919645.2799999993</v>
      </c>
      <c r="WFG9967" s="1328"/>
      <c r="WFI9967" s="1328"/>
      <c r="WFJ9967" s="1328"/>
      <c r="WFK9967" s="1328"/>
      <c r="WFM9967" s="1328"/>
      <c r="WFN9967" s="1328">
        <v>8919645.2799999993</v>
      </c>
      <c r="WFO9967" s="1328"/>
      <c r="WFQ9967" s="1328"/>
      <c r="WFR9967" s="1328"/>
      <c r="WFS9967" s="1328"/>
      <c r="WFU9967" s="1328"/>
      <c r="WFV9967" s="1328">
        <v>8919645.2799999993</v>
      </c>
      <c r="WFW9967" s="1328"/>
      <c r="WFY9967" s="1328"/>
      <c r="WFZ9967" s="1328"/>
      <c r="WGA9967" s="1328"/>
      <c r="WGC9967" s="1328"/>
      <c r="WGD9967" s="1328">
        <v>8919645.2799999993</v>
      </c>
      <c r="WGE9967" s="1328"/>
      <c r="WGG9967" s="1328"/>
      <c r="WGH9967" s="1328"/>
      <c r="WGI9967" s="1328"/>
      <c r="WGK9967" s="1328"/>
      <c r="WGL9967" s="1328">
        <v>8919645.2799999993</v>
      </c>
      <c r="WGM9967" s="1328"/>
      <c r="WGO9967" s="1328"/>
      <c r="WGP9967" s="1328"/>
      <c r="WGQ9967" s="1328"/>
      <c r="WGS9967" s="1328"/>
      <c r="WGT9967" s="1328">
        <v>8919645.2799999993</v>
      </c>
      <c r="WGU9967" s="1328"/>
      <c r="WGW9967" s="1328"/>
      <c r="WGX9967" s="1328"/>
      <c r="WGY9967" s="1328"/>
      <c r="WHA9967" s="1328"/>
      <c r="WHB9967" s="1328">
        <v>8919645.2799999993</v>
      </c>
      <c r="WHC9967" s="1328"/>
      <c r="WHE9967" s="1328"/>
      <c r="WHF9967" s="1328"/>
      <c r="WHG9967" s="1328"/>
      <c r="WHI9967" s="1328"/>
      <c r="WHJ9967" s="1328">
        <v>8919645.2799999993</v>
      </c>
      <c r="WHK9967" s="1328"/>
      <c r="WHM9967" s="1328"/>
      <c r="WHN9967" s="1328"/>
      <c r="WHO9967" s="1328"/>
      <c r="WHQ9967" s="1328"/>
      <c r="WHR9967" s="1328">
        <v>8919645.2799999993</v>
      </c>
      <c r="WHS9967" s="1328"/>
      <c r="WHU9967" s="1328"/>
      <c r="WHV9967" s="1328"/>
      <c r="WHW9967" s="1328"/>
      <c r="WHY9967" s="1328"/>
      <c r="WHZ9967" s="1328">
        <v>8919645.2799999993</v>
      </c>
      <c r="WIA9967" s="1328"/>
      <c r="WIC9967" s="1328"/>
      <c r="WID9967" s="1328"/>
      <c r="WIE9967" s="1328"/>
      <c r="WIG9967" s="1328"/>
      <c r="WIH9967" s="1328">
        <v>8919645.2799999993</v>
      </c>
      <c r="WII9967" s="1328"/>
      <c r="WIK9967" s="1328"/>
      <c r="WIL9967" s="1328"/>
      <c r="WIM9967" s="1328"/>
      <c r="WIO9967" s="1328"/>
      <c r="WIP9967" s="1328">
        <v>8919645.2799999993</v>
      </c>
      <c r="WIQ9967" s="1328"/>
      <c r="WIS9967" s="1328"/>
      <c r="WIT9967" s="1328"/>
      <c r="WIU9967" s="1328"/>
      <c r="WIW9967" s="1328"/>
      <c r="WIX9967" s="1328">
        <v>8919645.2799999993</v>
      </c>
      <c r="WIY9967" s="1328"/>
      <c r="WJA9967" s="1328"/>
      <c r="WJB9967" s="1328"/>
      <c r="WJC9967" s="1328"/>
      <c r="WJE9967" s="1328"/>
      <c r="WJF9967" s="1328">
        <v>8919645.2799999993</v>
      </c>
      <c r="WJG9967" s="1328"/>
      <c r="WJI9967" s="1328"/>
      <c r="WJJ9967" s="1328"/>
      <c r="WJK9967" s="1328"/>
      <c r="WJM9967" s="1328"/>
      <c r="WJN9967" s="1328">
        <v>8919645.2799999993</v>
      </c>
      <c r="WJO9967" s="1328"/>
      <c r="WJQ9967" s="1328"/>
      <c r="WJR9967" s="1328"/>
      <c r="WJS9967" s="1328"/>
      <c r="WJU9967" s="1328"/>
      <c r="WJV9967" s="1328">
        <v>8919645.2799999993</v>
      </c>
      <c r="WJW9967" s="1328"/>
      <c r="WJY9967" s="1328"/>
      <c r="WJZ9967" s="1328"/>
      <c r="WKA9967" s="1328"/>
      <c r="WKC9967" s="1328"/>
      <c r="WKD9967" s="1328">
        <v>8919645.2799999993</v>
      </c>
      <c r="WKE9967" s="1328"/>
      <c r="WKG9967" s="1328"/>
      <c r="WKH9967" s="1328"/>
      <c r="WKI9967" s="1328"/>
      <c r="WKK9967" s="1328"/>
      <c r="WKL9967" s="1328">
        <v>8919645.2799999993</v>
      </c>
      <c r="WKM9967" s="1328"/>
      <c r="WKO9967" s="1328"/>
      <c r="WKP9967" s="1328"/>
      <c r="WKQ9967" s="1328"/>
      <c r="WKS9967" s="1328"/>
      <c r="WKT9967" s="1328">
        <v>8919645.2799999993</v>
      </c>
      <c r="WKU9967" s="1328"/>
      <c r="WKW9967" s="1328"/>
      <c r="WKX9967" s="1328"/>
      <c r="WKY9967" s="1328"/>
      <c r="WLA9967" s="1328"/>
      <c r="WLB9967" s="1328">
        <v>8919645.2799999993</v>
      </c>
      <c r="WLC9967" s="1328"/>
      <c r="WLE9967" s="1328"/>
      <c r="WLF9967" s="1328"/>
      <c r="WLG9967" s="1328"/>
      <c r="WLI9967" s="1328"/>
      <c r="WLJ9967" s="1328">
        <v>8919645.2799999993</v>
      </c>
      <c r="WLK9967" s="1328"/>
      <c r="WLM9967" s="1328"/>
      <c r="WLN9967" s="1328"/>
      <c r="WLO9967" s="1328"/>
      <c r="WLQ9967" s="1328"/>
      <c r="WLR9967" s="1328">
        <v>8919645.2799999993</v>
      </c>
      <c r="WLS9967" s="1328"/>
      <c r="WLU9967" s="1328"/>
      <c r="WLV9967" s="1328"/>
      <c r="WLW9967" s="1328"/>
      <c r="WLY9967" s="1328"/>
      <c r="WLZ9967" s="1328">
        <v>8919645.2799999993</v>
      </c>
      <c r="WMA9967" s="1328"/>
      <c r="WMC9967" s="1328"/>
      <c r="WMD9967" s="1328"/>
      <c r="WME9967" s="1328"/>
      <c r="WMG9967" s="1328"/>
      <c r="WMH9967" s="1328">
        <v>8919645.2799999993</v>
      </c>
      <c r="WMI9967" s="1328"/>
      <c r="WMK9967" s="1328"/>
      <c r="WML9967" s="1328"/>
      <c r="WMM9967" s="1328"/>
      <c r="WMO9967" s="1328"/>
      <c r="WMP9967" s="1328">
        <v>8919645.2799999993</v>
      </c>
      <c r="WMQ9967" s="1328"/>
      <c r="WMS9967" s="1328"/>
      <c r="WMT9967" s="1328"/>
      <c r="WMU9967" s="1328"/>
      <c r="WMW9967" s="1328"/>
      <c r="WMX9967" s="1328">
        <v>8919645.2799999993</v>
      </c>
      <c r="WMY9967" s="1328"/>
      <c r="WNA9967" s="1328"/>
      <c r="WNB9967" s="1328"/>
      <c r="WNC9967" s="1328"/>
      <c r="WNE9967" s="1328"/>
      <c r="WNF9967" s="1328">
        <v>8919645.2799999993</v>
      </c>
      <c r="WNG9967" s="1328"/>
      <c r="WNI9967" s="1328"/>
      <c r="WNJ9967" s="1328"/>
      <c r="WNK9967" s="1328"/>
      <c r="WNM9967" s="1328"/>
      <c r="WNN9967" s="1328">
        <v>8919645.2799999993</v>
      </c>
      <c r="WNO9967" s="1328"/>
      <c r="WNQ9967" s="1328"/>
      <c r="WNR9967" s="1328"/>
      <c r="WNS9967" s="1328"/>
      <c r="WNU9967" s="1328"/>
      <c r="WNV9967" s="1328">
        <v>8919645.2799999993</v>
      </c>
      <c r="WNW9967" s="1328"/>
      <c r="WNY9967" s="1328"/>
      <c r="WNZ9967" s="1328"/>
      <c r="WOA9967" s="1328"/>
      <c r="WOC9967" s="1328"/>
      <c r="WOD9967" s="1328">
        <v>8919645.2799999993</v>
      </c>
      <c r="WOE9967" s="1328"/>
      <c r="WOG9967" s="1328"/>
      <c r="WOH9967" s="1328"/>
      <c r="WOI9967" s="1328"/>
      <c r="WOK9967" s="1328"/>
      <c r="WOL9967" s="1328">
        <v>8919645.2799999993</v>
      </c>
      <c r="WOM9967" s="1328"/>
      <c r="WOO9967" s="1328"/>
      <c r="WOP9967" s="1328"/>
      <c r="WOQ9967" s="1328"/>
      <c r="WOS9967" s="1328"/>
      <c r="WOT9967" s="1328">
        <v>8919645.2799999993</v>
      </c>
      <c r="WOU9967" s="1328"/>
      <c r="WOW9967" s="1328"/>
      <c r="WOX9967" s="1328"/>
      <c r="WOY9967" s="1328"/>
      <c r="WPA9967" s="1328"/>
      <c r="WPB9967" s="1328">
        <v>8919645.2799999993</v>
      </c>
      <c r="WPC9967" s="1328"/>
      <c r="WPE9967" s="1328"/>
      <c r="WPF9967" s="1328"/>
      <c r="WPG9967" s="1328"/>
      <c r="WPI9967" s="1328"/>
      <c r="WPJ9967" s="1328">
        <v>8919645.2799999993</v>
      </c>
      <c r="WPK9967" s="1328"/>
      <c r="WPM9967" s="1328"/>
      <c r="WPN9967" s="1328"/>
      <c r="WPO9967" s="1328"/>
      <c r="WPQ9967" s="1328"/>
      <c r="WPR9967" s="1328">
        <v>8919645.2799999993</v>
      </c>
      <c r="WPS9967" s="1328"/>
      <c r="WPU9967" s="1328"/>
      <c r="WPV9967" s="1328"/>
      <c r="WPW9967" s="1328"/>
      <c r="WPY9967" s="1328"/>
      <c r="WPZ9967" s="1328">
        <v>8919645.2799999993</v>
      </c>
      <c r="WQA9967" s="1328"/>
      <c r="WQC9967" s="1328"/>
      <c r="WQD9967" s="1328"/>
      <c r="WQE9967" s="1328"/>
      <c r="WQG9967" s="1328"/>
      <c r="WQH9967" s="1328">
        <v>8919645.2799999993</v>
      </c>
      <c r="WQI9967" s="1328"/>
      <c r="WQK9967" s="1328"/>
      <c r="WQL9967" s="1328"/>
      <c r="WQM9967" s="1328"/>
      <c r="WQO9967" s="1328"/>
      <c r="WQP9967" s="1328">
        <v>8919645.2799999993</v>
      </c>
      <c r="WQQ9967" s="1328"/>
      <c r="WQS9967" s="1328"/>
      <c r="WQT9967" s="1328"/>
      <c r="WQU9967" s="1328"/>
      <c r="WQW9967" s="1328"/>
      <c r="WQX9967" s="1328">
        <v>8919645.2799999993</v>
      </c>
      <c r="WQY9967" s="1328"/>
      <c r="WRA9967" s="1328"/>
      <c r="WRB9967" s="1328"/>
      <c r="WRC9967" s="1328"/>
      <c r="WRE9967" s="1328"/>
      <c r="WRF9967" s="1328">
        <v>8919645.2799999993</v>
      </c>
      <c r="WRG9967" s="1328"/>
      <c r="WRI9967" s="1328"/>
      <c r="WRJ9967" s="1328"/>
      <c r="WRK9967" s="1328"/>
      <c r="WRM9967" s="1328"/>
      <c r="WRN9967" s="1328">
        <v>8919645.2799999993</v>
      </c>
      <c r="WRO9967" s="1328"/>
      <c r="WRQ9967" s="1328"/>
      <c r="WRR9967" s="1328"/>
      <c r="WRS9967" s="1328"/>
      <c r="WRU9967" s="1328"/>
      <c r="WRV9967" s="1328">
        <v>8919645.2799999993</v>
      </c>
      <c r="WRW9967" s="1328"/>
      <c r="WRY9967" s="1328"/>
      <c r="WRZ9967" s="1328"/>
      <c r="WSA9967" s="1328"/>
      <c r="WSC9967" s="1328"/>
      <c r="WSD9967" s="1328">
        <v>8919645.2799999993</v>
      </c>
      <c r="WSE9967" s="1328"/>
      <c r="WSG9967" s="1328"/>
      <c r="WSH9967" s="1328"/>
      <c r="WSI9967" s="1328"/>
      <c r="WSK9967" s="1328"/>
      <c r="WSL9967" s="1328">
        <v>8919645.2799999993</v>
      </c>
      <c r="WSM9967" s="1328"/>
      <c r="WSO9967" s="1328"/>
      <c r="WSP9967" s="1328"/>
      <c r="WSQ9967" s="1328"/>
      <c r="WSS9967" s="1328"/>
      <c r="WST9967" s="1328">
        <v>8919645.2799999993</v>
      </c>
      <c r="WSU9967" s="1328"/>
      <c r="WSW9967" s="1328"/>
      <c r="WSX9967" s="1328"/>
      <c r="WSY9967" s="1328"/>
      <c r="WTA9967" s="1328"/>
      <c r="WTB9967" s="1328">
        <v>8919645.2799999993</v>
      </c>
      <c r="WTC9967" s="1328"/>
      <c r="WTE9967" s="1328"/>
      <c r="WTF9967" s="1328"/>
      <c r="WTG9967" s="1328"/>
      <c r="WTI9967" s="1328"/>
      <c r="WTJ9967" s="1328">
        <v>8919645.2799999993</v>
      </c>
      <c r="WTK9967" s="1328"/>
      <c r="WTM9967" s="1328"/>
      <c r="WTN9967" s="1328"/>
      <c r="WTO9967" s="1328"/>
      <c r="WTQ9967" s="1328"/>
      <c r="WTR9967" s="1328">
        <v>8919645.2799999993</v>
      </c>
      <c r="WTS9967" s="1328"/>
      <c r="WTU9967" s="1328"/>
      <c r="WTV9967" s="1328"/>
      <c r="WTW9967" s="1328"/>
      <c r="WTY9967" s="1328"/>
      <c r="WTZ9967" s="1328">
        <v>8919645.2799999993</v>
      </c>
      <c r="WUA9967" s="1328"/>
      <c r="WUC9967" s="1328"/>
      <c r="WUD9967" s="1328"/>
      <c r="WUE9967" s="1328"/>
      <c r="WUG9967" s="1328"/>
      <c r="WUH9967" s="1328">
        <v>8919645.2799999993</v>
      </c>
      <c r="WUI9967" s="1328"/>
      <c r="WUK9967" s="1328"/>
      <c r="WUL9967" s="1328"/>
      <c r="WUM9967" s="1328"/>
      <c r="WUO9967" s="1328"/>
      <c r="WUP9967" s="1328">
        <v>8919645.2799999993</v>
      </c>
      <c r="WUQ9967" s="1328"/>
      <c r="WUS9967" s="1328"/>
      <c r="WUT9967" s="1328"/>
      <c r="WUU9967" s="1328"/>
      <c r="WUW9967" s="1328"/>
      <c r="WUX9967" s="1328">
        <v>8919645.2799999993</v>
      </c>
      <c r="WUY9967" s="1328"/>
      <c r="WVA9967" s="1328"/>
      <c r="WVB9967" s="1328"/>
      <c r="WVC9967" s="1328"/>
      <c r="WVE9967" s="1328"/>
      <c r="WVF9967" s="1328">
        <v>8919645.2799999993</v>
      </c>
      <c r="WVG9967" s="1328"/>
      <c r="WVI9967" s="1328"/>
      <c r="WVJ9967" s="1328"/>
      <c r="WVK9967" s="1328"/>
      <c r="WVM9967" s="1328"/>
      <c r="WVN9967" s="1328">
        <v>8919645.2799999993</v>
      </c>
      <c r="WVO9967" s="1328"/>
      <c r="WVQ9967" s="1328"/>
      <c r="WVR9967" s="1328"/>
      <c r="WVS9967" s="1328"/>
      <c r="WVU9967" s="1328"/>
      <c r="WVV9967" s="1328">
        <v>8919645.2799999993</v>
      </c>
      <c r="WVW9967" s="1328"/>
      <c r="WVY9967" s="1328"/>
      <c r="WVZ9967" s="1328"/>
      <c r="WWA9967" s="1328"/>
      <c r="WWC9967" s="1328"/>
      <c r="WWD9967" s="1328">
        <v>8919645.2799999993</v>
      </c>
      <c r="WWE9967" s="1328"/>
      <c r="WWG9967" s="1328"/>
      <c r="WWH9967" s="1328"/>
      <c r="WWI9967" s="1328"/>
      <c r="WWK9967" s="1328"/>
      <c r="WWL9967" s="1328">
        <v>8919645.2799999993</v>
      </c>
      <c r="WWM9967" s="1328"/>
      <c r="WWO9967" s="1328"/>
      <c r="WWP9967" s="1328"/>
      <c r="WWQ9967" s="1328"/>
      <c r="WWS9967" s="1328"/>
      <c r="WWT9967" s="1328">
        <v>8919645.2799999993</v>
      </c>
      <c r="WWU9967" s="1328"/>
      <c r="WWW9967" s="1328"/>
      <c r="WWX9967" s="1328"/>
      <c r="WWY9967" s="1328"/>
      <c r="WXA9967" s="1328"/>
      <c r="WXB9967" s="1328">
        <v>8919645.2799999993</v>
      </c>
      <c r="WXC9967" s="1328"/>
      <c r="WXE9967" s="1328"/>
      <c r="WXF9967" s="1328"/>
      <c r="WXG9967" s="1328"/>
      <c r="WXI9967" s="1328"/>
      <c r="WXJ9967" s="1328">
        <v>8919645.2799999993</v>
      </c>
      <c r="WXK9967" s="1328"/>
      <c r="WXM9967" s="1328"/>
      <c r="WXN9967" s="1328"/>
      <c r="WXO9967" s="1328"/>
      <c r="WXQ9967" s="1328"/>
      <c r="WXR9967" s="1328">
        <v>8919645.2799999993</v>
      </c>
      <c r="WXS9967" s="1328"/>
      <c r="WXU9967" s="1328"/>
      <c r="WXV9967" s="1328"/>
      <c r="WXW9967" s="1328"/>
      <c r="WXY9967" s="1328"/>
      <c r="WXZ9967" s="1328">
        <v>8919645.2799999993</v>
      </c>
      <c r="WYA9967" s="1328"/>
      <c r="WYC9967" s="1328"/>
      <c r="WYD9967" s="1328"/>
      <c r="WYE9967" s="1328"/>
      <c r="WYG9967" s="1328"/>
      <c r="WYH9967" s="1328">
        <v>8919645.2799999993</v>
      </c>
      <c r="WYI9967" s="1328"/>
      <c r="WYK9967" s="1328"/>
      <c r="WYL9967" s="1328"/>
      <c r="WYM9967" s="1328"/>
      <c r="WYO9967" s="1328"/>
      <c r="WYP9967" s="1328">
        <v>8919645.2799999993</v>
      </c>
      <c r="WYQ9967" s="1328"/>
      <c r="WYS9967" s="1328"/>
      <c r="WYT9967" s="1328"/>
      <c r="WYU9967" s="1328"/>
      <c r="WYW9967" s="1328"/>
      <c r="WYX9967" s="1328">
        <v>8919645.2799999993</v>
      </c>
      <c r="WYY9967" s="1328"/>
      <c r="WZA9967" s="1328"/>
      <c r="WZB9967" s="1328"/>
      <c r="WZC9967" s="1328"/>
      <c r="WZE9967" s="1328"/>
      <c r="WZF9967" s="1328">
        <v>8919645.2799999993</v>
      </c>
      <c r="WZG9967" s="1328"/>
      <c r="WZI9967" s="1328"/>
      <c r="WZJ9967" s="1328"/>
      <c r="WZK9967" s="1328"/>
      <c r="WZM9967" s="1328"/>
      <c r="WZN9967" s="1328">
        <v>8919645.2799999993</v>
      </c>
      <c r="WZO9967" s="1328"/>
      <c r="WZQ9967" s="1328"/>
      <c r="WZR9967" s="1328"/>
      <c r="WZS9967" s="1328"/>
      <c r="WZU9967" s="1328"/>
      <c r="WZV9967" s="1328">
        <v>8919645.2799999993</v>
      </c>
      <c r="WZW9967" s="1328"/>
      <c r="WZY9967" s="1328"/>
      <c r="WZZ9967" s="1328"/>
      <c r="XAA9967" s="1328"/>
      <c r="XAC9967" s="1328"/>
      <c r="XAD9967" s="1328">
        <v>8919645.2799999993</v>
      </c>
      <c r="XAE9967" s="1328"/>
      <c r="XAG9967" s="1328"/>
      <c r="XAH9967" s="1328"/>
      <c r="XAI9967" s="1328"/>
      <c r="XAK9967" s="1328"/>
      <c r="XAL9967" s="1328">
        <v>8919645.2799999993</v>
      </c>
      <c r="XAM9967" s="1328"/>
      <c r="XAO9967" s="1328"/>
      <c r="XAP9967" s="1328"/>
      <c r="XAQ9967" s="1328"/>
      <c r="XAS9967" s="1328"/>
      <c r="XAT9967" s="1328">
        <v>8919645.2799999993</v>
      </c>
      <c r="XAU9967" s="1328"/>
      <c r="XAW9967" s="1328"/>
      <c r="XAX9967" s="1328"/>
      <c r="XAY9967" s="1328"/>
      <c r="XBA9967" s="1328"/>
      <c r="XBB9967" s="1328">
        <v>8919645.2799999993</v>
      </c>
      <c r="XBC9967" s="1328"/>
      <c r="XBE9967" s="1328"/>
      <c r="XBF9967" s="1328"/>
      <c r="XBG9967" s="1328"/>
      <c r="XBI9967" s="1328"/>
      <c r="XBJ9967" s="1328">
        <v>8919645.2799999993</v>
      </c>
      <c r="XBK9967" s="1328"/>
      <c r="XBM9967" s="1328"/>
      <c r="XBN9967" s="1328"/>
      <c r="XBO9967" s="1328"/>
      <c r="XBQ9967" s="1328"/>
      <c r="XBR9967" s="1328">
        <v>8919645.2799999993</v>
      </c>
      <c r="XBS9967" s="1328"/>
      <c r="XBU9967" s="1328"/>
      <c r="XBV9967" s="1328"/>
      <c r="XBW9967" s="1328"/>
      <c r="XBY9967" s="1328"/>
      <c r="XBZ9967" s="1328">
        <v>8919645.2799999993</v>
      </c>
      <c r="XCA9967" s="1328"/>
      <c r="XCC9967" s="1328"/>
      <c r="XCD9967" s="1328"/>
      <c r="XCE9967" s="1328"/>
      <c r="XCG9967" s="1328"/>
      <c r="XCH9967" s="1328">
        <v>8919645.2799999993</v>
      </c>
      <c r="XCI9967" s="1328"/>
      <c r="XCK9967" s="1328"/>
      <c r="XCL9967" s="1328"/>
      <c r="XCM9967" s="1328"/>
      <c r="XCO9967" s="1328"/>
      <c r="XCP9967" s="1328">
        <v>8919645.2799999993</v>
      </c>
      <c r="XCQ9967" s="1328"/>
      <c r="XCS9967" s="1328"/>
      <c r="XCT9967" s="1328"/>
      <c r="XCU9967" s="1328"/>
      <c r="XCW9967" s="1328"/>
      <c r="XCX9967" s="1328">
        <v>8919645.2799999993</v>
      </c>
      <c r="XCY9967" s="1328"/>
      <c r="XDA9967" s="1328"/>
      <c r="XDB9967" s="1328"/>
      <c r="XDC9967" s="1328"/>
      <c r="XDE9967" s="1328"/>
      <c r="XDF9967" s="1328">
        <v>8919645.2799999993</v>
      </c>
      <c r="XDG9967" s="1328"/>
      <c r="XDI9967" s="1328"/>
      <c r="XDJ9967" s="1328"/>
      <c r="XDK9967" s="1328"/>
      <c r="XDM9967" s="1328"/>
      <c r="XDN9967" s="1328">
        <v>8919645.2799999993</v>
      </c>
      <c r="XDO9967" s="1328"/>
      <c r="XDQ9967" s="1328"/>
      <c r="XDR9967" s="1328"/>
      <c r="XDS9967" s="1328"/>
      <c r="XDU9967" s="1328"/>
      <c r="XDV9967" s="1328">
        <v>8919645.2799999993</v>
      </c>
      <c r="XDW9967" s="1328"/>
      <c r="XDY9967" s="1328"/>
      <c r="XDZ9967" s="1328"/>
      <c r="XEA9967" s="1328"/>
      <c r="XEC9967" s="1328"/>
      <c r="XED9967" s="1328">
        <v>8919645.2799999993</v>
      </c>
      <c r="XEE9967" s="1328"/>
      <c r="XEG9967" s="1328"/>
      <c r="XEH9967" s="1328"/>
      <c r="XEI9967" s="1328"/>
      <c r="XEK9967" s="1328"/>
      <c r="XEL9967" s="1328">
        <v>8919645.2799999993</v>
      </c>
      <c r="XEM9967" s="1328"/>
      <c r="XEO9967" s="1328"/>
      <c r="XEP9967" s="1328"/>
      <c r="XEQ9967" s="1328"/>
      <c r="XES9967" s="1328"/>
      <c r="XET9967" s="1328">
        <v>8919645.2799999993</v>
      </c>
      <c r="XEU9967" s="1328"/>
      <c r="XEW9967" s="1328"/>
      <c r="XEX9967" s="1328"/>
      <c r="XEY9967" s="1328"/>
      <c r="XFA9967" s="1328"/>
      <c r="XFB9967" s="1328">
        <v>8919645.2799999993</v>
      </c>
      <c r="XFC9967" s="1328"/>
    </row>
    <row r="9968" spans="1:1023 1025:2047 2049:3071 3073:4095 4097:5119 5121:6143 6145:7167 7169:8191 8193:9215 9217:10239 10241:11263 11265:12287 12289:13311 13313:14335 14337:15359 15361:16383">
      <c r="A9968" s="1327">
        <v>46140</v>
      </c>
      <c r="B9968" s="1323"/>
      <c r="C9968" s="1323" t="s">
        <v>4552</v>
      </c>
      <c r="D9968" s="3" t="s">
        <v>404</v>
      </c>
      <c r="E9968" s="1497"/>
      <c r="F9968" s="1497">
        <v>104400</v>
      </c>
      <c r="G9968" s="1323" t="s">
        <v>27</v>
      </c>
      <c r="H9968" s="3"/>
    </row>
    <row r="9969" spans="1:8">
      <c r="A9969" s="1327">
        <v>46140</v>
      </c>
      <c r="B9969" s="1323"/>
      <c r="C9969" s="1323" t="s">
        <v>79</v>
      </c>
      <c r="D9969" s="3" t="s">
        <v>1218</v>
      </c>
      <c r="E9969" s="1497">
        <v>150000</v>
      </c>
      <c r="F9969" s="1497"/>
      <c r="G9969" s="1326" t="s">
        <v>56</v>
      </c>
      <c r="H9969" s="3"/>
    </row>
    <row r="9970" spans="1:8">
      <c r="A9970" s="1327">
        <v>46140</v>
      </c>
      <c r="B9970" s="1323"/>
      <c r="C9970" s="1323" t="s">
        <v>79</v>
      </c>
      <c r="D9970" s="3" t="s">
        <v>3889</v>
      </c>
      <c r="E9970" s="1497">
        <v>150000</v>
      </c>
      <c r="F9970" s="1497"/>
      <c r="G9970" s="1326" t="s">
        <v>56</v>
      </c>
      <c r="H9970" s="3"/>
    </row>
    <row r="9971" spans="1:8">
      <c r="A9971" s="1327">
        <v>46140</v>
      </c>
      <c r="B9971" s="1326"/>
      <c r="C9971" s="1326" t="s">
        <v>77</v>
      </c>
      <c r="D9971" s="3" t="s">
        <v>4553</v>
      </c>
      <c r="E9971" s="1497"/>
      <c r="F9971" s="1497">
        <v>1220000</v>
      </c>
      <c r="G9971" s="1326" t="s">
        <v>27</v>
      </c>
      <c r="H9971" s="3"/>
    </row>
    <row r="9972" spans="1:8">
      <c r="A9972" s="1327">
        <v>46140</v>
      </c>
      <c r="B9972" s="1326"/>
      <c r="C9972" s="1326" t="s">
        <v>205</v>
      </c>
      <c r="D9972" s="3" t="s">
        <v>48</v>
      </c>
      <c r="E9972" s="1497">
        <v>4459822.68</v>
      </c>
      <c r="F9972" s="1497"/>
      <c r="G9972" s="1326" t="s">
        <v>287</v>
      </c>
      <c r="H9972" s="3"/>
    </row>
    <row r="9973" spans="1:8">
      <c r="A9973" s="1327">
        <v>46140</v>
      </c>
      <c r="B9973" s="1326"/>
      <c r="C9973" s="1326" t="s">
        <v>55</v>
      </c>
      <c r="D9973" s="3" t="s">
        <v>4558</v>
      </c>
      <c r="E9973" s="1497">
        <v>13000</v>
      </c>
      <c r="F9973" s="1497"/>
      <c r="G9973" s="1326" t="s">
        <v>56</v>
      </c>
      <c r="H9973" s="3"/>
    </row>
    <row r="9974" spans="1:8">
      <c r="A9974" s="1327">
        <v>46140</v>
      </c>
      <c r="B9974" s="1326"/>
      <c r="C9974" s="1326" t="s">
        <v>55</v>
      </c>
      <c r="D9974" s="3" t="s">
        <v>4556</v>
      </c>
      <c r="E9974" s="1497">
        <v>18000</v>
      </c>
      <c r="F9974" s="1497"/>
      <c r="G9974" s="1326" t="s">
        <v>56</v>
      </c>
      <c r="H9974" s="45" t="s">
        <v>4557</v>
      </c>
    </row>
    <row r="9975" spans="1:8">
      <c r="A9975" s="1327">
        <v>46140</v>
      </c>
      <c r="B9975" s="1326"/>
      <c r="C9975" s="1326" t="s">
        <v>86</v>
      </c>
      <c r="D9975" s="3" t="s">
        <v>3964</v>
      </c>
      <c r="E9975" s="1497">
        <v>40000</v>
      </c>
      <c r="F9975" s="1497"/>
      <c r="G9975" s="1326" t="s">
        <v>27</v>
      </c>
      <c r="H9975" s="3"/>
    </row>
    <row r="9976" spans="1:8">
      <c r="A9976" s="1329">
        <v>46140</v>
      </c>
      <c r="B9976" s="1330"/>
      <c r="C9976" s="1330" t="s">
        <v>409</v>
      </c>
      <c r="D9976" s="3" t="s">
        <v>3840</v>
      </c>
      <c r="E9976" s="1497"/>
      <c r="F9976" s="1497">
        <v>872300</v>
      </c>
      <c r="G9976" s="1330" t="s">
        <v>27</v>
      </c>
      <c r="H9976" s="45" t="s">
        <v>592</v>
      </c>
    </row>
    <row r="9977" spans="1:8">
      <c r="A9977" s="1329">
        <v>46140</v>
      </c>
      <c r="B9977" s="1330"/>
      <c r="C9977" s="1330" t="s">
        <v>76</v>
      </c>
      <c r="D9977" s="3" t="s">
        <v>3662</v>
      </c>
      <c r="E9977" s="1497"/>
      <c r="F9977" s="1497">
        <v>1350000</v>
      </c>
      <c r="G9977" s="1330" t="s">
        <v>56</v>
      </c>
      <c r="H9977" s="3"/>
    </row>
    <row r="9978" spans="1:8">
      <c r="A9978" s="112">
        <v>46140</v>
      </c>
      <c r="B9978" s="70"/>
      <c r="C9978" s="70" t="s">
        <v>205</v>
      </c>
      <c r="D9978" s="113" t="s">
        <v>4560</v>
      </c>
      <c r="E9978" s="70">
        <v>91900</v>
      </c>
      <c r="F9978" s="70"/>
      <c r="G9978" s="70" t="s">
        <v>27</v>
      </c>
      <c r="H9978" s="195" t="s">
        <v>4559</v>
      </c>
    </row>
    <row r="9979" spans="1:8">
      <c r="A9979" s="1329">
        <v>46140</v>
      </c>
      <c r="B9979" s="1330"/>
      <c r="C9979" s="1330" t="s">
        <v>55</v>
      </c>
      <c r="D9979" s="15" t="s">
        <v>335</v>
      </c>
      <c r="E9979" s="1497">
        <v>4000</v>
      </c>
      <c r="F9979" s="1497"/>
      <c r="G9979" s="1330" t="s">
        <v>56</v>
      </c>
      <c r="H9979" s="3"/>
    </row>
    <row r="9980" spans="1:8">
      <c r="A9980" s="1329">
        <v>46140</v>
      </c>
      <c r="B9980" s="1330"/>
      <c r="C9980" s="1330" t="s">
        <v>79</v>
      </c>
      <c r="D9980" s="3" t="s">
        <v>4186</v>
      </c>
      <c r="E9980" s="1497">
        <v>252000</v>
      </c>
      <c r="F9980" s="1497"/>
      <c r="G9980" s="1330" t="s">
        <v>27</v>
      </c>
      <c r="H9980" s="3"/>
    </row>
    <row r="9981" spans="1:8">
      <c r="A9981" s="1329">
        <v>46140</v>
      </c>
      <c r="B9981" s="1330"/>
      <c r="C9981" s="1330" t="s">
        <v>79</v>
      </c>
      <c r="D9981" s="3" t="s">
        <v>345</v>
      </c>
      <c r="E9981" s="1497">
        <v>287000</v>
      </c>
      <c r="F9981" s="1497"/>
      <c r="G9981" s="1330" t="s">
        <v>27</v>
      </c>
      <c r="H9981" s="3"/>
    </row>
    <row r="9982" spans="1:8">
      <c r="A9982" s="1332">
        <v>46140</v>
      </c>
      <c r="B9982" s="1330"/>
      <c r="C9982" s="1330" t="s">
        <v>65</v>
      </c>
      <c r="D9982" s="3" t="s">
        <v>4504</v>
      </c>
      <c r="E9982" s="1497">
        <v>610225.9</v>
      </c>
      <c r="F9982" s="1497"/>
      <c r="G9982" s="1331" t="s">
        <v>27</v>
      </c>
      <c r="H9982" s="3"/>
    </row>
    <row r="9983" spans="1:8">
      <c r="A9983" s="1332">
        <v>46140</v>
      </c>
      <c r="B9983" s="1330"/>
      <c r="C9983" s="1331" t="s">
        <v>65</v>
      </c>
      <c r="D9983" s="3" t="s">
        <v>4504</v>
      </c>
      <c r="E9983" s="1497">
        <v>698139.8</v>
      </c>
      <c r="F9983" s="1497"/>
      <c r="G9983" s="1330" t="s">
        <v>27</v>
      </c>
      <c r="H9983" s="3"/>
    </row>
    <row r="9984" spans="1:8">
      <c r="A9984" s="1332">
        <v>46142</v>
      </c>
      <c r="B9984" s="1331"/>
      <c r="C9984" s="1331" t="s">
        <v>55</v>
      </c>
      <c r="D9984" s="3" t="s">
        <v>4561</v>
      </c>
      <c r="E9984" s="1497">
        <v>25000</v>
      </c>
      <c r="F9984" s="1497"/>
      <c r="G9984" s="1331" t="s">
        <v>56</v>
      </c>
      <c r="H9984" s="3"/>
    </row>
    <row r="9985" spans="1:8">
      <c r="A9985" s="1332">
        <v>46142</v>
      </c>
      <c r="B9985" s="1331"/>
      <c r="C9985" s="1331" t="s">
        <v>92</v>
      </c>
      <c r="D9985" s="3" t="s">
        <v>4562</v>
      </c>
      <c r="E9985" s="1497"/>
      <c r="F9985" s="1497">
        <v>322500</v>
      </c>
      <c r="G9985" s="1331" t="s">
        <v>56</v>
      </c>
      <c r="H9985" s="3"/>
    </row>
    <row r="9986" spans="1:8">
      <c r="A9986" s="1332">
        <v>46142</v>
      </c>
      <c r="B9986" s="1331"/>
      <c r="C9986" s="1331" t="s">
        <v>92</v>
      </c>
      <c r="D9986" s="3" t="s">
        <v>4563</v>
      </c>
      <c r="E9986" s="1497"/>
      <c r="F9986" s="1497">
        <v>270000</v>
      </c>
      <c r="G9986" s="1331" t="s">
        <v>56</v>
      </c>
      <c r="H9986" s="3"/>
    </row>
    <row r="9987" spans="1:8">
      <c r="A9987" s="1332">
        <v>46142</v>
      </c>
      <c r="B9987" s="1331"/>
      <c r="C9987" s="1331" t="s">
        <v>537</v>
      </c>
      <c r="D9987" s="3" t="s">
        <v>219</v>
      </c>
      <c r="E9987" s="1497">
        <v>300000</v>
      </c>
      <c r="F9987" s="1497"/>
      <c r="G9987" s="1331" t="s">
        <v>56</v>
      </c>
      <c r="H9987" s="3"/>
    </row>
    <row r="9988" spans="1:8">
      <c r="A9988" s="1332">
        <v>46142</v>
      </c>
      <c r="B9988" s="1331"/>
      <c r="C9988" s="1331" t="s">
        <v>537</v>
      </c>
      <c r="D9988" s="3" t="s">
        <v>4492</v>
      </c>
      <c r="E9988" s="1497">
        <v>200000</v>
      </c>
      <c r="F9988" s="1497"/>
      <c r="G9988" s="1331" t="s">
        <v>56</v>
      </c>
      <c r="H9988" s="3"/>
    </row>
    <row r="9989" spans="1:8">
      <c r="A9989" s="1339">
        <v>46142</v>
      </c>
      <c r="B9989" s="1338"/>
      <c r="C9989" s="1338" t="s">
        <v>537</v>
      </c>
      <c r="D9989" s="3" t="s">
        <v>575</v>
      </c>
      <c r="E9989" s="1497">
        <v>490000</v>
      </c>
      <c r="F9989" s="1497"/>
      <c r="G9989" s="1338" t="s">
        <v>56</v>
      </c>
      <c r="H9989" s="3"/>
    </row>
    <row r="9990" spans="1:8">
      <c r="A9990" s="1339">
        <v>46142</v>
      </c>
      <c r="B9990" s="1338"/>
      <c r="C9990" s="1338" t="s">
        <v>537</v>
      </c>
      <c r="D9990" s="3" t="s">
        <v>193</v>
      </c>
      <c r="E9990" s="1497">
        <v>180000</v>
      </c>
      <c r="F9990" s="1497"/>
      <c r="G9990" s="1338" t="s">
        <v>56</v>
      </c>
      <c r="H9990" s="3"/>
    </row>
    <row r="9991" spans="1:8">
      <c r="A9991" s="1339">
        <v>46142</v>
      </c>
      <c r="B9991" s="1338"/>
      <c r="C9991" s="1338" t="s">
        <v>90</v>
      </c>
      <c r="D9991" s="3" t="s">
        <v>4564</v>
      </c>
      <c r="E9991" s="1497">
        <v>22000</v>
      </c>
      <c r="F9991" s="1497"/>
      <c r="G9991" s="1338" t="s">
        <v>56</v>
      </c>
      <c r="H9991" s="3"/>
    </row>
    <row r="9992" spans="1:8">
      <c r="A9992" s="1339">
        <v>46142</v>
      </c>
      <c r="B9992" s="1338"/>
      <c r="C9992" s="1338" t="s">
        <v>205</v>
      </c>
      <c r="D9992" s="3" t="s">
        <v>11</v>
      </c>
      <c r="E9992" s="1497">
        <v>400000</v>
      </c>
      <c r="F9992" s="1497"/>
      <c r="G9992" s="1338" t="s">
        <v>56</v>
      </c>
      <c r="H9992" s="3"/>
    </row>
    <row r="9993" spans="1:8">
      <c r="A9993" s="1339">
        <v>46142</v>
      </c>
      <c r="B9993" s="1338"/>
      <c r="C9993" s="1338"/>
      <c r="D9993" s="15" t="s">
        <v>38</v>
      </c>
      <c r="E9993" s="1497">
        <v>5910</v>
      </c>
      <c r="F9993" s="1497"/>
      <c r="G9993" s="1338" t="s">
        <v>56</v>
      </c>
      <c r="H9993" s="3"/>
    </row>
    <row r="9994" spans="1:8">
      <c r="H9994" s="1349">
        <v>46142</v>
      </c>
    </row>
    <row r="9995" spans="1:8">
      <c r="H9995" s="136" t="s">
        <v>876</v>
      </c>
    </row>
    <row r="9996" spans="1:8">
      <c r="H9996" s="137" t="s">
        <v>4528</v>
      </c>
    </row>
    <row r="9997" spans="1:8">
      <c r="H9997" s="137" t="s">
        <v>4566</v>
      </c>
    </row>
    <row r="9998" spans="1:8">
      <c r="H9998" s="138" t="s">
        <v>4567</v>
      </c>
    </row>
    <row r="9999" spans="1:8">
      <c r="H9999" s="138" t="s">
        <v>4568</v>
      </c>
    </row>
    <row r="10000" spans="1:8">
      <c r="H10000" s="138" t="s">
        <v>4486</v>
      </c>
    </row>
    <row r="10001" spans="1:8">
      <c r="H10001" s="138" t="s">
        <v>4565</v>
      </c>
    </row>
    <row r="10002" spans="1:8" ht="15.75" thickBot="1">
      <c r="H10002" s="147" t="s">
        <v>4547</v>
      </c>
    </row>
    <row r="10003" spans="1:8">
      <c r="A10003" s="1335">
        <v>46146</v>
      </c>
      <c r="B10003" s="1336"/>
      <c r="C10003" s="1336" t="s">
        <v>65</v>
      </c>
      <c r="D10003" s="3" t="s">
        <v>4569</v>
      </c>
      <c r="E10003" s="1497">
        <v>19983.93</v>
      </c>
      <c r="F10003" s="1497"/>
      <c r="G10003" s="1336" t="s">
        <v>27</v>
      </c>
      <c r="H10003" s="5"/>
    </row>
    <row r="10004" spans="1:8">
      <c r="A10004" s="1335">
        <v>46146</v>
      </c>
      <c r="B10004" s="1336"/>
      <c r="C10004" s="1336" t="s">
        <v>65</v>
      </c>
      <c r="D10004" s="3" t="s">
        <v>4408</v>
      </c>
      <c r="E10004" s="1497">
        <v>19983.93</v>
      </c>
      <c r="F10004" s="1497"/>
      <c r="G10004" s="1336" t="s">
        <v>27</v>
      </c>
      <c r="H10004" s="3"/>
    </row>
    <row r="10005" spans="1:8">
      <c r="A10005" s="1335">
        <v>46146</v>
      </c>
      <c r="B10005" s="1336"/>
      <c r="C10005" s="1336" t="s">
        <v>65</v>
      </c>
      <c r="D10005" s="3" t="s">
        <v>210</v>
      </c>
      <c r="E10005" s="1497">
        <v>48545.11</v>
      </c>
      <c r="F10005" s="1497"/>
      <c r="G10005" s="1336" t="s">
        <v>27</v>
      </c>
      <c r="H10005" s="3"/>
    </row>
    <row r="10006" spans="1:8">
      <c r="A10006" s="1335">
        <v>46146</v>
      </c>
      <c r="B10006" s="1336"/>
      <c r="C10006" s="1336" t="s">
        <v>79</v>
      </c>
      <c r="D10006" s="3" t="s">
        <v>79</v>
      </c>
      <c r="E10006" s="1497">
        <v>43819.99</v>
      </c>
      <c r="F10006" s="1497"/>
      <c r="G10006" s="1336" t="s">
        <v>27</v>
      </c>
      <c r="H10006" s="3"/>
    </row>
    <row r="10007" spans="1:8">
      <c r="A10007" s="1335">
        <v>46146</v>
      </c>
      <c r="B10007" s="1336"/>
      <c r="C10007" s="1336" t="s">
        <v>79</v>
      </c>
      <c r="D10007" s="3" t="s">
        <v>79</v>
      </c>
      <c r="E10007" s="1497">
        <v>35046</v>
      </c>
      <c r="F10007" s="1497"/>
      <c r="G10007" s="1336" t="s">
        <v>27</v>
      </c>
      <c r="H10007" s="3"/>
    </row>
    <row r="10008" spans="1:8">
      <c r="A10008" s="1335">
        <v>46146</v>
      </c>
      <c r="B10008" s="1336"/>
      <c r="C10008" s="1336" t="s">
        <v>77</v>
      </c>
      <c r="D10008" s="3" t="s">
        <v>4570</v>
      </c>
      <c r="E10008" s="1497"/>
      <c r="F10008" s="1497">
        <v>113600</v>
      </c>
      <c r="G10008" s="1336" t="s">
        <v>72</v>
      </c>
      <c r="H10008" s="3"/>
    </row>
    <row r="10009" spans="1:8">
      <c r="A10009" s="1335">
        <v>46146</v>
      </c>
      <c r="B10009" s="1336"/>
      <c r="C10009" s="1336" t="s">
        <v>79</v>
      </c>
      <c r="D10009" s="3" t="s">
        <v>4571</v>
      </c>
      <c r="E10009" s="1497">
        <v>59000</v>
      </c>
      <c r="F10009" s="1497"/>
      <c r="G10009" s="1336" t="s">
        <v>56</v>
      </c>
      <c r="H10009" s="3"/>
    </row>
    <row r="10010" spans="1:8">
      <c r="A10010" s="1335">
        <v>46146</v>
      </c>
      <c r="B10010" s="1336"/>
      <c r="C10010" s="1336" t="s">
        <v>4574</v>
      </c>
      <c r="D10010" s="3" t="s">
        <v>4573</v>
      </c>
      <c r="E10010" s="1497"/>
      <c r="F10010" s="1497">
        <v>1210000</v>
      </c>
      <c r="G10010" s="1336" t="s">
        <v>56</v>
      </c>
      <c r="H10010" s="3"/>
    </row>
    <row r="10011" spans="1:8">
      <c r="A10011" s="1339">
        <v>46146</v>
      </c>
      <c r="B10011" s="1338"/>
      <c r="C10011" s="1338" t="s">
        <v>86</v>
      </c>
      <c r="D10011" s="3" t="s">
        <v>4575</v>
      </c>
      <c r="E10011" s="1497">
        <v>30600</v>
      </c>
      <c r="F10011" s="1497"/>
      <c r="G10011" s="1338" t="s">
        <v>27</v>
      </c>
      <c r="H10011" s="3"/>
    </row>
    <row r="10012" spans="1:8">
      <c r="A10012" s="1339">
        <v>46146</v>
      </c>
      <c r="B10012" s="1338"/>
      <c r="C10012" s="1338" t="s">
        <v>55</v>
      </c>
      <c r="D10012" s="3" t="s">
        <v>38</v>
      </c>
      <c r="E10012" s="1497">
        <v>16580</v>
      </c>
      <c r="F10012" s="1497"/>
      <c r="G10012" s="1338" t="s">
        <v>56</v>
      </c>
      <c r="H10012" s="45" t="s">
        <v>4576</v>
      </c>
    </row>
    <row r="10013" spans="1:8">
      <c r="A10013" s="1339">
        <v>46147</v>
      </c>
      <c r="B10013" s="1336"/>
      <c r="C10013" s="1336" t="s">
        <v>86</v>
      </c>
      <c r="D10013" s="3" t="s">
        <v>86</v>
      </c>
      <c r="E10013" s="1497">
        <v>30600</v>
      </c>
      <c r="F10013" s="1497"/>
      <c r="G10013" s="1336" t="s">
        <v>56</v>
      </c>
      <c r="H10013" s="3"/>
    </row>
    <row r="10014" spans="1:8">
      <c r="A10014" s="1339">
        <v>46147</v>
      </c>
      <c r="B10014" s="1336"/>
      <c r="C10014" s="1336" t="s">
        <v>205</v>
      </c>
      <c r="D10014" s="3" t="s">
        <v>48</v>
      </c>
      <c r="E10014" s="1497">
        <v>414682</v>
      </c>
      <c r="F10014" s="1497"/>
      <c r="G10014" s="1336" t="s">
        <v>27</v>
      </c>
      <c r="H10014" s="3"/>
    </row>
    <row r="10015" spans="1:8">
      <c r="A10015" s="580">
        <v>46147</v>
      </c>
      <c r="B10015" s="221"/>
      <c r="C10015" s="221"/>
      <c r="D10015" s="933" t="s">
        <v>136</v>
      </c>
      <c r="E10015" s="221">
        <v>20000</v>
      </c>
      <c r="F10015" s="221"/>
      <c r="G10015" s="221" t="s">
        <v>56</v>
      </c>
      <c r="H10015" s="3"/>
    </row>
    <row r="10016" spans="1:8">
      <c r="A10016" s="580">
        <v>46147</v>
      </c>
      <c r="B10016" s="221"/>
      <c r="C10016" s="221" t="s">
        <v>205</v>
      </c>
      <c r="D10016" s="933" t="s">
        <v>2764</v>
      </c>
      <c r="E10016" s="221">
        <v>7452.71</v>
      </c>
      <c r="F10016" s="221"/>
      <c r="G10016" s="221" t="s">
        <v>56</v>
      </c>
      <c r="H10016" s="3"/>
    </row>
    <row r="10017" spans="1:8">
      <c r="A10017" s="580">
        <v>46147</v>
      </c>
      <c r="B10017" s="221"/>
      <c r="C10017" s="221" t="s">
        <v>205</v>
      </c>
      <c r="D10017" s="933" t="s">
        <v>2764</v>
      </c>
      <c r="E10017" s="221">
        <v>539.05999999999995</v>
      </c>
      <c r="F10017" s="221"/>
      <c r="G10017" s="221" t="s">
        <v>56</v>
      </c>
      <c r="H10017" s="3"/>
    </row>
    <row r="10018" spans="1:8">
      <c r="A10018" s="1339">
        <v>46147</v>
      </c>
      <c r="B10018" s="1336"/>
      <c r="C10018" s="1336" t="s">
        <v>77</v>
      </c>
      <c r="D10018" s="3" t="s">
        <v>4577</v>
      </c>
      <c r="E10018" s="1497"/>
      <c r="F10018" s="1497">
        <v>2453400</v>
      </c>
      <c r="G10018" s="1336" t="s">
        <v>27</v>
      </c>
      <c r="H10018" s="3"/>
    </row>
    <row r="10019" spans="1:8">
      <c r="A10019" s="1339">
        <v>46147</v>
      </c>
      <c r="B10019" s="1336"/>
      <c r="C10019" s="1336" t="s">
        <v>4579</v>
      </c>
      <c r="D10019" s="3" t="s">
        <v>4578</v>
      </c>
      <c r="E10019" s="1497"/>
      <c r="F10019" s="1497">
        <v>446400</v>
      </c>
      <c r="G10019" s="1336" t="s">
        <v>27</v>
      </c>
      <c r="H10019" s="3"/>
    </row>
    <row r="10020" spans="1:8">
      <c r="A10020" s="1341">
        <v>46147</v>
      </c>
      <c r="B10020" s="1338"/>
      <c r="C10020" s="1338" t="s">
        <v>205</v>
      </c>
      <c r="D10020" s="3" t="s">
        <v>48</v>
      </c>
      <c r="E10020" s="1497">
        <v>414682</v>
      </c>
      <c r="F10020" s="1497"/>
      <c r="G10020" s="1342" t="s">
        <v>27</v>
      </c>
      <c r="H10020" s="3"/>
    </row>
    <row r="10021" spans="1:8">
      <c r="A10021" s="1341">
        <v>46147</v>
      </c>
      <c r="B10021" s="1338"/>
      <c r="C10021" s="1338" t="s">
        <v>94</v>
      </c>
      <c r="D10021" s="3" t="s">
        <v>3545</v>
      </c>
      <c r="E10021" s="1497">
        <v>48991.74</v>
      </c>
      <c r="F10021" s="1497"/>
      <c r="G10021" s="1342" t="s">
        <v>27</v>
      </c>
      <c r="H10021" s="3"/>
    </row>
    <row r="10022" spans="1:8">
      <c r="A10022" s="1341">
        <v>46148</v>
      </c>
      <c r="B10022" s="1338"/>
      <c r="C10022" s="1338" t="s">
        <v>205</v>
      </c>
      <c r="D10022" s="3" t="s">
        <v>48</v>
      </c>
      <c r="E10022" s="1497">
        <v>189167.15</v>
      </c>
      <c r="F10022" s="1497"/>
      <c r="G10022" s="1338" t="s">
        <v>27</v>
      </c>
      <c r="H10022" s="45" t="s">
        <v>592</v>
      </c>
    </row>
    <row r="10023" spans="1:8">
      <c r="A10023" s="1341">
        <v>46148</v>
      </c>
      <c r="B10023" s="1338"/>
      <c r="C10023" s="1342" t="s">
        <v>205</v>
      </c>
      <c r="D10023" s="3" t="s">
        <v>48</v>
      </c>
      <c r="E10023" s="1497">
        <v>100000</v>
      </c>
      <c r="F10023" s="1497"/>
      <c r="G10023" s="1338" t="s">
        <v>27</v>
      </c>
      <c r="H10023" s="45"/>
    </row>
    <row r="10024" spans="1:8">
      <c r="A10024" s="1341">
        <v>46148</v>
      </c>
      <c r="B10024" s="1338"/>
      <c r="C10024" s="1338" t="s">
        <v>77</v>
      </c>
      <c r="D10024" s="3" t="s">
        <v>4580</v>
      </c>
      <c r="E10024" s="1497"/>
      <c r="F10024" s="1497">
        <v>64000</v>
      </c>
      <c r="G10024" s="1338" t="s">
        <v>27</v>
      </c>
      <c r="H10024" s="45" t="s">
        <v>4581</v>
      </c>
    </row>
    <row r="10025" spans="1:8">
      <c r="A10025" s="1341">
        <v>46148</v>
      </c>
      <c r="B10025" s="1338"/>
      <c r="C10025" s="1338" t="s">
        <v>205</v>
      </c>
      <c r="D10025" s="3" t="s">
        <v>71</v>
      </c>
      <c r="E10025" s="1497">
        <v>447438</v>
      </c>
      <c r="F10025" s="1497"/>
      <c r="G10025" s="1338"/>
      <c r="H10025" s="45"/>
    </row>
    <row r="10026" spans="1:8">
      <c r="A10026" s="1341">
        <v>46148</v>
      </c>
      <c r="B10026" s="1338"/>
      <c r="C10026" s="1338" t="s">
        <v>205</v>
      </c>
      <c r="D10026" s="3" t="s">
        <v>71</v>
      </c>
      <c r="E10026" s="1497">
        <v>1114955.6599999999</v>
      </c>
      <c r="F10026" s="1497"/>
      <c r="G10026" s="1338" t="s">
        <v>996</v>
      </c>
      <c r="H10026" s="45" t="s">
        <v>4582</v>
      </c>
    </row>
    <row r="10027" spans="1:8">
      <c r="A10027" s="1341">
        <v>46148</v>
      </c>
      <c r="B10027" s="1338"/>
      <c r="C10027" s="1342" t="s">
        <v>205</v>
      </c>
      <c r="D10027" s="3" t="s">
        <v>48</v>
      </c>
      <c r="E10027" s="1497">
        <v>3344866.98</v>
      </c>
      <c r="F10027" s="1497"/>
      <c r="G10027" s="1342" t="s">
        <v>996</v>
      </c>
      <c r="H10027" s="45" t="s">
        <v>4583</v>
      </c>
    </row>
    <row r="10028" spans="1:8">
      <c r="A10028" s="1341">
        <v>46148</v>
      </c>
      <c r="B10028" s="1338"/>
      <c r="C10028" s="1338" t="s">
        <v>77</v>
      </c>
      <c r="D10028" s="3" t="s">
        <v>4584</v>
      </c>
      <c r="E10028" s="1497"/>
      <c r="F10028" s="1497">
        <v>70000</v>
      </c>
      <c r="G10028" s="1338" t="s">
        <v>27</v>
      </c>
      <c r="H10028" s="3"/>
    </row>
    <row r="10029" spans="1:8">
      <c r="A10029" s="1341">
        <v>46148</v>
      </c>
      <c r="B10029" s="1338"/>
      <c r="C10029" s="1338" t="s">
        <v>77</v>
      </c>
      <c r="D10029" s="3" t="s">
        <v>4585</v>
      </c>
      <c r="E10029" s="1497"/>
      <c r="F10029" s="1497">
        <v>115000</v>
      </c>
      <c r="G10029" s="1338" t="s">
        <v>27</v>
      </c>
      <c r="H10029" s="45" t="s">
        <v>4586</v>
      </c>
    </row>
    <row r="10030" spans="1:8">
      <c r="A10030" s="1341">
        <v>46148</v>
      </c>
      <c r="B10030" s="1338"/>
      <c r="C10030" s="1338" t="s">
        <v>55</v>
      </c>
      <c r="D10030" s="3" t="s">
        <v>1061</v>
      </c>
      <c r="E10030" s="1497">
        <v>42000</v>
      </c>
      <c r="F10030" s="1497"/>
      <c r="G10030" s="1338" t="s">
        <v>27</v>
      </c>
      <c r="H10030" s="3"/>
    </row>
    <row r="10031" spans="1:8">
      <c r="A10031" s="1351">
        <v>46148</v>
      </c>
      <c r="B10031" s="1338"/>
      <c r="C10031" s="1338" t="s">
        <v>150</v>
      </c>
      <c r="D10031" s="3" t="s">
        <v>4587</v>
      </c>
      <c r="E10031" s="1497">
        <v>377605.76</v>
      </c>
      <c r="F10031" s="1497"/>
      <c r="G10031" s="1338" t="s">
        <v>27</v>
      </c>
      <c r="H10031" s="3"/>
    </row>
    <row r="10032" spans="1:8">
      <c r="A10032" s="1351">
        <v>46148</v>
      </c>
      <c r="B10032" s="1338"/>
      <c r="C10032" s="1350" t="s">
        <v>150</v>
      </c>
      <c r="D10032" s="3" t="s">
        <v>4588</v>
      </c>
      <c r="E10032" s="1497">
        <v>79297.210000000006</v>
      </c>
      <c r="F10032" s="1497"/>
      <c r="G10032" s="1350" t="s">
        <v>27</v>
      </c>
      <c r="H10032" s="3"/>
    </row>
    <row r="10033" spans="1:8">
      <c r="A10033" s="1351">
        <v>46148</v>
      </c>
      <c r="B10033" s="1350"/>
      <c r="C10033" s="1350" t="s">
        <v>150</v>
      </c>
      <c r="D10033" s="3" t="s">
        <v>4588</v>
      </c>
      <c r="E10033" s="1497">
        <v>2923.4</v>
      </c>
      <c r="F10033" s="1497"/>
      <c r="G10033" s="1350" t="s">
        <v>27</v>
      </c>
      <c r="H10033" s="3"/>
    </row>
    <row r="10034" spans="1:8">
      <c r="A10034" s="1352">
        <v>46148</v>
      </c>
      <c r="B10034" s="1353"/>
      <c r="C10034" s="1353" t="s">
        <v>4550</v>
      </c>
      <c r="D10034" s="3" t="s">
        <v>3855</v>
      </c>
      <c r="E10034" s="1497">
        <v>175000</v>
      </c>
      <c r="F10034" s="1497"/>
      <c r="G10034" s="1353" t="s">
        <v>27</v>
      </c>
      <c r="H10034" s="3"/>
    </row>
    <row r="10035" spans="1:8">
      <c r="A10035" s="1352">
        <v>46148</v>
      </c>
      <c r="B10035" s="1353"/>
      <c r="C10035" s="1353" t="s">
        <v>150</v>
      </c>
      <c r="D10035" s="3" t="s">
        <v>4593</v>
      </c>
      <c r="E10035" s="1497"/>
      <c r="F10035" s="1497">
        <v>87000</v>
      </c>
      <c r="G10035" s="1353" t="s">
        <v>72</v>
      </c>
      <c r="H10035" s="3"/>
    </row>
    <row r="10036" spans="1:8">
      <c r="A10036" s="1351">
        <v>46149</v>
      </c>
      <c r="B10036" s="1350"/>
      <c r="C10036" s="1350" t="s">
        <v>55</v>
      </c>
      <c r="D10036" s="3" t="s">
        <v>70</v>
      </c>
      <c r="E10036" s="1497">
        <v>18550</v>
      </c>
      <c r="F10036" s="1497"/>
      <c r="G10036" s="1350" t="s">
        <v>56</v>
      </c>
      <c r="H10036" s="3"/>
    </row>
    <row r="10037" spans="1:8">
      <c r="A10037" s="1351">
        <v>46149</v>
      </c>
      <c r="B10037" s="1350"/>
      <c r="C10037" s="1350" t="s">
        <v>68</v>
      </c>
      <c r="D10037" s="15" t="s">
        <v>1951</v>
      </c>
      <c r="E10037" s="1497">
        <v>35000</v>
      </c>
      <c r="F10037" s="1497"/>
      <c r="G10037" s="1350" t="s">
        <v>56</v>
      </c>
      <c r="H10037" s="3"/>
    </row>
    <row r="10038" spans="1:8">
      <c r="A10038" s="1351">
        <v>46149</v>
      </c>
      <c r="B10038" s="1350"/>
      <c r="C10038" s="1350" t="s">
        <v>205</v>
      </c>
      <c r="D10038" s="3" t="s">
        <v>53</v>
      </c>
      <c r="E10038" s="1497">
        <v>30260.01</v>
      </c>
      <c r="F10038" s="1497"/>
      <c r="G10038" s="1350" t="s">
        <v>27</v>
      </c>
      <c r="H10038" s="3" t="s">
        <v>4576</v>
      </c>
    </row>
    <row r="10039" spans="1:8">
      <c r="A10039" s="1351">
        <v>46149</v>
      </c>
      <c r="B10039" s="1350"/>
      <c r="C10039" s="1350" t="s">
        <v>527</v>
      </c>
      <c r="D10039" s="3" t="s">
        <v>4589</v>
      </c>
      <c r="E10039" s="1497">
        <v>148350</v>
      </c>
      <c r="F10039" s="1497"/>
      <c r="G10039" s="1350" t="s">
        <v>27</v>
      </c>
      <c r="H10039" s="3"/>
    </row>
    <row r="10040" spans="1:8">
      <c r="A10040" s="1351">
        <v>46149</v>
      </c>
      <c r="B10040" s="1350"/>
      <c r="C10040" s="1350" t="s">
        <v>79</v>
      </c>
      <c r="D10040" s="3" t="s">
        <v>1218</v>
      </c>
      <c r="E10040" s="1497">
        <v>190690</v>
      </c>
      <c r="F10040" s="1497"/>
      <c r="G10040" s="1350" t="s">
        <v>27</v>
      </c>
      <c r="H10040" s="3"/>
    </row>
    <row r="10041" spans="1:8">
      <c r="A10041" s="1351">
        <v>46149</v>
      </c>
      <c r="B10041" s="1350"/>
      <c r="C10041" s="1350" t="s">
        <v>77</v>
      </c>
      <c r="D10041" s="3" t="s">
        <v>4580</v>
      </c>
      <c r="E10041" s="1497"/>
      <c r="F10041" s="1497">
        <v>118000</v>
      </c>
      <c r="G10041" s="1350" t="s">
        <v>56</v>
      </c>
      <c r="H10041" s="3" t="s">
        <v>4590</v>
      </c>
    </row>
    <row r="10042" spans="1:8">
      <c r="A10042" s="1351">
        <v>46149</v>
      </c>
      <c r="B10042" s="1350"/>
      <c r="C10042" s="1350" t="s">
        <v>205</v>
      </c>
      <c r="D10042" s="3" t="s">
        <v>47</v>
      </c>
      <c r="E10042" s="1497">
        <v>833000</v>
      </c>
      <c r="F10042" s="1497"/>
      <c r="G10042" s="1350" t="s">
        <v>56</v>
      </c>
      <c r="H10042" s="3"/>
    </row>
    <row r="10043" spans="1:8">
      <c r="A10043" s="1351">
        <v>46149</v>
      </c>
      <c r="B10043" s="1350"/>
      <c r="C10043" s="1350" t="s">
        <v>86</v>
      </c>
      <c r="D10043" s="3" t="s">
        <v>4326</v>
      </c>
      <c r="E10043" s="1497">
        <v>30630</v>
      </c>
      <c r="F10043" s="1497"/>
      <c r="G10043" s="1350" t="s">
        <v>56</v>
      </c>
      <c r="H10043" s="3"/>
    </row>
    <row r="10044" spans="1:8">
      <c r="A10044" s="112">
        <v>46149</v>
      </c>
      <c r="B10044" s="70"/>
      <c r="C10044" s="70" t="s">
        <v>205</v>
      </c>
      <c r="D10044" s="113" t="s">
        <v>38</v>
      </c>
      <c r="E10044" s="70">
        <v>3284.42</v>
      </c>
      <c r="F10044" s="70"/>
      <c r="G10044" s="70" t="s">
        <v>56</v>
      </c>
      <c r="H10044" s="1354">
        <v>8723.81</v>
      </c>
    </row>
    <row r="10045" spans="1:8">
      <c r="A10045" s="1352">
        <v>46149</v>
      </c>
      <c r="B10045" s="1350"/>
      <c r="C10045" s="1350" t="s">
        <v>174</v>
      </c>
      <c r="D10045" s="3" t="s">
        <v>2630</v>
      </c>
      <c r="E10045" s="1497">
        <v>42290</v>
      </c>
      <c r="F10045" s="1497"/>
      <c r="G10045" s="1350" t="s">
        <v>27</v>
      </c>
      <c r="H10045" s="3"/>
    </row>
    <row r="10046" spans="1:8">
      <c r="A10046" s="1352">
        <v>46149</v>
      </c>
      <c r="B10046" s="1350"/>
      <c r="C10046" s="1353" t="s">
        <v>174</v>
      </c>
      <c r="D10046" s="3" t="s">
        <v>4591</v>
      </c>
      <c r="E10046" s="1497">
        <v>12482</v>
      </c>
      <c r="F10046" s="1497"/>
      <c r="G10046" s="1350" t="s">
        <v>27</v>
      </c>
      <c r="H10046" s="3"/>
    </row>
    <row r="10047" spans="1:8">
      <c r="A10047" s="1352">
        <v>46149</v>
      </c>
      <c r="B10047" s="1350"/>
      <c r="C10047" s="1350" t="s">
        <v>92</v>
      </c>
      <c r="D10047" s="3" t="s">
        <v>4592</v>
      </c>
      <c r="E10047" s="1497"/>
      <c r="F10047" s="1497">
        <v>78000</v>
      </c>
      <c r="G10047" s="1350" t="s">
        <v>27</v>
      </c>
      <c r="H10047" s="3"/>
    </row>
    <row r="10048" spans="1:8">
      <c r="A10048" s="1352">
        <v>46150</v>
      </c>
      <c r="B10048" s="1350"/>
      <c r="C10048" s="1353" t="s">
        <v>92</v>
      </c>
      <c r="D10048" s="3" t="s">
        <v>4520</v>
      </c>
      <c r="E10048" s="1497"/>
      <c r="F10048" s="1497">
        <v>240000</v>
      </c>
      <c r="G10048" s="1350" t="s">
        <v>27</v>
      </c>
      <c r="H10048" s="3"/>
    </row>
    <row r="10049" spans="1:8" ht="16.5" customHeight="1">
      <c r="A10049" s="1352">
        <v>46150</v>
      </c>
      <c r="B10049" s="1353"/>
      <c r="C10049" s="1353" t="s">
        <v>94</v>
      </c>
      <c r="D10049" s="3" t="s">
        <v>17</v>
      </c>
      <c r="E10049" s="1497" t="s">
        <v>4594</v>
      </c>
      <c r="F10049" s="1497"/>
      <c r="G10049" s="1353" t="s">
        <v>27</v>
      </c>
      <c r="H10049" s="3"/>
    </row>
    <row r="10050" spans="1:8">
      <c r="A10050" s="1352">
        <v>46150</v>
      </c>
      <c r="B10050" s="1353"/>
      <c r="C10050" s="1353" t="s">
        <v>537</v>
      </c>
      <c r="D10050" s="15" t="s">
        <v>219</v>
      </c>
      <c r="E10050" s="1497">
        <v>311250</v>
      </c>
      <c r="F10050" s="1497"/>
      <c r="G10050" s="1353" t="s">
        <v>56</v>
      </c>
      <c r="H10050" s="3"/>
    </row>
    <row r="10051" spans="1:8">
      <c r="A10051" s="1352">
        <v>46150</v>
      </c>
      <c r="B10051" s="1353"/>
      <c r="C10051" s="1353" t="s">
        <v>537</v>
      </c>
      <c r="D10051" s="15" t="s">
        <v>4492</v>
      </c>
      <c r="E10051" s="1497">
        <v>207500</v>
      </c>
      <c r="F10051" s="1497"/>
      <c r="G10051" s="1353" t="s">
        <v>56</v>
      </c>
      <c r="H10051" s="3"/>
    </row>
    <row r="10052" spans="1:8">
      <c r="A10052" s="1352">
        <v>46150</v>
      </c>
      <c r="B10052" s="1353"/>
      <c r="C10052" s="1353" t="s">
        <v>537</v>
      </c>
      <c r="D10052" s="15" t="s">
        <v>193</v>
      </c>
      <c r="E10052" s="1497">
        <v>180000</v>
      </c>
      <c r="F10052" s="1497"/>
      <c r="G10052" s="1353" t="s">
        <v>56</v>
      </c>
      <c r="H10052" s="3"/>
    </row>
    <row r="10053" spans="1:8">
      <c r="A10053" s="1352">
        <v>46150</v>
      </c>
      <c r="B10053" s="1353"/>
      <c r="C10053" s="1353" t="s">
        <v>537</v>
      </c>
      <c r="D10053" s="15" t="s">
        <v>144</v>
      </c>
      <c r="E10053" s="1497">
        <v>250000</v>
      </c>
      <c r="F10053" s="1497"/>
      <c r="G10053" s="1353" t="s">
        <v>27</v>
      </c>
      <c r="H10053" s="3"/>
    </row>
    <row r="10054" spans="1:8">
      <c r="A10054" s="1352">
        <v>46150</v>
      </c>
      <c r="B10054" s="1353"/>
      <c r="C10054" s="1353" t="s">
        <v>537</v>
      </c>
      <c r="D10054" s="15" t="s">
        <v>144</v>
      </c>
      <c r="E10054" s="1497">
        <v>240000</v>
      </c>
      <c r="F10054" s="1497"/>
      <c r="G10054" s="1353" t="s">
        <v>56</v>
      </c>
      <c r="H10054" s="3"/>
    </row>
    <row r="10055" spans="1:8">
      <c r="A10055" s="1352">
        <v>46150</v>
      </c>
      <c r="B10055" s="1353"/>
      <c r="C10055" s="1353" t="s">
        <v>730</v>
      </c>
      <c r="D10055" s="3" t="s">
        <v>3855</v>
      </c>
      <c r="E10055" s="1497">
        <v>113600</v>
      </c>
      <c r="F10055" s="1497"/>
      <c r="G10055" s="1353" t="s">
        <v>72</v>
      </c>
      <c r="H10055" s="100">
        <v>236400</v>
      </c>
    </row>
    <row r="10056" spans="1:8">
      <c r="A10056" s="1352">
        <v>46150</v>
      </c>
      <c r="B10056" s="1353"/>
      <c r="C10056" s="1353" t="s">
        <v>77</v>
      </c>
      <c r="D10056" s="3" t="s">
        <v>4444</v>
      </c>
      <c r="E10056" s="1497"/>
      <c r="F10056" s="1497">
        <v>36500</v>
      </c>
      <c r="G10056" s="1353" t="s">
        <v>27</v>
      </c>
      <c r="H10056" s="3" t="s">
        <v>4596</v>
      </c>
    </row>
    <row r="10057" spans="1:8">
      <c r="H10057" s="1349">
        <v>46150</v>
      </c>
    </row>
    <row r="10058" spans="1:8">
      <c r="H10058" s="136" t="s">
        <v>4598</v>
      </c>
    </row>
    <row r="10059" spans="1:8">
      <c r="H10059" s="137" t="s">
        <v>4528</v>
      </c>
    </row>
    <row r="10060" spans="1:8">
      <c r="H10060" s="137" t="s">
        <v>4597</v>
      </c>
    </row>
    <row r="10061" spans="1:8">
      <c r="H10061" s="138" t="s">
        <v>4512</v>
      </c>
    </row>
    <row r="10062" spans="1:8">
      <c r="H10062" s="138" t="s">
        <v>4500</v>
      </c>
    </row>
    <row r="10063" spans="1:8">
      <c r="H10063" s="138" t="s">
        <v>4486</v>
      </c>
    </row>
    <row r="10064" spans="1:8">
      <c r="H10064" s="138" t="s">
        <v>4334</v>
      </c>
    </row>
    <row r="10065" spans="1:8">
      <c r="H10065" s="139" t="s">
        <v>4595</v>
      </c>
    </row>
    <row r="10066" spans="1:8">
      <c r="A10066" s="1357">
        <v>46153</v>
      </c>
      <c r="B10066" s="1355"/>
      <c r="C10066" s="1355" t="s">
        <v>79</v>
      </c>
      <c r="D10066" s="3" t="s">
        <v>79</v>
      </c>
      <c r="E10066" s="1497">
        <v>19500</v>
      </c>
      <c r="F10066" s="1497"/>
      <c r="G10066" s="1355" t="s">
        <v>27</v>
      </c>
      <c r="H10066" s="126"/>
    </row>
    <row r="10067" spans="1:8">
      <c r="A10067" s="1357">
        <v>46153</v>
      </c>
      <c r="B10067" s="1355"/>
      <c r="C10067" s="1355" t="s">
        <v>150</v>
      </c>
      <c r="D10067" s="3" t="s">
        <v>278</v>
      </c>
      <c r="E10067" s="1497">
        <v>500000</v>
      </c>
      <c r="F10067" s="1497"/>
      <c r="G10067" s="1355" t="s">
        <v>27</v>
      </c>
      <c r="H10067" s="126"/>
    </row>
    <row r="10068" spans="1:8">
      <c r="A10068" s="1357">
        <v>46153</v>
      </c>
      <c r="B10068" s="1355"/>
      <c r="C10068" s="1355" t="s">
        <v>79</v>
      </c>
      <c r="D10068" s="3" t="s">
        <v>70</v>
      </c>
      <c r="E10068" s="1497">
        <v>10000</v>
      </c>
      <c r="F10068" s="1497"/>
      <c r="G10068" s="1355" t="s">
        <v>27</v>
      </c>
      <c r="H10068" s="126"/>
    </row>
    <row r="10069" spans="1:8">
      <c r="A10069" s="1357">
        <v>46153</v>
      </c>
      <c r="B10069" s="1355"/>
      <c r="C10069" s="1355" t="s">
        <v>150</v>
      </c>
      <c r="D10069" s="3" t="s">
        <v>4600</v>
      </c>
      <c r="E10069" s="1497">
        <v>34411</v>
      </c>
      <c r="F10069" s="1497"/>
      <c r="G10069" s="1355" t="s">
        <v>27</v>
      </c>
      <c r="H10069" s="3"/>
    </row>
    <row r="10070" spans="1:8">
      <c r="A10070" s="1357">
        <v>46153</v>
      </c>
      <c r="B10070" s="1355"/>
      <c r="C10070" s="1355" t="s">
        <v>79</v>
      </c>
      <c r="D10070" s="3" t="s">
        <v>79</v>
      </c>
      <c r="E10070" s="1497">
        <v>3512.4</v>
      </c>
      <c r="F10070" s="1497"/>
      <c r="G10070" s="1355" t="s">
        <v>27</v>
      </c>
      <c r="H10070" s="3"/>
    </row>
    <row r="10071" spans="1:8">
      <c r="A10071" s="1357">
        <v>46153</v>
      </c>
      <c r="B10071" s="1355"/>
      <c r="C10071" s="1355" t="s">
        <v>90</v>
      </c>
      <c r="D10071" s="3" t="s">
        <v>1684</v>
      </c>
      <c r="E10071" s="1497">
        <v>100000</v>
      </c>
      <c r="F10071" s="1497"/>
      <c r="G10071" s="1355" t="s">
        <v>27</v>
      </c>
      <c r="H10071" s="3"/>
    </row>
    <row r="10072" spans="1:8">
      <c r="A10072" s="1357">
        <v>46153</v>
      </c>
      <c r="B10072" s="1355"/>
      <c r="C10072" s="1355" t="s">
        <v>79</v>
      </c>
      <c r="D10072" s="3" t="s">
        <v>4601</v>
      </c>
      <c r="E10072" s="1497">
        <v>100000</v>
      </c>
      <c r="F10072" s="1497"/>
      <c r="G10072" s="1355" t="s">
        <v>27</v>
      </c>
      <c r="H10072" s="3"/>
    </row>
    <row r="10073" spans="1:8">
      <c r="A10073" s="1357">
        <v>46154</v>
      </c>
      <c r="B10073" s="1355"/>
      <c r="C10073" s="1355" t="s">
        <v>79</v>
      </c>
      <c r="D10073" s="3" t="s">
        <v>163</v>
      </c>
      <c r="E10073" s="1497">
        <v>150000</v>
      </c>
      <c r="F10073" s="1497"/>
      <c r="G10073" s="1355" t="s">
        <v>27</v>
      </c>
      <c r="H10073" s="3"/>
    </row>
    <row r="10074" spans="1:8">
      <c r="A10074" s="1355"/>
      <c r="B10074" s="1355"/>
      <c r="C10074" s="1355" t="s">
        <v>79</v>
      </c>
      <c r="D10074" s="3" t="s">
        <v>163</v>
      </c>
      <c r="E10074" s="1497">
        <v>40840</v>
      </c>
      <c r="F10074" s="1497"/>
      <c r="G10074" s="1355" t="s">
        <v>27</v>
      </c>
      <c r="H10074" s="3"/>
    </row>
    <row r="10075" spans="1:8">
      <c r="A10075" s="1355"/>
      <c r="B10075" s="1355"/>
      <c r="C10075" s="1355" t="s">
        <v>79</v>
      </c>
      <c r="D10075" s="3" t="s">
        <v>163</v>
      </c>
      <c r="E10075" s="1497">
        <v>200000</v>
      </c>
      <c r="F10075" s="1497"/>
      <c r="G10075" s="1355" t="s">
        <v>27</v>
      </c>
      <c r="H10075" s="3"/>
    </row>
    <row r="10076" spans="1:8">
      <c r="A10076" s="1358"/>
      <c r="B10076" s="1358"/>
      <c r="C10076" s="1358" t="s">
        <v>55</v>
      </c>
      <c r="D10076" s="3" t="s">
        <v>38</v>
      </c>
      <c r="E10076" s="1497">
        <v>5474.04</v>
      </c>
      <c r="F10076" s="1497"/>
      <c r="G10076" s="1358"/>
      <c r="H10076" s="3"/>
    </row>
    <row r="10077" spans="1:8">
      <c r="A10077" s="1358"/>
      <c r="B10077" s="1358"/>
      <c r="C10077" s="1358" t="s">
        <v>55</v>
      </c>
      <c r="D10077" s="3" t="s">
        <v>261</v>
      </c>
      <c r="E10077" s="1497">
        <v>30000</v>
      </c>
      <c r="F10077" s="1497"/>
      <c r="G10077" s="1358" t="s">
        <v>27</v>
      </c>
      <c r="H10077" s="3"/>
    </row>
    <row r="10078" spans="1:8">
      <c r="A10078" s="1358"/>
      <c r="B10078" s="1358"/>
      <c r="C10078" s="1358" t="s">
        <v>92</v>
      </c>
      <c r="D10078" s="3" t="s">
        <v>4130</v>
      </c>
      <c r="E10078" s="1497"/>
      <c r="F10078" s="1497">
        <v>140000</v>
      </c>
      <c r="G10078" s="1358" t="s">
        <v>56</v>
      </c>
      <c r="H10078" s="3"/>
    </row>
    <row r="10079" spans="1:8">
      <c r="A10079" s="1358"/>
      <c r="B10079" s="1358"/>
      <c r="C10079" s="1358" t="s">
        <v>77</v>
      </c>
      <c r="D10079" s="3" t="s">
        <v>4599</v>
      </c>
      <c r="E10079" s="1497"/>
      <c r="F10079" s="1497">
        <v>940000</v>
      </c>
      <c r="G10079" s="1358" t="s">
        <v>56</v>
      </c>
      <c r="H10079" s="3"/>
    </row>
    <row r="10080" spans="1:8">
      <c r="A10080" s="1358"/>
      <c r="B10080" s="1358"/>
      <c r="C10080" s="1358" t="s">
        <v>90</v>
      </c>
      <c r="D10080" s="3" t="s">
        <v>1951</v>
      </c>
      <c r="E10080" s="1497">
        <v>30000</v>
      </c>
      <c r="F10080" s="1497"/>
      <c r="G10080" s="1358" t="s">
        <v>56</v>
      </c>
      <c r="H10080" s="3"/>
    </row>
    <row r="10081" spans="1:8">
      <c r="A10081" s="221"/>
      <c r="B10081" s="221"/>
      <c r="C10081" s="14" t="s">
        <v>831</v>
      </c>
      <c r="D10081" s="177" t="s">
        <v>4603</v>
      </c>
      <c r="E10081" s="14">
        <v>43000</v>
      </c>
      <c r="F10081" s="14"/>
      <c r="G10081" s="14" t="s">
        <v>56</v>
      </c>
      <c r="H10081" s="177" t="s">
        <v>454</v>
      </c>
    </row>
    <row r="10082" spans="1:8">
      <c r="A10082" s="1358"/>
      <c r="B10082" s="1358"/>
      <c r="C10082" s="1358" t="s">
        <v>86</v>
      </c>
      <c r="D10082" s="15" t="s">
        <v>4602</v>
      </c>
      <c r="E10082" s="1497">
        <v>51050</v>
      </c>
      <c r="F10082" s="1497"/>
      <c r="G10082" s="1358" t="s">
        <v>56</v>
      </c>
      <c r="H10082" s="3" t="s">
        <v>454</v>
      </c>
    </row>
    <row r="10083" spans="1:8">
      <c r="A10083" s="1358"/>
      <c r="B10083" s="1358"/>
      <c r="C10083" s="1358" t="s">
        <v>55</v>
      </c>
      <c r="D10083" s="3" t="s">
        <v>4604</v>
      </c>
      <c r="E10083" s="1497">
        <v>1333.06</v>
      </c>
      <c r="F10083" s="1497"/>
      <c r="G10083" s="1358" t="s">
        <v>27</v>
      </c>
      <c r="H10083" s="3"/>
    </row>
    <row r="10084" spans="1:8">
      <c r="A10084" s="1357">
        <v>46156</v>
      </c>
      <c r="B10084" s="1358"/>
      <c r="C10084" s="1358" t="s">
        <v>77</v>
      </c>
      <c r="D10084" s="3" t="s">
        <v>4605</v>
      </c>
      <c r="E10084" s="1497"/>
      <c r="F10084" s="1497">
        <v>5240000</v>
      </c>
      <c r="G10084" s="1358" t="s">
        <v>27</v>
      </c>
      <c r="H10084" s="3"/>
    </row>
    <row r="10085" spans="1:8">
      <c r="A10085" s="1357">
        <v>46157</v>
      </c>
      <c r="B10085" s="1358"/>
      <c r="C10085" s="1358" t="s">
        <v>55</v>
      </c>
      <c r="D10085" s="15" t="s">
        <v>514</v>
      </c>
      <c r="E10085" s="1497">
        <v>15000</v>
      </c>
      <c r="F10085" s="1497"/>
      <c r="G10085" s="1358" t="s">
        <v>27</v>
      </c>
      <c r="H10085" s="3"/>
    </row>
    <row r="10086" spans="1:8">
      <c r="A10086" s="1357">
        <v>46157</v>
      </c>
      <c r="B10086" s="1358"/>
      <c r="C10086" s="1358"/>
      <c r="D10086" s="3" t="s">
        <v>1659</v>
      </c>
      <c r="E10086" s="1497">
        <v>10000</v>
      </c>
      <c r="F10086" s="1497"/>
      <c r="G10086" s="1358" t="s">
        <v>56</v>
      </c>
      <c r="H10086" s="3"/>
    </row>
    <row r="10087" spans="1:8">
      <c r="A10087" s="1357">
        <v>46157</v>
      </c>
      <c r="B10087" s="1358"/>
      <c r="C10087" s="1358" t="s">
        <v>79</v>
      </c>
      <c r="D10087" s="3" t="s">
        <v>4606</v>
      </c>
      <c r="E10087" s="1497">
        <v>10000</v>
      </c>
      <c r="F10087" s="1497"/>
      <c r="G10087" s="1358" t="s">
        <v>56</v>
      </c>
      <c r="H10087" s="3"/>
    </row>
    <row r="10088" spans="1:8">
      <c r="A10088" s="1357">
        <v>46157</v>
      </c>
      <c r="B10088" s="1358"/>
      <c r="C10088" s="1358" t="s">
        <v>79</v>
      </c>
      <c r="D10088" s="3" t="s">
        <v>633</v>
      </c>
      <c r="E10088" s="1497">
        <v>7000</v>
      </c>
      <c r="F10088" s="1497"/>
      <c r="G10088" s="1358" t="s">
        <v>56</v>
      </c>
      <c r="H10088" s="3"/>
    </row>
    <row r="10089" spans="1:8">
      <c r="A10089" s="1357">
        <v>46157</v>
      </c>
      <c r="B10089" s="1358"/>
      <c r="C10089" s="1358" t="s">
        <v>28</v>
      </c>
      <c r="D10089" s="3" t="s">
        <v>4607</v>
      </c>
      <c r="E10089" s="1497">
        <v>51925.8</v>
      </c>
      <c r="F10089" s="1497"/>
      <c r="G10089" s="1358" t="s">
        <v>27</v>
      </c>
      <c r="H10089" s="3"/>
    </row>
    <row r="10090" spans="1:8">
      <c r="A10090" s="1357">
        <v>46157</v>
      </c>
      <c r="B10090" s="1358"/>
      <c r="C10090" s="1358" t="s">
        <v>28</v>
      </c>
      <c r="D10090" s="3" t="s">
        <v>4607</v>
      </c>
      <c r="E10090" s="1497">
        <v>94789</v>
      </c>
      <c r="F10090" s="1497"/>
      <c r="G10090" s="1358" t="s">
        <v>27</v>
      </c>
      <c r="H10090" s="3"/>
    </row>
    <row r="10091" spans="1:8">
      <c r="A10091" s="1357">
        <v>46157</v>
      </c>
      <c r="B10091" s="1358"/>
      <c r="C10091" s="1358" t="s">
        <v>28</v>
      </c>
      <c r="D10091" s="15" t="s">
        <v>4609</v>
      </c>
      <c r="E10091" s="1497">
        <v>246235</v>
      </c>
      <c r="F10091" s="1497"/>
      <c r="G10091" s="1358" t="s">
        <v>27</v>
      </c>
      <c r="H10091" s="3"/>
    </row>
    <row r="10092" spans="1:8">
      <c r="A10092" s="1357">
        <v>46157</v>
      </c>
      <c r="B10092" s="1358"/>
      <c r="C10092" s="1358" t="s">
        <v>92</v>
      </c>
      <c r="D10092" s="3" t="s">
        <v>1722</v>
      </c>
      <c r="E10092" s="1497"/>
      <c r="F10092" s="1497">
        <v>212500</v>
      </c>
      <c r="G10092" s="1358" t="s">
        <v>996</v>
      </c>
      <c r="H10092" s="3"/>
    </row>
    <row r="10093" spans="1:8">
      <c r="A10093" s="1357">
        <v>46157</v>
      </c>
      <c r="B10093" s="1358"/>
      <c r="C10093" s="1358" t="s">
        <v>92</v>
      </c>
      <c r="D10093" s="3" t="s">
        <v>4610</v>
      </c>
      <c r="E10093" s="1497"/>
      <c r="F10093" s="1497">
        <v>90700</v>
      </c>
      <c r="G10093" s="1358" t="s">
        <v>996</v>
      </c>
      <c r="H10093" s="3"/>
    </row>
    <row r="10094" spans="1:8">
      <c r="A10094" s="1357">
        <v>46157</v>
      </c>
      <c r="B10094" s="1358"/>
      <c r="C10094" s="1358" t="s">
        <v>92</v>
      </c>
      <c r="D10094" s="3" t="s">
        <v>2817</v>
      </c>
      <c r="E10094" s="1497"/>
      <c r="F10094" s="1497">
        <v>574200</v>
      </c>
      <c r="G10094" s="1358" t="s">
        <v>27</v>
      </c>
      <c r="H10094" s="3"/>
    </row>
    <row r="10095" spans="1:8">
      <c r="A10095" s="1357">
        <v>46157</v>
      </c>
      <c r="B10095" s="1358"/>
      <c r="C10095" s="1358" t="s">
        <v>537</v>
      </c>
      <c r="D10095" s="3" t="s">
        <v>144</v>
      </c>
      <c r="E10095" s="1497">
        <v>190000</v>
      </c>
      <c r="F10095" s="1497"/>
      <c r="G10095" s="1358" t="s">
        <v>56</v>
      </c>
      <c r="H10095" s="3"/>
    </row>
    <row r="10096" spans="1:8">
      <c r="A10096" s="1357">
        <v>46157</v>
      </c>
      <c r="B10096" s="1358"/>
      <c r="C10096" s="1358" t="s">
        <v>537</v>
      </c>
      <c r="D10096" s="15" t="s">
        <v>144</v>
      </c>
      <c r="E10096" s="1497">
        <v>300000</v>
      </c>
      <c r="F10096" s="1497"/>
      <c r="G10096" s="1358" t="s">
        <v>56</v>
      </c>
      <c r="H10096" s="3"/>
    </row>
    <row r="10097" spans="1:8">
      <c r="A10097" s="1357">
        <v>46157</v>
      </c>
      <c r="B10097" s="1358"/>
      <c r="C10097" s="1358" t="s">
        <v>537</v>
      </c>
      <c r="D10097" s="15" t="s">
        <v>219</v>
      </c>
      <c r="E10097" s="1497">
        <v>320000</v>
      </c>
      <c r="F10097" s="1497"/>
      <c r="G10097" s="1358" t="s">
        <v>56</v>
      </c>
      <c r="H10097" s="3"/>
    </row>
    <row r="10098" spans="1:8">
      <c r="A10098" s="1357">
        <v>46157</v>
      </c>
      <c r="B10098" s="1358"/>
      <c r="C10098" s="1358" t="s">
        <v>537</v>
      </c>
      <c r="D10098" s="15" t="s">
        <v>4492</v>
      </c>
      <c r="E10098" s="1497">
        <v>211250</v>
      </c>
      <c r="F10098" s="1497"/>
      <c r="G10098" s="1358" t="s">
        <v>56</v>
      </c>
      <c r="H10098" s="3"/>
    </row>
    <row r="10099" spans="1:8">
      <c r="A10099" s="1357">
        <v>46157</v>
      </c>
      <c r="B10099" s="1358"/>
      <c r="C10099" s="1358" t="s">
        <v>537</v>
      </c>
      <c r="D10099" s="15" t="s">
        <v>193</v>
      </c>
      <c r="E10099" s="1497">
        <v>180000</v>
      </c>
      <c r="F10099" s="1497"/>
      <c r="G10099" s="1358" t="s">
        <v>56</v>
      </c>
      <c r="H10099" s="3"/>
    </row>
    <row r="10100" spans="1:8" ht="15.75" thickBot="1">
      <c r="A10100" s="1357">
        <v>46157</v>
      </c>
      <c r="B10100" s="1358"/>
      <c r="C10100" s="1358" t="s">
        <v>86</v>
      </c>
      <c r="D10100" s="3" t="s">
        <v>104</v>
      </c>
      <c r="E10100" s="1497">
        <v>17460.14</v>
      </c>
      <c r="F10100" s="1497"/>
      <c r="G10100" s="1358" t="s">
        <v>27</v>
      </c>
      <c r="H10100" s="85"/>
    </row>
    <row r="10101" spans="1:8">
      <c r="A10101" s="1358"/>
      <c r="B10101" s="1358"/>
      <c r="C10101" s="1358"/>
      <c r="D10101" s="3"/>
      <c r="E10101" s="1497"/>
      <c r="F10101" s="1497"/>
      <c r="G10101" s="1358"/>
      <c r="H10101" s="1226">
        <v>46157</v>
      </c>
    </row>
    <row r="10102" spans="1:8">
      <c r="A10102" s="1358"/>
      <c r="B10102" s="1358"/>
      <c r="C10102" s="1358"/>
      <c r="D10102" s="3"/>
      <c r="E10102" s="1497"/>
      <c r="F10102" s="1497"/>
      <c r="G10102" s="1358"/>
      <c r="H10102" s="136" t="s">
        <v>4612</v>
      </c>
    </row>
    <row r="10103" spans="1:8">
      <c r="A10103" s="1358"/>
      <c r="B10103" s="1358"/>
      <c r="C10103" s="1358"/>
      <c r="D10103" s="3"/>
      <c r="E10103" s="1497"/>
      <c r="F10103" s="1497"/>
      <c r="G10103" s="1358"/>
      <c r="H10103" s="137" t="s">
        <v>4528</v>
      </c>
    </row>
    <row r="10104" spans="1:8">
      <c r="A10104" s="1358"/>
      <c r="B10104" s="1358"/>
      <c r="C10104" s="1358"/>
      <c r="D10104" s="3"/>
      <c r="E10104" s="1497"/>
      <c r="F10104" s="1497"/>
      <c r="G10104" s="1358"/>
      <c r="H10104" s="137" t="s">
        <v>4611</v>
      </c>
    </row>
    <row r="10105" spans="1:8">
      <c r="H10105" s="138" t="s">
        <v>4499</v>
      </c>
    </row>
    <row r="10106" spans="1:8">
      <c r="H10106" s="138" t="s">
        <v>4147</v>
      </c>
    </row>
    <row r="10107" spans="1:8">
      <c r="H10107" s="138" t="s">
        <v>4486</v>
      </c>
    </row>
    <row r="10108" spans="1:8">
      <c r="H10108" s="138" t="s">
        <v>4613</v>
      </c>
    </row>
    <row r="10109" spans="1:8" ht="15.75" thickBot="1">
      <c r="H10109" s="147" t="s">
        <v>4595</v>
      </c>
    </row>
    <row r="10110" spans="1:8">
      <c r="A10110" s="1360">
        <v>46160</v>
      </c>
      <c r="B10110" s="1359"/>
      <c r="C10110" s="1359" t="s">
        <v>79</v>
      </c>
      <c r="D10110" s="3" t="s">
        <v>1685</v>
      </c>
      <c r="E10110" s="1497">
        <v>190000</v>
      </c>
      <c r="F10110" s="1497"/>
      <c r="G10110" s="1359" t="s">
        <v>27</v>
      </c>
      <c r="H10110" s="5"/>
    </row>
    <row r="10111" spans="1:8">
      <c r="A10111" s="1360">
        <v>46160</v>
      </c>
      <c r="B10111" s="1359"/>
      <c r="C10111" s="1359" t="s">
        <v>79</v>
      </c>
      <c r="D10111" s="3" t="s">
        <v>4615</v>
      </c>
      <c r="E10111" s="1497">
        <v>160000</v>
      </c>
      <c r="F10111" s="1497"/>
      <c r="G10111" s="1359" t="s">
        <v>27</v>
      </c>
      <c r="H10111" s="3"/>
    </row>
    <row r="10112" spans="1:8">
      <c r="A10112" s="1360">
        <v>46160</v>
      </c>
      <c r="B10112" s="1359"/>
      <c r="C10112" s="1359" t="s">
        <v>205</v>
      </c>
      <c r="D10112" s="3" t="s">
        <v>4614</v>
      </c>
      <c r="E10112" s="1497">
        <v>647500</v>
      </c>
      <c r="F10112" s="1497"/>
      <c r="G10112" s="1359" t="s">
        <v>27</v>
      </c>
      <c r="H10112" s="3"/>
    </row>
    <row r="10113" spans="1:8">
      <c r="A10113" s="1360">
        <v>46160</v>
      </c>
      <c r="B10113" s="1359"/>
      <c r="C10113" s="1359" t="s">
        <v>79</v>
      </c>
      <c r="D10113" s="3" t="s">
        <v>2582</v>
      </c>
      <c r="E10113" s="1497">
        <v>74015</v>
      </c>
      <c r="F10113" s="1497"/>
      <c r="G10113" s="1359" t="s">
        <v>27</v>
      </c>
      <c r="H10113" s="3"/>
    </row>
    <row r="10114" spans="1:8">
      <c r="A10114" s="1360">
        <v>46160</v>
      </c>
      <c r="B10114" s="1359"/>
      <c r="C10114" s="1359" t="s">
        <v>205</v>
      </c>
      <c r="D10114" s="3" t="s">
        <v>3296</v>
      </c>
      <c r="E10114" s="1497">
        <v>155000</v>
      </c>
      <c r="F10114" s="1497"/>
      <c r="G10114" s="1359" t="s">
        <v>27</v>
      </c>
      <c r="H10114" s="3"/>
    </row>
    <row r="10115" spans="1:8">
      <c r="A10115" s="1360">
        <v>46160</v>
      </c>
      <c r="B10115" s="1359"/>
      <c r="C10115" s="1359" t="s">
        <v>205</v>
      </c>
      <c r="D10115" s="3" t="s">
        <v>4614</v>
      </c>
      <c r="E10115" s="1497">
        <v>280000</v>
      </c>
      <c r="F10115" s="1497"/>
      <c r="G10115" s="1359" t="s">
        <v>27</v>
      </c>
      <c r="H10115" s="3"/>
    </row>
    <row r="10116" spans="1:8">
      <c r="A10116" s="1360">
        <v>46160</v>
      </c>
      <c r="B10116" s="1359"/>
      <c r="C10116" s="1359" t="s">
        <v>156</v>
      </c>
      <c r="D10116" s="3" t="s">
        <v>4618</v>
      </c>
      <c r="E10116" s="1497">
        <v>5231.97</v>
      </c>
      <c r="F10116" s="1497"/>
      <c r="G10116" s="1359" t="s">
        <v>27</v>
      </c>
      <c r="H10116" s="3"/>
    </row>
    <row r="10117" spans="1:8">
      <c r="A10117" s="1360">
        <v>46160</v>
      </c>
      <c r="B10117" s="1359"/>
      <c r="C10117" s="1359" t="s">
        <v>156</v>
      </c>
      <c r="D10117" s="3" t="s">
        <v>4617</v>
      </c>
      <c r="E10117" s="1497">
        <v>182332.44</v>
      </c>
      <c r="F10117" s="1497"/>
      <c r="G10117" s="1359" t="s">
        <v>27</v>
      </c>
      <c r="H10117" s="3"/>
    </row>
    <row r="10118" spans="1:8">
      <c r="A10118" s="1360">
        <v>46160</v>
      </c>
      <c r="B10118" s="1359"/>
      <c r="C10118" s="1359" t="s">
        <v>77</v>
      </c>
      <c r="D10118" s="3" t="s">
        <v>4616</v>
      </c>
      <c r="E10118" s="1497"/>
      <c r="F10118" s="1497">
        <v>400000</v>
      </c>
      <c r="G10118" s="1359" t="s">
        <v>56</v>
      </c>
      <c r="H10118" s="3"/>
    </row>
    <row r="10119" spans="1:8">
      <c r="A10119" s="1360">
        <v>46160</v>
      </c>
      <c r="B10119" s="1359"/>
      <c r="C10119" s="1359" t="s">
        <v>77</v>
      </c>
      <c r="D10119" s="3" t="s">
        <v>4619</v>
      </c>
      <c r="E10119" s="1497"/>
      <c r="F10119" s="1497">
        <v>2072800</v>
      </c>
      <c r="G10119" s="1359" t="s">
        <v>27</v>
      </c>
      <c r="H10119" s="3"/>
    </row>
    <row r="10120" spans="1:8">
      <c r="A10120" s="1360">
        <v>46160</v>
      </c>
      <c r="B10120" s="1359"/>
      <c r="C10120" s="1359" t="s">
        <v>77</v>
      </c>
      <c r="D10120" s="3" t="s">
        <v>4620</v>
      </c>
      <c r="E10120" s="1497"/>
      <c r="F10120" s="1497">
        <v>134600</v>
      </c>
      <c r="G10120" s="1359" t="s">
        <v>27</v>
      </c>
      <c r="H10120" s="3"/>
    </row>
    <row r="10121" spans="1:8">
      <c r="A10121" s="1360">
        <v>46160</v>
      </c>
      <c r="B10121" s="1359"/>
      <c r="C10121" s="1359" t="s">
        <v>205</v>
      </c>
      <c r="D10121" s="15" t="s">
        <v>71</v>
      </c>
      <c r="E10121" s="1497">
        <v>1715000</v>
      </c>
      <c r="F10121" s="1497"/>
      <c r="G10121" s="1359" t="s">
        <v>27</v>
      </c>
      <c r="H10121" s="3"/>
    </row>
    <row r="10122" spans="1:8">
      <c r="A10122" s="1360">
        <v>46160</v>
      </c>
      <c r="B10122" s="1359"/>
      <c r="C10122" s="1359" t="s">
        <v>94</v>
      </c>
      <c r="D10122" s="3" t="s">
        <v>4621</v>
      </c>
      <c r="E10122" s="1497">
        <v>182096.57</v>
      </c>
      <c r="F10122" s="1497"/>
      <c r="G10122" s="1359" t="s">
        <v>27</v>
      </c>
      <c r="H10122" s="3"/>
    </row>
    <row r="10123" spans="1:8">
      <c r="A10123" s="1360">
        <v>46160</v>
      </c>
      <c r="B10123" s="1359"/>
      <c r="C10123" s="1359" t="s">
        <v>77</v>
      </c>
      <c r="D10123" s="3" t="s">
        <v>4623</v>
      </c>
      <c r="E10123" s="1497"/>
      <c r="F10123" s="1497">
        <v>1362000</v>
      </c>
      <c r="G10123" s="1359" t="s">
        <v>56</v>
      </c>
      <c r="H10123" s="3"/>
    </row>
    <row r="10124" spans="1:8">
      <c r="A10124" s="1360">
        <v>46160</v>
      </c>
      <c r="B10124" s="1359"/>
      <c r="C10124" s="1359" t="s">
        <v>77</v>
      </c>
      <c r="D10124" s="3" t="s">
        <v>4623</v>
      </c>
      <c r="E10124" s="1497"/>
      <c r="F10124" s="1497">
        <v>450000</v>
      </c>
      <c r="G10124" s="1359" t="s">
        <v>72</v>
      </c>
      <c r="H10124" s="45" t="s">
        <v>4622</v>
      </c>
    </row>
    <row r="10125" spans="1:8">
      <c r="A10125" s="1360">
        <v>46160</v>
      </c>
      <c r="B10125" s="1359"/>
      <c r="C10125" s="1359" t="s">
        <v>77</v>
      </c>
      <c r="D10125" s="3" t="s">
        <v>4624</v>
      </c>
      <c r="E10125" s="1497"/>
      <c r="F10125" s="1497">
        <v>238000</v>
      </c>
      <c r="G10125" s="1359" t="s">
        <v>56</v>
      </c>
      <c r="H10125" s="3"/>
    </row>
    <row r="10126" spans="1:8">
      <c r="A10126" s="1272">
        <v>46160</v>
      </c>
      <c r="B10126" s="14"/>
      <c r="C10126" s="14" t="s">
        <v>86</v>
      </c>
      <c r="D10126" s="177" t="s">
        <v>4165</v>
      </c>
      <c r="E10126" s="14">
        <v>51050</v>
      </c>
      <c r="F10126" s="14"/>
      <c r="G10126" s="14" t="s">
        <v>56</v>
      </c>
      <c r="H10126" s="177"/>
    </row>
    <row r="10127" spans="1:8">
      <c r="A10127" s="1272">
        <v>46160</v>
      </c>
      <c r="B10127" s="14"/>
      <c r="C10127" s="14" t="s">
        <v>831</v>
      </c>
      <c r="D10127" s="177" t="s">
        <v>2561</v>
      </c>
      <c r="E10127" s="14">
        <v>412010</v>
      </c>
      <c r="F10127" s="14"/>
      <c r="G10127" s="14" t="s">
        <v>56</v>
      </c>
      <c r="H10127" s="177"/>
    </row>
    <row r="10128" spans="1:8">
      <c r="A10128" s="1272">
        <v>46160</v>
      </c>
      <c r="B10128" s="14"/>
      <c r="C10128" s="14" t="s">
        <v>205</v>
      </c>
      <c r="D10128" s="177" t="s">
        <v>2358</v>
      </c>
      <c r="E10128" s="14">
        <v>77450</v>
      </c>
      <c r="F10128" s="14"/>
      <c r="G10128" s="14" t="s">
        <v>56</v>
      </c>
      <c r="H10128" s="177"/>
    </row>
    <row r="10129" spans="1:8">
      <c r="A10129" s="1361">
        <v>46160</v>
      </c>
      <c r="B10129" s="1359"/>
      <c r="C10129" s="1359" t="s">
        <v>205</v>
      </c>
      <c r="D10129" s="3" t="s">
        <v>47</v>
      </c>
      <c r="E10129" s="1497">
        <v>321200</v>
      </c>
      <c r="F10129" s="1497"/>
      <c r="G10129" s="1359" t="s">
        <v>56</v>
      </c>
      <c r="H10129" s="3"/>
    </row>
    <row r="10130" spans="1:8">
      <c r="A10130" s="1364">
        <v>46160</v>
      </c>
      <c r="B10130" s="1365"/>
      <c r="C10130" s="1365" t="s">
        <v>205</v>
      </c>
      <c r="D10130" s="3" t="s">
        <v>48</v>
      </c>
      <c r="E10130" s="1497">
        <v>280000</v>
      </c>
      <c r="F10130" s="1497"/>
      <c r="G10130" s="1365" t="s">
        <v>27</v>
      </c>
      <c r="H10130" s="3"/>
    </row>
    <row r="10131" spans="1:8">
      <c r="A10131" s="1361">
        <v>46161</v>
      </c>
      <c r="B10131" s="1359"/>
      <c r="C10131" s="1359" t="s">
        <v>205</v>
      </c>
      <c r="D10131" s="3" t="s">
        <v>50</v>
      </c>
      <c r="E10131" s="1497">
        <v>107481.28</v>
      </c>
      <c r="F10131" s="1497"/>
      <c r="G10131" s="1359" t="s">
        <v>27</v>
      </c>
      <c r="H10131" s="45" t="s">
        <v>4625</v>
      </c>
    </row>
    <row r="10132" spans="1:8">
      <c r="A10132" s="1361">
        <v>46161</v>
      </c>
      <c r="B10132" s="1359"/>
      <c r="C10132" s="1362" t="s">
        <v>205</v>
      </c>
      <c r="D10132" s="3" t="s">
        <v>37</v>
      </c>
      <c r="E10132" s="1497">
        <v>277600</v>
      </c>
      <c r="F10132" s="1497"/>
      <c r="G10132" s="1359" t="s">
        <v>27</v>
      </c>
      <c r="H10132" s="3"/>
    </row>
    <row r="10133" spans="1:8">
      <c r="A10133" s="1361">
        <v>46161</v>
      </c>
      <c r="B10133" s="1359"/>
      <c r="C10133" s="1362" t="s">
        <v>205</v>
      </c>
      <c r="D10133" s="3" t="s">
        <v>37</v>
      </c>
      <c r="E10133" s="1497">
        <v>303200</v>
      </c>
      <c r="F10133" s="1497"/>
      <c r="G10133" s="1359" t="s">
        <v>996</v>
      </c>
      <c r="H10133" s="3"/>
    </row>
    <row r="10134" spans="1:8">
      <c r="A10134" s="1361">
        <v>46161</v>
      </c>
      <c r="B10134" s="1359"/>
      <c r="C10134" s="1359" t="s">
        <v>90</v>
      </c>
      <c r="D10134" s="3" t="s">
        <v>4626</v>
      </c>
      <c r="E10134" s="1497">
        <v>69196.42</v>
      </c>
      <c r="F10134" s="1497"/>
      <c r="G10134" s="1359" t="s">
        <v>27</v>
      </c>
      <c r="H10134" s="3"/>
    </row>
    <row r="10135" spans="1:8">
      <c r="A10135" s="1363">
        <v>46162</v>
      </c>
      <c r="B10135" s="1362"/>
      <c r="C10135" s="1362" t="s">
        <v>94</v>
      </c>
      <c r="D10135" s="3" t="s">
        <v>4627</v>
      </c>
      <c r="E10135" s="1497"/>
      <c r="F10135" s="1497">
        <v>1848579.34</v>
      </c>
      <c r="G10135" s="1362" t="s">
        <v>996</v>
      </c>
      <c r="H10135" s="3"/>
    </row>
    <row r="10136" spans="1:8">
      <c r="A10136" s="1363">
        <v>46162</v>
      </c>
      <c r="B10136" s="1362"/>
      <c r="C10136" s="1362" t="s">
        <v>77</v>
      </c>
      <c r="D10136" s="3" t="s">
        <v>4628</v>
      </c>
      <c r="E10136" s="1497"/>
      <c r="F10136" s="1497">
        <v>104000</v>
      </c>
      <c r="G10136" s="1362" t="s">
        <v>27</v>
      </c>
      <c r="H10136" s="3"/>
    </row>
    <row r="10137" spans="1:8">
      <c r="A10137" s="1367">
        <v>46163</v>
      </c>
      <c r="B10137" s="1366"/>
      <c r="C10137" s="1366" t="s">
        <v>86</v>
      </c>
      <c r="D10137" s="3" t="s">
        <v>104</v>
      </c>
      <c r="E10137" s="1497">
        <v>50000</v>
      </c>
      <c r="F10137" s="1497"/>
      <c r="G10137" s="1366" t="s">
        <v>56</v>
      </c>
      <c r="H10137" s="3"/>
    </row>
    <row r="10138" spans="1:8">
      <c r="A10138" s="1367">
        <v>46163</v>
      </c>
      <c r="B10138" s="1366"/>
      <c r="C10138" s="1366" t="s">
        <v>831</v>
      </c>
      <c r="D10138" s="3" t="s">
        <v>2561</v>
      </c>
      <c r="E10138" s="1497">
        <v>44500</v>
      </c>
      <c r="F10138" s="1497"/>
      <c r="G10138" s="1366" t="s">
        <v>56</v>
      </c>
      <c r="H10138" s="3"/>
    </row>
    <row r="10139" spans="1:8">
      <c r="A10139" s="1367">
        <v>46163</v>
      </c>
      <c r="B10139" s="1366"/>
      <c r="C10139" s="1366" t="s">
        <v>205</v>
      </c>
      <c r="D10139" s="3" t="s">
        <v>335</v>
      </c>
      <c r="E10139" s="1497">
        <v>12342</v>
      </c>
      <c r="F10139" s="1497"/>
      <c r="G10139" s="1366" t="s">
        <v>56</v>
      </c>
      <c r="H10139" s="3"/>
    </row>
    <row r="10140" spans="1:8">
      <c r="A10140" s="1364">
        <v>46163</v>
      </c>
      <c r="B10140" s="1365"/>
      <c r="C10140" s="1365" t="s">
        <v>205</v>
      </c>
      <c r="D10140" s="3" t="s">
        <v>48</v>
      </c>
      <c r="E10140" s="1497">
        <v>461000</v>
      </c>
      <c r="F10140" s="1497"/>
      <c r="G10140" s="1365" t="s">
        <v>27</v>
      </c>
      <c r="H10140" s="3"/>
    </row>
    <row r="10141" spans="1:8">
      <c r="A10141" s="1364">
        <v>46163</v>
      </c>
      <c r="B10141" s="1365"/>
      <c r="C10141" s="1365" t="s">
        <v>205</v>
      </c>
      <c r="D10141" s="3" t="s">
        <v>48</v>
      </c>
      <c r="E10141" s="1497">
        <v>647540</v>
      </c>
      <c r="F10141" s="1497"/>
      <c r="G10141" s="1365" t="s">
        <v>27</v>
      </c>
      <c r="H10141" s="3"/>
    </row>
    <row r="10142" spans="1:8">
      <c r="A10142" s="1364">
        <v>46163</v>
      </c>
      <c r="B10142" s="1365"/>
      <c r="C10142" s="1365" t="s">
        <v>90</v>
      </c>
      <c r="D10142" s="3" t="s">
        <v>1951</v>
      </c>
      <c r="E10142" s="1497">
        <v>30000</v>
      </c>
      <c r="F10142" s="1497"/>
      <c r="G10142" s="1365" t="s">
        <v>56</v>
      </c>
      <c r="H10142" s="3"/>
    </row>
    <row r="10143" spans="1:8">
      <c r="A10143" s="1364">
        <v>46163</v>
      </c>
      <c r="B10143" s="1365"/>
      <c r="C10143" s="1365" t="s">
        <v>77</v>
      </c>
      <c r="D10143" s="3" t="s">
        <v>447</v>
      </c>
      <c r="E10143" s="1497"/>
      <c r="F10143" s="1497">
        <v>583000</v>
      </c>
      <c r="G10143" s="1365" t="s">
        <v>56</v>
      </c>
      <c r="H10143" s="3"/>
    </row>
    <row r="10144" spans="1:8">
      <c r="A10144" s="1364">
        <v>46163</v>
      </c>
      <c r="B10144" s="1365"/>
      <c r="C10144" s="1365" t="s">
        <v>77</v>
      </c>
      <c r="D10144" s="3" t="s">
        <v>4502</v>
      </c>
      <c r="E10144" s="1497"/>
      <c r="F10144" s="1497">
        <v>164300</v>
      </c>
      <c r="G10144" s="1365" t="s">
        <v>56</v>
      </c>
      <c r="H10144" s="3"/>
    </row>
    <row r="10145" spans="1:8">
      <c r="A10145" s="1367">
        <v>46164</v>
      </c>
      <c r="B10145" s="1365"/>
      <c r="C10145" s="1365" t="s">
        <v>65</v>
      </c>
      <c r="D10145" s="3" t="s">
        <v>4629</v>
      </c>
      <c r="E10145" s="1497">
        <v>70823.28</v>
      </c>
      <c r="F10145" s="1497"/>
      <c r="G10145" s="1365" t="s">
        <v>27</v>
      </c>
      <c r="H10145" s="3"/>
    </row>
    <row r="10146" spans="1:8">
      <c r="A10146" s="1367">
        <v>46164</v>
      </c>
      <c r="B10146" s="1365"/>
      <c r="C10146" s="1365" t="s">
        <v>77</v>
      </c>
      <c r="D10146" s="3" t="s">
        <v>83</v>
      </c>
      <c r="E10146" s="1497"/>
      <c r="F10146" s="1497">
        <v>3015700</v>
      </c>
      <c r="G10146" s="1365" t="s">
        <v>27</v>
      </c>
      <c r="H10146" s="3"/>
    </row>
    <row r="10147" spans="1:8">
      <c r="A10147" s="1367">
        <v>46164</v>
      </c>
      <c r="B10147" s="1365"/>
      <c r="C10147" s="1365" t="s">
        <v>55</v>
      </c>
      <c r="D10147" s="3" t="s">
        <v>4630</v>
      </c>
      <c r="E10147" s="1497">
        <v>40360</v>
      </c>
      <c r="F10147" s="1497"/>
      <c r="G10147" s="1366" t="s">
        <v>27</v>
      </c>
      <c r="H10147" s="3"/>
    </row>
    <row r="10148" spans="1:8">
      <c r="A10148" s="1367">
        <v>46164</v>
      </c>
      <c r="B10148" s="1365"/>
      <c r="C10148" s="1365" t="s">
        <v>205</v>
      </c>
      <c r="D10148" s="3" t="s">
        <v>71</v>
      </c>
      <c r="E10148" s="1497">
        <v>1715000</v>
      </c>
      <c r="F10148" s="1497"/>
      <c r="G10148" s="1366" t="s">
        <v>27</v>
      </c>
      <c r="H10148" s="3"/>
    </row>
    <row r="10149" spans="1:8">
      <c r="A10149" s="1367">
        <v>46164</v>
      </c>
      <c r="B10149" s="1366"/>
      <c r="C10149" s="1366" t="s">
        <v>537</v>
      </c>
      <c r="D10149" s="3" t="s">
        <v>144</v>
      </c>
      <c r="E10149" s="1497">
        <v>210000</v>
      </c>
      <c r="F10149" s="1497"/>
      <c r="G10149" s="1366" t="s">
        <v>27</v>
      </c>
      <c r="H10149" s="3"/>
    </row>
    <row r="10150" spans="1:8">
      <c r="A10150" s="1367">
        <v>46164</v>
      </c>
      <c r="B10150" s="1366"/>
      <c r="C10150" s="1366" t="s">
        <v>537</v>
      </c>
      <c r="D10150" s="3" t="s">
        <v>144</v>
      </c>
      <c r="E10150" s="1497">
        <v>280000</v>
      </c>
      <c r="F10150" s="1497"/>
      <c r="G10150" s="1366" t="s">
        <v>56</v>
      </c>
      <c r="H10150" s="3"/>
    </row>
    <row r="10151" spans="1:8">
      <c r="A10151" s="1367">
        <v>46164</v>
      </c>
      <c r="B10151" s="1366"/>
      <c r="C10151" s="1366" t="s">
        <v>537</v>
      </c>
      <c r="D10151" s="3" t="s">
        <v>193</v>
      </c>
      <c r="E10151" s="1497">
        <v>180000</v>
      </c>
      <c r="F10151" s="1497"/>
      <c r="G10151" s="1366" t="s">
        <v>56</v>
      </c>
      <c r="H10151" s="3"/>
    </row>
    <row r="10152" spans="1:8">
      <c r="A10152" s="1367">
        <v>46164</v>
      </c>
      <c r="B10152" s="1366"/>
      <c r="C10152" s="1366" t="s">
        <v>537</v>
      </c>
      <c r="D10152" s="3" t="s">
        <v>219</v>
      </c>
      <c r="E10152" s="1497">
        <v>322500</v>
      </c>
      <c r="F10152" s="1497"/>
      <c r="G10152" s="1366" t="s">
        <v>56</v>
      </c>
      <c r="H10152" s="3"/>
    </row>
    <row r="10153" spans="1:8" ht="15.75" thickBot="1">
      <c r="A10153" s="1367">
        <v>46164</v>
      </c>
      <c r="B10153" s="1366"/>
      <c r="C10153" s="1366" t="s">
        <v>537</v>
      </c>
      <c r="D10153" s="3" t="s">
        <v>4492</v>
      </c>
      <c r="E10153" s="1497">
        <v>215000</v>
      </c>
      <c r="F10153" s="1497"/>
      <c r="G10153" s="1366" t="s">
        <v>56</v>
      </c>
      <c r="H10153" s="3"/>
    </row>
    <row r="10154" spans="1:8">
      <c r="A10154" s="1366"/>
      <c r="B10154" s="1366"/>
      <c r="C10154" s="1366"/>
      <c r="D10154" s="3"/>
      <c r="E10154" s="1497"/>
      <c r="F10154" s="1497"/>
      <c r="G10154" s="1366"/>
      <c r="H10154" s="1226">
        <v>46164</v>
      </c>
    </row>
    <row r="10155" spans="1:8">
      <c r="H10155" s="136" t="s">
        <v>4612</v>
      </c>
    </row>
    <row r="10156" spans="1:8">
      <c r="H10156" s="137" t="s">
        <v>4528</v>
      </c>
    </row>
    <row r="10157" spans="1:8">
      <c r="H10157" s="137" t="s">
        <v>4631</v>
      </c>
    </row>
    <row r="10158" spans="1:8">
      <c r="H10158" s="138" t="s">
        <v>4632</v>
      </c>
    </row>
    <row r="10159" spans="1:8">
      <c r="H10159" s="138" t="s">
        <v>4633</v>
      </c>
    </row>
    <row r="10160" spans="1:8">
      <c r="H10160" s="138" t="s">
        <v>4486</v>
      </c>
    </row>
    <row r="10161" spans="1:8">
      <c r="H10161" s="138" t="s">
        <v>4334</v>
      </c>
    </row>
    <row r="10162" spans="1:8" ht="15.75" thickBot="1">
      <c r="H10162" s="147" t="s">
        <v>4634</v>
      </c>
    </row>
    <row r="10163" spans="1:8">
      <c r="A10163" s="1368">
        <v>46168</v>
      </c>
      <c r="B10163" s="1369"/>
      <c r="C10163" s="1369" t="s">
        <v>79</v>
      </c>
      <c r="D10163" s="3" t="s">
        <v>3451</v>
      </c>
      <c r="E10163" s="1497">
        <v>614200</v>
      </c>
      <c r="F10163" s="1497"/>
      <c r="G10163" s="1369" t="s">
        <v>27</v>
      </c>
      <c r="H10163" s="5"/>
    </row>
    <row r="10164" spans="1:8">
      <c r="A10164" s="1368">
        <v>46168</v>
      </c>
      <c r="B10164" s="1369"/>
      <c r="C10164" s="1369" t="s">
        <v>79</v>
      </c>
      <c r="D10164" s="3" t="s">
        <v>918</v>
      </c>
      <c r="E10164" s="1497">
        <v>107000</v>
      </c>
      <c r="F10164" s="1497"/>
      <c r="G10164" s="1369" t="s">
        <v>27</v>
      </c>
      <c r="H10164" s="3"/>
    </row>
    <row r="10165" spans="1:8">
      <c r="A10165" s="1368">
        <v>46168</v>
      </c>
      <c r="B10165" s="1369"/>
      <c r="C10165" s="1369" t="s">
        <v>79</v>
      </c>
      <c r="D10165" s="3" t="s">
        <v>271</v>
      </c>
      <c r="E10165" s="1497">
        <v>15639.18</v>
      </c>
      <c r="F10165" s="1497"/>
      <c r="G10165" s="1369" t="s">
        <v>27</v>
      </c>
      <c r="H10165" s="3"/>
    </row>
    <row r="10166" spans="1:8">
      <c r="A10166" s="1368">
        <v>46168</v>
      </c>
      <c r="B10166" s="1369"/>
      <c r="C10166" s="1369" t="s">
        <v>79</v>
      </c>
      <c r="D10166" s="3" t="s">
        <v>79</v>
      </c>
      <c r="E10166" s="1497">
        <v>500000</v>
      </c>
      <c r="F10166" s="1497"/>
      <c r="G10166" s="1369" t="s">
        <v>56</v>
      </c>
      <c r="H10166" s="3"/>
    </row>
    <row r="10167" spans="1:8">
      <c r="A10167" s="1368">
        <v>46168</v>
      </c>
      <c r="B10167" s="1369"/>
      <c r="C10167" s="1369" t="s">
        <v>77</v>
      </c>
      <c r="D10167" s="3" t="s">
        <v>4635</v>
      </c>
      <c r="E10167" s="1497"/>
      <c r="F10167" s="1497">
        <v>4231000</v>
      </c>
      <c r="G10167" s="1369" t="s">
        <v>56</v>
      </c>
      <c r="H10167" s="3"/>
    </row>
    <row r="10168" spans="1:8">
      <c r="A10168" s="1368">
        <v>46168</v>
      </c>
      <c r="B10168" s="1369"/>
      <c r="C10168" s="1369" t="s">
        <v>55</v>
      </c>
      <c r="D10168" s="3" t="s">
        <v>38</v>
      </c>
      <c r="E10168" s="1497">
        <v>7000</v>
      </c>
      <c r="F10168" s="1497"/>
      <c r="G10168" s="1369" t="s">
        <v>56</v>
      </c>
      <c r="H10168" s="3"/>
    </row>
    <row r="10169" spans="1:8">
      <c r="A10169" s="1368">
        <v>46168</v>
      </c>
      <c r="B10169" s="1369"/>
      <c r="C10169" s="1369" t="s">
        <v>79</v>
      </c>
      <c r="D10169" s="3" t="s">
        <v>1218</v>
      </c>
      <c r="E10169" s="1497">
        <v>93790</v>
      </c>
      <c r="F10169" s="1497"/>
      <c r="G10169" s="1369" t="s">
        <v>27</v>
      </c>
      <c r="H10169" s="3"/>
    </row>
    <row r="10170" spans="1:8">
      <c r="A10170" s="1368">
        <v>46168</v>
      </c>
      <c r="B10170" s="1369"/>
      <c r="C10170" s="1369" t="s">
        <v>79</v>
      </c>
      <c r="D10170" s="3" t="s">
        <v>3889</v>
      </c>
      <c r="E10170" s="1497">
        <v>59391</v>
      </c>
      <c r="F10170" s="1497"/>
      <c r="G10170" s="1369" t="s">
        <v>27</v>
      </c>
      <c r="H10170" s="3"/>
    </row>
    <row r="10171" spans="1:8">
      <c r="A10171" s="1371">
        <v>46168</v>
      </c>
      <c r="B10171" s="1369"/>
      <c r="C10171" s="1369" t="s">
        <v>90</v>
      </c>
      <c r="D10171" s="3" t="s">
        <v>2355</v>
      </c>
      <c r="E10171" s="1497">
        <v>51000</v>
      </c>
      <c r="F10171" s="1497"/>
      <c r="G10171" s="1369" t="s">
        <v>27</v>
      </c>
      <c r="H10171" s="3"/>
    </row>
    <row r="10172" spans="1:8">
      <c r="A10172" s="1371">
        <v>46168</v>
      </c>
      <c r="B10172" s="1369"/>
      <c r="C10172" s="1369" t="s">
        <v>205</v>
      </c>
      <c r="D10172" s="3" t="s">
        <v>48</v>
      </c>
      <c r="E10172" s="1497">
        <v>10000</v>
      </c>
      <c r="F10172" s="1497"/>
      <c r="G10172" s="1370" t="s">
        <v>27</v>
      </c>
      <c r="H10172" s="3"/>
    </row>
    <row r="10173" spans="1:8">
      <c r="A10173" s="1371">
        <v>46168</v>
      </c>
      <c r="B10173" s="1370"/>
      <c r="C10173" s="1370" t="s">
        <v>79</v>
      </c>
      <c r="D10173" s="3" t="s">
        <v>1218</v>
      </c>
      <c r="E10173" s="1497">
        <v>200000</v>
      </c>
      <c r="F10173" s="1497"/>
      <c r="G10173" s="1370" t="s">
        <v>56</v>
      </c>
      <c r="H10173" s="3"/>
    </row>
    <row r="10174" spans="1:8">
      <c r="A10174" s="1371">
        <v>46168</v>
      </c>
      <c r="B10174" s="1370"/>
      <c r="C10174" s="1370" t="s">
        <v>79</v>
      </c>
      <c r="D10174" s="3" t="s">
        <v>2355</v>
      </c>
      <c r="E10174" s="1497">
        <v>200000</v>
      </c>
      <c r="F10174" s="1497"/>
      <c r="G10174" s="1370" t="s">
        <v>56</v>
      </c>
      <c r="H10174" s="3"/>
    </row>
    <row r="10175" spans="1:8">
      <c r="A10175" s="1371">
        <v>46168</v>
      </c>
      <c r="B10175" s="1370"/>
      <c r="C10175" s="1370" t="s">
        <v>79</v>
      </c>
      <c r="D10175" s="3" t="s">
        <v>3889</v>
      </c>
      <c r="E10175" s="1497">
        <v>200000</v>
      </c>
      <c r="F10175" s="1497"/>
      <c r="G10175" s="1370" t="s">
        <v>56</v>
      </c>
      <c r="H10175" s="3"/>
    </row>
    <row r="10176" spans="1:8">
      <c r="A10176" s="1379">
        <v>46169</v>
      </c>
      <c r="B10176" s="1378"/>
      <c r="C10176" s="1378" t="s">
        <v>205</v>
      </c>
      <c r="D10176" s="3" t="s">
        <v>48</v>
      </c>
      <c r="E10176" s="1497">
        <v>170000</v>
      </c>
      <c r="F10176" s="1497"/>
      <c r="G10176" s="1378" t="s">
        <v>27</v>
      </c>
      <c r="H10176" s="3"/>
    </row>
    <row r="10177" spans="1:8">
      <c r="A10177" s="1371">
        <v>46169</v>
      </c>
      <c r="B10177" s="1369"/>
      <c r="C10177" s="1370" t="s">
        <v>205</v>
      </c>
      <c r="D10177" s="3" t="s">
        <v>113</v>
      </c>
      <c r="E10177" s="1497">
        <v>162804</v>
      </c>
      <c r="F10177" s="1497"/>
      <c r="G10177" s="1370" t="s">
        <v>27</v>
      </c>
      <c r="H10177" s="3"/>
    </row>
    <row r="10178" spans="1:8">
      <c r="A10178" s="1371">
        <v>46169</v>
      </c>
      <c r="B10178" s="1370"/>
      <c r="C10178" s="1370" t="s">
        <v>3021</v>
      </c>
      <c r="D10178" s="3" t="s">
        <v>3911</v>
      </c>
      <c r="E10178" s="1497">
        <v>50000</v>
      </c>
      <c r="F10178" s="1497"/>
      <c r="G10178" s="1370" t="s">
        <v>27</v>
      </c>
      <c r="H10178" s="3"/>
    </row>
    <row r="10179" spans="1:8">
      <c r="A10179" s="1372">
        <v>46169</v>
      </c>
      <c r="B10179" s="1370"/>
      <c r="C10179" s="1370" t="s">
        <v>150</v>
      </c>
      <c r="D10179" s="3" t="s">
        <v>4636</v>
      </c>
      <c r="E10179" s="1497">
        <v>470000</v>
      </c>
      <c r="F10179" s="1497"/>
      <c r="G10179" s="1373" t="s">
        <v>27</v>
      </c>
      <c r="H10179" s="3"/>
    </row>
    <row r="10180" spans="1:8">
      <c r="A10180" s="1372">
        <v>46170</v>
      </c>
      <c r="B10180" s="1373"/>
      <c r="C10180" s="1373" t="s">
        <v>90</v>
      </c>
      <c r="D10180" s="3" t="s">
        <v>2355</v>
      </c>
      <c r="E10180" s="1497">
        <v>200000</v>
      </c>
      <c r="F10180" s="1497"/>
      <c r="G10180" s="1373" t="s">
        <v>27</v>
      </c>
      <c r="H10180" s="3"/>
    </row>
    <row r="10181" spans="1:8">
      <c r="A10181" s="1372">
        <v>46170</v>
      </c>
      <c r="B10181" s="1373"/>
      <c r="C10181" s="1373" t="s">
        <v>28</v>
      </c>
      <c r="D10181" s="3" t="s">
        <v>4637</v>
      </c>
      <c r="E10181" s="1497">
        <v>323425.59999999998</v>
      </c>
      <c r="F10181" s="1497"/>
      <c r="G10181" s="1373" t="s">
        <v>27</v>
      </c>
      <c r="H10181" s="3"/>
    </row>
    <row r="10182" spans="1:8">
      <c r="A10182" s="1372">
        <v>46170</v>
      </c>
      <c r="B10182" s="1373"/>
      <c r="C10182" s="1373" t="s">
        <v>90</v>
      </c>
      <c r="D10182" s="3" t="s">
        <v>1951</v>
      </c>
      <c r="E10182" s="1497">
        <v>30000</v>
      </c>
      <c r="F10182" s="1497"/>
      <c r="G10182" s="1373" t="s">
        <v>56</v>
      </c>
      <c r="H10182" s="3"/>
    </row>
    <row r="10183" spans="1:8">
      <c r="A10183" s="1372">
        <v>46170</v>
      </c>
      <c r="B10183" s="1373"/>
      <c r="C10183" s="1373" t="s">
        <v>92</v>
      </c>
      <c r="D10183" s="3" t="s">
        <v>4536</v>
      </c>
      <c r="E10183" s="1497"/>
      <c r="F10183" s="1497">
        <v>185700</v>
      </c>
      <c r="G10183" s="1373" t="s">
        <v>56</v>
      </c>
      <c r="H10183" s="3"/>
    </row>
    <row r="10184" spans="1:8">
      <c r="A10184" s="1372">
        <v>46170</v>
      </c>
      <c r="B10184" s="1373"/>
      <c r="C10184" s="1373" t="s">
        <v>55</v>
      </c>
      <c r="D10184" s="15" t="s">
        <v>562</v>
      </c>
      <c r="E10184" s="1497">
        <v>10240</v>
      </c>
      <c r="F10184" s="1497"/>
      <c r="G10184" s="1373" t="s">
        <v>27</v>
      </c>
      <c r="H10184" s="3"/>
    </row>
    <row r="10185" spans="1:8">
      <c r="A10185" s="1379">
        <v>46170</v>
      </c>
      <c r="B10185" s="1373"/>
      <c r="C10185" s="1373" t="s">
        <v>205</v>
      </c>
      <c r="D10185" s="3" t="s">
        <v>2358</v>
      </c>
      <c r="E10185" s="1497">
        <v>77456</v>
      </c>
      <c r="F10185" s="1497"/>
      <c r="G10185" s="1378" t="s">
        <v>27</v>
      </c>
      <c r="H10185" s="3"/>
    </row>
    <row r="10186" spans="1:8">
      <c r="A10186" s="1379">
        <v>46170</v>
      </c>
      <c r="B10186" s="1373"/>
      <c r="C10186" s="1373" t="s">
        <v>79</v>
      </c>
      <c r="D10186" s="3" t="s">
        <v>1218</v>
      </c>
      <c r="E10186" s="1497">
        <v>550000</v>
      </c>
      <c r="F10186" s="1497"/>
      <c r="G10186" s="1378" t="s">
        <v>56</v>
      </c>
      <c r="H10186" s="3"/>
    </row>
    <row r="10187" spans="1:8">
      <c r="A10187" s="1379">
        <v>46171</v>
      </c>
      <c r="B10187" s="1373"/>
      <c r="C10187" s="1373" t="s">
        <v>730</v>
      </c>
      <c r="D10187" s="3" t="s">
        <v>3855</v>
      </c>
      <c r="E10187" s="1497">
        <v>279000</v>
      </c>
      <c r="F10187" s="1497"/>
      <c r="G10187" s="1373" t="s">
        <v>72</v>
      </c>
      <c r="H10187" s="45" t="s">
        <v>4638</v>
      </c>
    </row>
    <row r="10188" spans="1:8">
      <c r="A10188" s="1379">
        <v>46171</v>
      </c>
      <c r="B10188" s="1373"/>
      <c r="C10188" s="1373" t="s">
        <v>205</v>
      </c>
      <c r="D10188" s="3" t="s">
        <v>190</v>
      </c>
      <c r="E10188" s="1497">
        <v>600000</v>
      </c>
      <c r="F10188" s="1497"/>
      <c r="G10188" s="1373" t="s">
        <v>56</v>
      </c>
      <c r="H10188" s="3"/>
    </row>
    <row r="10189" spans="1:8">
      <c r="A10189" s="1379">
        <v>46171</v>
      </c>
      <c r="B10189" s="1373"/>
      <c r="C10189" s="1373" t="s">
        <v>205</v>
      </c>
      <c r="D10189" s="3" t="s">
        <v>190</v>
      </c>
      <c r="E10189" s="1497">
        <v>171000</v>
      </c>
      <c r="F10189" s="1497"/>
      <c r="G10189" s="1373" t="s">
        <v>72</v>
      </c>
      <c r="H10189" s="3"/>
    </row>
    <row r="10190" spans="1:8">
      <c r="A10190" s="1379">
        <v>46171</v>
      </c>
      <c r="B10190" s="1373"/>
      <c r="C10190" s="1373" t="s">
        <v>77</v>
      </c>
      <c r="D10190" s="3" t="s">
        <v>4639</v>
      </c>
      <c r="E10190" s="1497"/>
      <c r="F10190" s="1497">
        <v>2500000</v>
      </c>
      <c r="G10190" s="1373" t="s">
        <v>27</v>
      </c>
      <c r="H10190" s="3"/>
    </row>
    <row r="10191" spans="1:8">
      <c r="A10191" s="1379">
        <v>46171</v>
      </c>
      <c r="B10191" s="1373"/>
      <c r="C10191" s="1373" t="s">
        <v>65</v>
      </c>
      <c r="D10191" s="3" t="s">
        <v>4640</v>
      </c>
      <c r="E10191" s="1497">
        <v>708173.84</v>
      </c>
      <c r="F10191" s="1497"/>
      <c r="G10191" s="1378" t="s">
        <v>27</v>
      </c>
      <c r="H10191" s="3"/>
    </row>
    <row r="10192" spans="1:8">
      <c r="A10192" s="1379">
        <v>46171</v>
      </c>
      <c r="B10192" s="1378"/>
      <c r="C10192" s="1378" t="s">
        <v>65</v>
      </c>
      <c r="D10192" s="3" t="s">
        <v>4640</v>
      </c>
      <c r="E10192" s="1497">
        <v>618996.4</v>
      </c>
      <c r="F10192" s="1497"/>
      <c r="G10192" s="1378" t="s">
        <v>27</v>
      </c>
      <c r="H10192" s="3"/>
    </row>
    <row r="10193" spans="1:8">
      <c r="A10193" s="1379">
        <v>46171</v>
      </c>
      <c r="B10193" s="1378"/>
      <c r="C10193" s="1378" t="s">
        <v>3021</v>
      </c>
      <c r="D10193" s="3" t="s">
        <v>104</v>
      </c>
      <c r="E10193" s="1497">
        <v>40000</v>
      </c>
      <c r="F10193" s="1497"/>
      <c r="G10193" s="1378" t="s">
        <v>56</v>
      </c>
      <c r="H10193" s="3"/>
    </row>
    <row r="10194" spans="1:8">
      <c r="A10194" s="1379">
        <v>46171</v>
      </c>
      <c r="B10194" s="1378"/>
      <c r="C10194" s="1378" t="s">
        <v>537</v>
      </c>
      <c r="D10194" s="3" t="s">
        <v>219</v>
      </c>
      <c r="E10194" s="1497">
        <v>300000</v>
      </c>
      <c r="F10194" s="1497"/>
      <c r="G10194" s="1378" t="s">
        <v>56</v>
      </c>
      <c r="H10194" s="3"/>
    </row>
    <row r="10195" spans="1:8">
      <c r="A10195" s="1379">
        <v>46171</v>
      </c>
      <c r="B10195" s="1378"/>
      <c r="C10195" s="1378" t="s">
        <v>537</v>
      </c>
      <c r="D10195" s="3" t="s">
        <v>4492</v>
      </c>
      <c r="E10195" s="1497">
        <v>200000</v>
      </c>
      <c r="F10195" s="1497"/>
      <c r="G10195" s="1378" t="s">
        <v>56</v>
      </c>
      <c r="H10195" s="3"/>
    </row>
    <row r="10196" spans="1:8">
      <c r="A10196" s="1379">
        <v>46171</v>
      </c>
      <c r="B10196" s="1378"/>
      <c r="C10196" s="1378" t="s">
        <v>537</v>
      </c>
      <c r="D10196" s="3" t="s">
        <v>193</v>
      </c>
      <c r="E10196" s="1497">
        <v>180000</v>
      </c>
      <c r="F10196" s="1497"/>
      <c r="G10196" s="1378" t="s">
        <v>56</v>
      </c>
      <c r="H10196" s="3"/>
    </row>
    <row r="10197" spans="1:8">
      <c r="A10197" s="1379">
        <v>46171</v>
      </c>
      <c r="B10197" s="1378"/>
      <c r="C10197" s="1378" t="s">
        <v>537</v>
      </c>
      <c r="D10197" s="3" t="s">
        <v>144</v>
      </c>
      <c r="E10197" s="1497">
        <v>160000</v>
      </c>
      <c r="F10197" s="1497"/>
      <c r="G10197" s="1378" t="s">
        <v>27</v>
      </c>
      <c r="H10197" s="3"/>
    </row>
    <row r="10198" spans="1:8" ht="15.75" thickBot="1">
      <c r="A10198" s="1379">
        <v>46171</v>
      </c>
      <c r="B10198" s="1378"/>
      <c r="C10198" s="1378" t="s">
        <v>537</v>
      </c>
      <c r="D10198" s="3" t="s">
        <v>144</v>
      </c>
      <c r="E10198" s="1497">
        <v>330000</v>
      </c>
      <c r="F10198" s="1497"/>
      <c r="G10198" s="1378" t="s">
        <v>56</v>
      </c>
      <c r="H10198" s="3"/>
    </row>
    <row r="10199" spans="1:8">
      <c r="A10199" s="1379"/>
      <c r="B10199" s="1378"/>
      <c r="C10199" s="1378"/>
      <c r="D10199" s="3"/>
      <c r="E10199" s="1497"/>
      <c r="F10199" s="1497"/>
      <c r="G10199" s="1378"/>
      <c r="H10199" s="1226">
        <v>46171</v>
      </c>
    </row>
    <row r="10200" spans="1:8">
      <c r="H10200" s="136" t="s">
        <v>4612</v>
      </c>
    </row>
    <row r="10201" spans="1:8">
      <c r="H10201" s="137" t="s">
        <v>4528</v>
      </c>
    </row>
    <row r="10202" spans="1:8">
      <c r="H10202" s="137" t="s">
        <v>4647</v>
      </c>
    </row>
    <row r="10203" spans="1:8">
      <c r="H10203" s="138" t="s">
        <v>3850</v>
      </c>
    </row>
    <row r="10204" spans="1:8">
      <c r="H10204" s="138" t="s">
        <v>4646</v>
      </c>
    </row>
    <row r="10205" spans="1:8">
      <c r="H10205" s="138" t="s">
        <v>4486</v>
      </c>
    </row>
    <row r="10206" spans="1:8">
      <c r="H10206" s="138" t="s">
        <v>4334</v>
      </c>
    </row>
    <row r="10207" spans="1:8">
      <c r="H10207" s="139" t="s">
        <v>4595</v>
      </c>
    </row>
    <row r="10208" spans="1:8">
      <c r="A10208" s="1380">
        <v>46174</v>
      </c>
      <c r="B10208" s="1381"/>
      <c r="C10208" s="1381" t="s">
        <v>77</v>
      </c>
      <c r="D10208" s="3" t="s">
        <v>4648</v>
      </c>
      <c r="E10208" s="1497"/>
      <c r="F10208" s="1497">
        <v>165000</v>
      </c>
      <c r="G10208" s="1381" t="s">
        <v>27</v>
      </c>
      <c r="H10208" s="126"/>
    </row>
    <row r="10209" spans="1:8">
      <c r="A10209" s="1380">
        <v>46174</v>
      </c>
      <c r="B10209" s="1381"/>
      <c r="C10209" s="1381" t="s">
        <v>79</v>
      </c>
      <c r="D10209" s="3" t="s">
        <v>2582</v>
      </c>
      <c r="E10209" s="1497">
        <v>78148</v>
      </c>
      <c r="F10209" s="1497"/>
      <c r="G10209" s="1381" t="s">
        <v>27</v>
      </c>
      <c r="H10209" s="3"/>
    </row>
    <row r="10210" spans="1:8">
      <c r="A10210" s="1380">
        <v>46174</v>
      </c>
      <c r="B10210" s="1381"/>
      <c r="C10210" s="1381" t="s">
        <v>205</v>
      </c>
      <c r="D10210" s="3" t="s">
        <v>45</v>
      </c>
      <c r="E10210" s="1497">
        <v>73000</v>
      </c>
      <c r="F10210" s="1497"/>
      <c r="G10210" s="1381" t="s">
        <v>27</v>
      </c>
      <c r="H10210" s="3"/>
    </row>
    <row r="10211" spans="1:8">
      <c r="A10211" s="1380">
        <v>46174</v>
      </c>
      <c r="B10211" s="1381"/>
      <c r="C10211" s="1381" t="s">
        <v>65</v>
      </c>
      <c r="D10211" s="3" t="s">
        <v>1217</v>
      </c>
      <c r="E10211" s="1497">
        <v>21218.34</v>
      </c>
      <c r="F10211" s="1497"/>
      <c r="G10211" s="1381" t="s">
        <v>27</v>
      </c>
      <c r="H10211" s="3"/>
    </row>
    <row r="10212" spans="1:8">
      <c r="A10212" s="1380">
        <v>46174</v>
      </c>
      <c r="B10212" s="1381"/>
      <c r="C10212" s="1381" t="s">
        <v>65</v>
      </c>
      <c r="D10212" s="3" t="s">
        <v>1217</v>
      </c>
      <c r="E10212" s="1497">
        <v>21218.34</v>
      </c>
      <c r="F10212" s="1497"/>
      <c r="G10212" s="1381" t="s">
        <v>27</v>
      </c>
      <c r="H10212" s="3"/>
    </row>
    <row r="10213" spans="1:8">
      <c r="A10213" s="1380">
        <v>46174</v>
      </c>
      <c r="B10213" s="1381"/>
      <c r="C10213" s="1381" t="s">
        <v>79</v>
      </c>
      <c r="D10213" s="3" t="s">
        <v>1217</v>
      </c>
      <c r="E10213" s="1497">
        <v>50210.44</v>
      </c>
      <c r="F10213" s="1497"/>
      <c r="G10213" s="1381" t="s">
        <v>27</v>
      </c>
      <c r="H10213" s="3"/>
    </row>
    <row r="10214" spans="1:8">
      <c r="A10214" s="1380">
        <v>46174</v>
      </c>
      <c r="B10214" s="1381"/>
      <c r="C10214" s="1381" t="s">
        <v>79</v>
      </c>
      <c r="D10214" s="3" t="s">
        <v>79</v>
      </c>
      <c r="E10214" s="1497">
        <v>45194.99</v>
      </c>
      <c r="F10214" s="1497"/>
      <c r="G10214" s="1381" t="s">
        <v>27</v>
      </c>
      <c r="H10214" s="3"/>
    </row>
    <row r="10215" spans="1:8">
      <c r="A10215" s="1380">
        <v>46174</v>
      </c>
      <c r="B10215" s="1381"/>
      <c r="C10215" s="1381" t="s">
        <v>79</v>
      </c>
      <c r="D10215" s="3" t="s">
        <v>79</v>
      </c>
      <c r="E10215" s="1497">
        <v>36270</v>
      </c>
      <c r="F10215" s="1497"/>
      <c r="G10215" s="1381" t="s">
        <v>27</v>
      </c>
      <c r="H10215" s="3"/>
    </row>
    <row r="10216" spans="1:8">
      <c r="A10216" s="1380">
        <v>46174</v>
      </c>
      <c r="B10216" s="1381"/>
      <c r="C10216" s="1381" t="s">
        <v>76</v>
      </c>
      <c r="D10216" s="3" t="s">
        <v>4541</v>
      </c>
      <c r="E10216" s="1497"/>
      <c r="F10216" s="1497">
        <v>2500000</v>
      </c>
      <c r="G10216" s="1381" t="s">
        <v>56</v>
      </c>
      <c r="H10216" s="3"/>
    </row>
    <row r="10217" spans="1:8">
      <c r="A10217" s="1380">
        <v>46174</v>
      </c>
      <c r="B10217" s="1381"/>
      <c r="C10217" s="1381" t="s">
        <v>205</v>
      </c>
      <c r="D10217" s="3" t="s">
        <v>4649</v>
      </c>
      <c r="E10217" s="1497">
        <v>14000</v>
      </c>
      <c r="F10217" s="1497"/>
      <c r="G10217" s="1381" t="s">
        <v>56</v>
      </c>
      <c r="H10217" s="45" t="s">
        <v>4650</v>
      </c>
    </row>
    <row r="10218" spans="1:8">
      <c r="A10218" s="1380">
        <v>46174</v>
      </c>
      <c r="B10218" s="1381"/>
      <c r="C10218" s="1381" t="s">
        <v>205</v>
      </c>
      <c r="D10218" s="3" t="s">
        <v>4649</v>
      </c>
      <c r="E10218" s="1497">
        <v>6000</v>
      </c>
      <c r="F10218" s="1497"/>
      <c r="G10218" s="1381" t="s">
        <v>56</v>
      </c>
      <c r="H10218" s="45" t="s">
        <v>4650</v>
      </c>
    </row>
    <row r="10219" spans="1:8">
      <c r="A10219" s="1380">
        <v>46174</v>
      </c>
      <c r="B10219" s="1381"/>
      <c r="C10219" s="1381" t="s">
        <v>77</v>
      </c>
      <c r="D10219" s="3" t="s">
        <v>4674</v>
      </c>
      <c r="E10219" s="1497"/>
      <c r="F10219" s="1497">
        <v>332000</v>
      </c>
      <c r="G10219" s="1381" t="s">
        <v>287</v>
      </c>
      <c r="H10219" s="45" t="s">
        <v>4651</v>
      </c>
    </row>
    <row r="10220" spans="1:8">
      <c r="A10220" s="1380">
        <v>46174</v>
      </c>
      <c r="B10220" s="1381"/>
      <c r="C10220" s="1381" t="s">
        <v>205</v>
      </c>
      <c r="D10220" s="3" t="s">
        <v>45</v>
      </c>
      <c r="E10220" s="1497">
        <v>332000</v>
      </c>
      <c r="F10220" s="1497"/>
      <c r="G10220" s="1381" t="s">
        <v>287</v>
      </c>
      <c r="H10220" s="3"/>
    </row>
    <row r="10221" spans="1:8">
      <c r="A10221" s="1397">
        <v>46174</v>
      </c>
      <c r="B10221" s="1381"/>
      <c r="C10221" s="1381" t="s">
        <v>77</v>
      </c>
      <c r="D10221" s="3" t="s">
        <v>4652</v>
      </c>
      <c r="E10221" s="1497"/>
      <c r="F10221" s="1497">
        <v>761530</v>
      </c>
      <c r="G10221" s="1381" t="s">
        <v>27</v>
      </c>
      <c r="H10221" s="3"/>
    </row>
    <row r="10222" spans="1:8">
      <c r="A10222" s="1397">
        <v>46174</v>
      </c>
      <c r="B10222" s="1381"/>
      <c r="C10222" s="1381" t="s">
        <v>1261</v>
      </c>
      <c r="D10222" s="3" t="s">
        <v>4653</v>
      </c>
      <c r="E10222" s="1497"/>
      <c r="F10222" s="1497">
        <v>202613</v>
      </c>
      <c r="G10222" s="1381" t="s">
        <v>27</v>
      </c>
      <c r="H10222" s="3"/>
    </row>
    <row r="10223" spans="1:8">
      <c r="A10223" s="1397">
        <v>46054</v>
      </c>
      <c r="B10223" s="1396"/>
      <c r="C10223" s="1396" t="s">
        <v>205</v>
      </c>
      <c r="D10223" s="3" t="s">
        <v>790</v>
      </c>
      <c r="E10223" s="1497">
        <v>286600</v>
      </c>
      <c r="F10223" s="1497"/>
      <c r="G10223" s="1396" t="s">
        <v>27</v>
      </c>
      <c r="H10223" s="3"/>
    </row>
    <row r="10224" spans="1:8">
      <c r="A10224" s="1398">
        <v>46054</v>
      </c>
      <c r="B10224" s="1399"/>
      <c r="C10224" s="1399"/>
      <c r="D10224" s="3" t="s">
        <v>904</v>
      </c>
      <c r="E10224" s="1497"/>
      <c r="F10224" s="1497">
        <v>79000</v>
      </c>
      <c r="G10224" s="1399" t="s">
        <v>56</v>
      </c>
      <c r="H10224" s="3"/>
    </row>
    <row r="10225" spans="1:8">
      <c r="A10225" s="1398">
        <v>46175</v>
      </c>
      <c r="B10225" s="1396"/>
      <c r="C10225" s="1396" t="s">
        <v>3896</v>
      </c>
      <c r="D10225" s="3" t="s">
        <v>3964</v>
      </c>
      <c r="E10225" s="1497">
        <v>40000</v>
      </c>
      <c r="F10225" s="1497"/>
      <c r="G10225" s="1399" t="s">
        <v>27</v>
      </c>
      <c r="H10225" s="3"/>
    </row>
    <row r="10226" spans="1:8">
      <c r="A10226" s="1398">
        <v>46175</v>
      </c>
      <c r="B10226" s="1396"/>
      <c r="C10226" s="1396" t="s">
        <v>205</v>
      </c>
      <c r="D10226" s="3" t="s">
        <v>48</v>
      </c>
      <c r="E10226" s="1497">
        <v>414682</v>
      </c>
      <c r="F10226" s="1497"/>
      <c r="G10226" s="1399" t="s">
        <v>27</v>
      </c>
      <c r="H10226" s="3"/>
    </row>
    <row r="10227" spans="1:8">
      <c r="A10227" s="1398">
        <v>46175</v>
      </c>
      <c r="B10227" s="1396"/>
      <c r="C10227" s="1399" t="s">
        <v>205</v>
      </c>
      <c r="D10227" s="3" t="s">
        <v>71</v>
      </c>
      <c r="E10227" s="1497">
        <v>155000</v>
      </c>
      <c r="F10227" s="1497"/>
      <c r="G10227" s="1399" t="s">
        <v>27</v>
      </c>
      <c r="H10227" s="3"/>
    </row>
    <row r="10228" spans="1:8">
      <c r="A10228" s="1398">
        <v>46175</v>
      </c>
      <c r="B10228" s="1399"/>
      <c r="C10228" s="1399" t="s">
        <v>205</v>
      </c>
      <c r="D10228" s="3" t="s">
        <v>71</v>
      </c>
      <c r="E10228" s="1497">
        <v>1727626.92</v>
      </c>
      <c r="F10228" s="1497"/>
      <c r="G10228" s="1399" t="s">
        <v>27</v>
      </c>
      <c r="H10228" s="3"/>
    </row>
    <row r="10229" spans="1:8">
      <c r="A10229" s="1398">
        <v>46175</v>
      </c>
      <c r="B10229" s="1399"/>
      <c r="C10229" s="1399" t="s">
        <v>205</v>
      </c>
      <c r="D10229" s="3" t="s">
        <v>71</v>
      </c>
      <c r="E10229" s="1497">
        <v>887000</v>
      </c>
      <c r="F10229" s="1497"/>
      <c r="G10229" s="1399" t="s">
        <v>27</v>
      </c>
      <c r="H10229" s="3"/>
    </row>
    <row r="10230" spans="1:8">
      <c r="A10230" s="1398">
        <v>46175</v>
      </c>
      <c r="B10230" s="1399"/>
      <c r="C10230" s="1399" t="s">
        <v>205</v>
      </c>
      <c r="D10230" s="3" t="s">
        <v>71</v>
      </c>
      <c r="E10230" s="1497">
        <v>870000</v>
      </c>
      <c r="F10230" s="1497"/>
      <c r="G10230" s="1399" t="s">
        <v>27</v>
      </c>
      <c r="H10230" s="3"/>
    </row>
    <row r="10231" spans="1:8">
      <c r="A10231" s="1398">
        <v>46175</v>
      </c>
      <c r="B10231" s="1399"/>
      <c r="C10231" s="1399" t="s">
        <v>55</v>
      </c>
      <c r="D10231" s="3" t="s">
        <v>4654</v>
      </c>
      <c r="E10231" s="1497">
        <v>8400</v>
      </c>
      <c r="F10231" s="1497"/>
      <c r="G10231" s="1399" t="s">
        <v>56</v>
      </c>
      <c r="H10231" s="3"/>
    </row>
    <row r="10232" spans="1:8">
      <c r="A10232" s="1398">
        <v>46175</v>
      </c>
      <c r="B10232" s="1399"/>
      <c r="C10232" s="1399" t="s">
        <v>205</v>
      </c>
      <c r="D10232" s="3" t="s">
        <v>4655</v>
      </c>
      <c r="E10232" s="1497">
        <v>4880</v>
      </c>
      <c r="F10232" s="1497"/>
      <c r="G10232" s="1399" t="s">
        <v>56</v>
      </c>
      <c r="H10232" s="3"/>
    </row>
    <row r="10233" spans="1:8">
      <c r="A10233" s="1398">
        <v>46175</v>
      </c>
      <c r="B10233" s="1399"/>
      <c r="C10233" s="1399" t="s">
        <v>92</v>
      </c>
      <c r="D10233" s="3" t="s">
        <v>4656</v>
      </c>
      <c r="E10233" s="1497"/>
      <c r="F10233" s="1497">
        <v>56800</v>
      </c>
      <c r="G10233" s="1399" t="s">
        <v>56</v>
      </c>
      <c r="H10233" s="3"/>
    </row>
    <row r="10234" spans="1:8">
      <c r="A10234" s="1401">
        <v>46176</v>
      </c>
      <c r="B10234" s="1399"/>
      <c r="C10234" s="1399" t="s">
        <v>77</v>
      </c>
      <c r="D10234" s="3" t="s">
        <v>4639</v>
      </c>
      <c r="E10234" s="1497"/>
      <c r="F10234" s="1497">
        <v>310100</v>
      </c>
      <c r="G10234" s="1399" t="s">
        <v>27</v>
      </c>
      <c r="H10234" s="3"/>
    </row>
    <row r="10235" spans="1:8">
      <c r="A10235" s="1401">
        <v>46176</v>
      </c>
      <c r="B10235" s="1399"/>
      <c r="C10235" s="1399" t="s">
        <v>90</v>
      </c>
      <c r="D10235" s="3" t="s">
        <v>4657</v>
      </c>
      <c r="E10235" s="1497">
        <v>150000</v>
      </c>
      <c r="F10235" s="1497"/>
      <c r="G10235" s="1399" t="s">
        <v>27</v>
      </c>
      <c r="H10235" s="3"/>
    </row>
    <row r="10236" spans="1:8">
      <c r="A10236" s="1401">
        <v>46176</v>
      </c>
      <c r="B10236" s="1399"/>
      <c r="C10236" s="1399" t="s">
        <v>94</v>
      </c>
      <c r="D10236" s="3" t="s">
        <v>4658</v>
      </c>
      <c r="E10236" s="1497">
        <v>95000</v>
      </c>
      <c r="F10236" s="1497"/>
      <c r="G10236" s="1403" t="s">
        <v>27</v>
      </c>
      <c r="H10236" s="3"/>
    </row>
    <row r="10237" spans="1:8">
      <c r="A10237" s="1402">
        <v>46176</v>
      </c>
      <c r="B10237" s="1403"/>
      <c r="C10237" s="1403" t="s">
        <v>831</v>
      </c>
      <c r="D10237" s="3" t="s">
        <v>2561</v>
      </c>
      <c r="E10237" s="1497">
        <v>47000</v>
      </c>
      <c r="F10237" s="1497"/>
      <c r="G10237" s="1403" t="s">
        <v>56</v>
      </c>
      <c r="H10237" s="45" t="s">
        <v>2198</v>
      </c>
    </row>
    <row r="10238" spans="1:8">
      <c r="A10238" s="1402">
        <v>46176</v>
      </c>
      <c r="B10238" s="1403"/>
      <c r="C10238" s="1403" t="s">
        <v>86</v>
      </c>
      <c r="D10238" s="3" t="s">
        <v>104</v>
      </c>
      <c r="E10238" s="1497">
        <v>50000</v>
      </c>
      <c r="F10238" s="1497"/>
      <c r="G10238" s="1403" t="s">
        <v>56</v>
      </c>
      <c r="H10238" s="45" t="s">
        <v>2198</v>
      </c>
    </row>
    <row r="10239" spans="1:8">
      <c r="A10239" s="1402">
        <v>46177</v>
      </c>
      <c r="B10239" s="1400"/>
      <c r="C10239" s="1400" t="s">
        <v>94</v>
      </c>
      <c r="D10239" s="3" t="s">
        <v>3545</v>
      </c>
      <c r="E10239" s="1497">
        <v>48991.74</v>
      </c>
      <c r="F10239" s="1497"/>
      <c r="G10239" s="1403" t="s">
        <v>27</v>
      </c>
      <c r="H10239" s="3"/>
    </row>
    <row r="10240" spans="1:8">
      <c r="A10240" s="1402">
        <v>46177</v>
      </c>
      <c r="B10240" s="1400"/>
      <c r="C10240" s="1400" t="s">
        <v>55</v>
      </c>
      <c r="D10240" s="3" t="s">
        <v>261</v>
      </c>
      <c r="E10240" s="1497">
        <v>30000</v>
      </c>
      <c r="F10240" s="1497"/>
      <c r="G10240" s="1403" t="s">
        <v>27</v>
      </c>
      <c r="H10240" s="3"/>
    </row>
    <row r="10241" spans="1:8">
      <c r="A10241" s="1402">
        <v>46177</v>
      </c>
      <c r="B10241" s="1403"/>
      <c r="C10241" s="1403" t="s">
        <v>205</v>
      </c>
      <c r="D10241" s="3" t="s">
        <v>53</v>
      </c>
      <c r="E10241" s="1497">
        <v>34590</v>
      </c>
      <c r="F10241" s="1497"/>
      <c r="G10241" s="1403" t="s">
        <v>27</v>
      </c>
      <c r="H10241" s="3"/>
    </row>
    <row r="10242" spans="1:8">
      <c r="A10242" s="1402">
        <v>46177</v>
      </c>
      <c r="B10242" s="1403"/>
      <c r="C10242" s="1403" t="s">
        <v>2257</v>
      </c>
      <c r="D10242" s="3" t="s">
        <v>4659</v>
      </c>
      <c r="E10242" s="1497"/>
      <c r="F10242" s="1497">
        <v>135900</v>
      </c>
      <c r="G10242" s="1403" t="s">
        <v>56</v>
      </c>
      <c r="H10242" s="3"/>
    </row>
    <row r="10243" spans="1:8">
      <c r="A10243" s="1402">
        <v>46177</v>
      </c>
      <c r="B10243" s="1403"/>
      <c r="C10243" s="1403" t="s">
        <v>77</v>
      </c>
      <c r="D10243" s="15" t="s">
        <v>4660</v>
      </c>
      <c r="E10243" s="1497"/>
      <c r="F10243" s="1497">
        <v>750000</v>
      </c>
      <c r="G10243" s="1403" t="s">
        <v>56</v>
      </c>
      <c r="H10243" s="3"/>
    </row>
    <row r="10244" spans="1:8">
      <c r="A10244" s="1402">
        <v>46177</v>
      </c>
      <c r="B10244" s="1403"/>
      <c r="C10244" s="1403" t="s">
        <v>205</v>
      </c>
      <c r="D10244" s="3" t="s">
        <v>4521</v>
      </c>
      <c r="E10244" s="1497">
        <v>96000</v>
      </c>
      <c r="F10244" s="1497"/>
      <c r="G10244" s="1403" t="s">
        <v>56</v>
      </c>
      <c r="H10244" s="3"/>
    </row>
    <row r="10245" spans="1:8">
      <c r="A10245" s="1402">
        <v>46177</v>
      </c>
      <c r="B10245" s="1403"/>
      <c r="C10245" s="1403" t="s">
        <v>92</v>
      </c>
      <c r="D10245" s="3" t="s">
        <v>4661</v>
      </c>
      <c r="E10245" s="1497"/>
      <c r="F10245" s="1497">
        <v>231350</v>
      </c>
      <c r="G10245" s="1403" t="s">
        <v>56</v>
      </c>
      <c r="H10245" s="3"/>
    </row>
    <row r="10246" spans="1:8">
      <c r="A10246" s="1402">
        <v>46177</v>
      </c>
      <c r="B10246" s="1403"/>
      <c r="C10246" s="1403" t="s">
        <v>205</v>
      </c>
      <c r="D10246" s="15" t="s">
        <v>246</v>
      </c>
      <c r="E10246" s="1497">
        <v>231350</v>
      </c>
      <c r="F10246" s="1497"/>
      <c r="G10246" s="1403" t="s">
        <v>56</v>
      </c>
      <c r="H10246" s="3"/>
    </row>
    <row r="10247" spans="1:8">
      <c r="A10247" s="1402">
        <v>46177</v>
      </c>
      <c r="B10247" s="1403"/>
      <c r="C10247" s="1403" t="s">
        <v>205</v>
      </c>
      <c r="D10247" s="15" t="s">
        <v>48</v>
      </c>
      <c r="E10247" s="1497">
        <v>116000</v>
      </c>
      <c r="F10247" s="1497"/>
      <c r="G10247" s="1403" t="s">
        <v>56</v>
      </c>
      <c r="H10247" s="3"/>
    </row>
    <row r="10248" spans="1:8">
      <c r="A10248" s="1402">
        <v>46177</v>
      </c>
      <c r="B10248" s="1403"/>
      <c r="C10248" s="1403" t="s">
        <v>176</v>
      </c>
      <c r="D10248" s="3" t="s">
        <v>2848</v>
      </c>
      <c r="E10248" s="1497">
        <v>40000</v>
      </c>
      <c r="F10248" s="1497"/>
      <c r="G10248" s="1403" t="s">
        <v>27</v>
      </c>
      <c r="H10248" s="3"/>
    </row>
    <row r="10249" spans="1:8">
      <c r="A10249" s="1405">
        <v>46177</v>
      </c>
      <c r="B10249" s="1403"/>
      <c r="C10249" s="1403" t="s">
        <v>79</v>
      </c>
      <c r="D10249" s="3" t="s">
        <v>3889</v>
      </c>
      <c r="E10249" s="1497">
        <v>29010</v>
      </c>
      <c r="F10249" s="1497"/>
      <c r="G10249" s="1403" t="s">
        <v>27</v>
      </c>
      <c r="H10249" s="3"/>
    </row>
    <row r="10250" spans="1:8">
      <c r="A10250" s="1405">
        <v>46177</v>
      </c>
      <c r="B10250" s="1403"/>
      <c r="C10250" s="1403" t="s">
        <v>79</v>
      </c>
      <c r="D10250" s="3" t="s">
        <v>4667</v>
      </c>
      <c r="E10250" s="70">
        <v>621.07000000000005</v>
      </c>
      <c r="F10250" s="70"/>
      <c r="G10250" s="70" t="s">
        <v>4071</v>
      </c>
      <c r="H10250" s="3"/>
    </row>
    <row r="10251" spans="1:8">
      <c r="A10251" s="1405">
        <v>46177</v>
      </c>
      <c r="B10251" s="1404"/>
      <c r="C10251" s="1404" t="s">
        <v>79</v>
      </c>
      <c r="D10251" s="3" t="s">
        <v>1218</v>
      </c>
      <c r="E10251" s="70">
        <v>34.85</v>
      </c>
      <c r="F10251" s="70"/>
      <c r="G10251" s="70" t="s">
        <v>4071</v>
      </c>
      <c r="H10251" s="3"/>
    </row>
    <row r="10252" spans="1:8">
      <c r="A10252" s="1405">
        <v>46177</v>
      </c>
      <c r="B10252" s="1404"/>
      <c r="C10252" s="1404" t="s">
        <v>185</v>
      </c>
      <c r="D10252" s="3" t="s">
        <v>4669</v>
      </c>
      <c r="E10252" s="70">
        <v>640.13</v>
      </c>
      <c r="F10252" s="70"/>
      <c r="G10252" s="70" t="s">
        <v>4071</v>
      </c>
      <c r="H10252" s="1408" t="s">
        <v>4671</v>
      </c>
    </row>
    <row r="10253" spans="1:8">
      <c r="A10253" s="1405">
        <v>46178</v>
      </c>
      <c r="B10253" s="1404"/>
      <c r="C10253" s="1404" t="s">
        <v>205</v>
      </c>
      <c r="D10253" s="3" t="s">
        <v>4668</v>
      </c>
      <c r="E10253" s="1497">
        <v>7556</v>
      </c>
      <c r="F10253" s="1497"/>
      <c r="G10253" s="1404" t="s">
        <v>56</v>
      </c>
      <c r="H10253" s="3"/>
    </row>
    <row r="10254" spans="1:8">
      <c r="A10254" s="1405">
        <v>46178</v>
      </c>
      <c r="B10254" s="1404"/>
      <c r="C10254" s="1404" t="s">
        <v>205</v>
      </c>
      <c r="D10254" s="3" t="s">
        <v>913</v>
      </c>
      <c r="E10254" s="1497">
        <v>166217.57</v>
      </c>
      <c r="F10254" s="1497"/>
      <c r="G10254" s="1404" t="s">
        <v>27</v>
      </c>
      <c r="H10254" s="3"/>
    </row>
    <row r="10255" spans="1:8">
      <c r="A10255" s="1405">
        <v>46178</v>
      </c>
      <c r="B10255" s="1404"/>
      <c r="C10255" s="1404" t="s">
        <v>92</v>
      </c>
      <c r="D10255" s="3" t="s">
        <v>317</v>
      </c>
      <c r="E10255" s="1497"/>
      <c r="F10255" s="1497">
        <v>58000</v>
      </c>
      <c r="G10255" s="1404" t="s">
        <v>56</v>
      </c>
      <c r="H10255" s="3"/>
    </row>
    <row r="10256" spans="1:8">
      <c r="A10256" s="1405">
        <v>46178</v>
      </c>
      <c r="B10256" s="1404"/>
      <c r="C10256" s="1404" t="s">
        <v>537</v>
      </c>
      <c r="D10256" s="15" t="s">
        <v>219</v>
      </c>
      <c r="E10256" s="1497">
        <v>375000</v>
      </c>
      <c r="F10256" s="1497"/>
      <c r="G10256" s="1404" t="s">
        <v>56</v>
      </c>
      <c r="H10256" s="3"/>
    </row>
    <row r="10257" spans="1:8">
      <c r="A10257" s="1405">
        <v>46178</v>
      </c>
      <c r="B10257" s="1404"/>
      <c r="C10257" s="1404" t="s">
        <v>537</v>
      </c>
      <c r="D10257" s="15" t="s">
        <v>4492</v>
      </c>
      <c r="E10257" s="1497">
        <v>250000</v>
      </c>
      <c r="F10257" s="1497"/>
      <c r="G10257" s="1404" t="s">
        <v>56</v>
      </c>
      <c r="H10257" s="3"/>
    </row>
    <row r="10258" spans="1:8">
      <c r="A10258" s="1405">
        <v>46178</v>
      </c>
      <c r="B10258" s="1404"/>
      <c r="C10258" s="1404" t="s">
        <v>537</v>
      </c>
      <c r="D10258" s="15" t="s">
        <v>219</v>
      </c>
      <c r="E10258" s="1497">
        <v>180000</v>
      </c>
      <c r="F10258" s="1497"/>
      <c r="G10258" s="1404" t="s">
        <v>56</v>
      </c>
      <c r="H10258" s="3"/>
    </row>
    <row r="10259" spans="1:8">
      <c r="A10259" s="1405">
        <v>46178</v>
      </c>
      <c r="B10259" s="1404"/>
      <c r="C10259" s="1404" t="s">
        <v>537</v>
      </c>
      <c r="D10259" s="15" t="s">
        <v>144</v>
      </c>
      <c r="E10259" s="1497">
        <v>615000</v>
      </c>
      <c r="F10259" s="1497"/>
      <c r="G10259" s="1404" t="s">
        <v>56</v>
      </c>
      <c r="H10259" s="3"/>
    </row>
    <row r="10260" spans="1:8" ht="15.75" thickBot="1">
      <c r="A10260" s="1405">
        <v>46178</v>
      </c>
      <c r="B10260" s="1404"/>
      <c r="C10260" s="1404" t="s">
        <v>86</v>
      </c>
      <c r="D10260" s="3" t="s">
        <v>4670</v>
      </c>
      <c r="E10260" s="1497">
        <v>100000</v>
      </c>
      <c r="F10260" s="1497"/>
      <c r="G10260" s="1404" t="s">
        <v>56</v>
      </c>
      <c r="H10260" s="3"/>
    </row>
    <row r="10261" spans="1:8">
      <c r="A10261" s="1404"/>
      <c r="B10261" s="1404"/>
      <c r="C10261" s="1404"/>
      <c r="D10261" s="3"/>
      <c r="E10261" s="1497"/>
      <c r="F10261" s="1497"/>
      <c r="G10261" s="1404"/>
      <c r="H10261" s="1226">
        <v>46178</v>
      </c>
    </row>
    <row r="10262" spans="1:8">
      <c r="H10262" s="136" t="s">
        <v>4612</v>
      </c>
    </row>
    <row r="10263" spans="1:8">
      <c r="H10263" s="137" t="s">
        <v>4673</v>
      </c>
    </row>
    <row r="10264" spans="1:8">
      <c r="H10264" s="137" t="s">
        <v>4672</v>
      </c>
    </row>
    <row r="10265" spans="1:8">
      <c r="H10265" s="138" t="s">
        <v>3850</v>
      </c>
    </row>
    <row r="10266" spans="1:8">
      <c r="H10266" s="138" t="s">
        <v>4681</v>
      </c>
    </row>
    <row r="10267" spans="1:8">
      <c r="H10267" s="138" t="s">
        <v>4486</v>
      </c>
    </row>
    <row r="10268" spans="1:8">
      <c r="H10268" s="138" t="s">
        <v>4334</v>
      </c>
    </row>
    <row r="10269" spans="1:8">
      <c r="H10269" s="139" t="s">
        <v>3933</v>
      </c>
    </row>
    <row r="10270" spans="1:8">
      <c r="A10270" s="1406">
        <v>46181</v>
      </c>
      <c r="B10270" s="1407"/>
      <c r="C10270" s="1407" t="s">
        <v>205</v>
      </c>
      <c r="D10270" s="3" t="s">
        <v>913</v>
      </c>
      <c r="E10270" s="1497">
        <v>100000</v>
      </c>
      <c r="F10270" s="1497"/>
      <c r="G10270" s="1407" t="s">
        <v>27</v>
      </c>
      <c r="H10270" s="126"/>
    </row>
    <row r="10271" spans="1:8">
      <c r="A10271" s="1406">
        <v>46181</v>
      </c>
      <c r="B10271" s="1407"/>
      <c r="C10271" s="1407" t="s">
        <v>205</v>
      </c>
      <c r="D10271" s="3" t="s">
        <v>913</v>
      </c>
      <c r="E10271" s="1497">
        <v>414683</v>
      </c>
      <c r="F10271" s="1497"/>
      <c r="G10271" s="1407" t="s">
        <v>27</v>
      </c>
      <c r="H10271" s="126"/>
    </row>
    <row r="10272" spans="1:8">
      <c r="A10272" s="1406">
        <v>46181</v>
      </c>
      <c r="B10272" s="1407"/>
      <c r="C10272" s="1407" t="s">
        <v>79</v>
      </c>
      <c r="D10272" s="3" t="s">
        <v>79</v>
      </c>
      <c r="E10272" s="1497">
        <v>56682.62</v>
      </c>
      <c r="F10272" s="1497"/>
      <c r="G10272" s="1407"/>
      <c r="H10272" s="3"/>
    </row>
    <row r="10273" spans="1:8">
      <c r="A10273" s="1406">
        <v>46181</v>
      </c>
      <c r="B10273" s="1407"/>
      <c r="C10273" s="1407" t="s">
        <v>86</v>
      </c>
      <c r="D10273" s="3" t="s">
        <v>3749</v>
      </c>
      <c r="E10273" s="1497">
        <v>83737.990000000005</v>
      </c>
      <c r="F10273" s="1497"/>
      <c r="G10273" s="1407" t="s">
        <v>27</v>
      </c>
      <c r="H10273" s="3"/>
    </row>
    <row r="10274" spans="1:8">
      <c r="A10274" s="1406">
        <v>46181</v>
      </c>
      <c r="B10274" s="1407"/>
      <c r="C10274" s="1407" t="s">
        <v>77</v>
      </c>
      <c r="D10274" s="3" t="s">
        <v>4675</v>
      </c>
      <c r="E10274" s="1497"/>
      <c r="F10274" s="1497">
        <v>35000</v>
      </c>
      <c r="G10274" s="1407" t="s">
        <v>56</v>
      </c>
      <c r="H10274" s="3"/>
    </row>
    <row r="10275" spans="1:8">
      <c r="A10275" s="1406">
        <v>46181</v>
      </c>
      <c r="B10275" s="1407"/>
      <c r="C10275" s="1407" t="s">
        <v>92</v>
      </c>
      <c r="D10275" s="3" t="s">
        <v>3468</v>
      </c>
      <c r="E10275" s="1497"/>
      <c r="F10275" s="1497">
        <v>56800</v>
      </c>
      <c r="G10275" s="1407" t="s">
        <v>56</v>
      </c>
      <c r="H10275" s="3"/>
    </row>
    <row r="10276" spans="1:8">
      <c r="A10276" s="1406">
        <v>46181</v>
      </c>
      <c r="B10276" s="1407"/>
      <c r="C10276" s="1407" t="s">
        <v>86</v>
      </c>
      <c r="D10276" s="3" t="s">
        <v>4165</v>
      </c>
      <c r="E10276" s="1497">
        <v>40838</v>
      </c>
      <c r="F10276" s="1497"/>
      <c r="G10276" s="1407" t="s">
        <v>56</v>
      </c>
      <c r="H10276" s="3"/>
    </row>
    <row r="10277" spans="1:8">
      <c r="A10277" s="1406">
        <v>46181</v>
      </c>
      <c r="B10277" s="1407"/>
      <c r="C10277" s="1407" t="s">
        <v>55</v>
      </c>
      <c r="D10277" s="15" t="s">
        <v>225</v>
      </c>
      <c r="E10277" s="1497">
        <v>6000</v>
      </c>
      <c r="F10277" s="1497"/>
      <c r="G10277" s="1407" t="s">
        <v>56</v>
      </c>
      <c r="H10277" s="3"/>
    </row>
    <row r="10278" spans="1:8">
      <c r="A10278" s="1406">
        <v>46181</v>
      </c>
      <c r="B10278" s="1407"/>
      <c r="C10278" s="1407" t="s">
        <v>55</v>
      </c>
      <c r="D10278" s="3" t="s">
        <v>4676</v>
      </c>
      <c r="E10278" s="1497">
        <v>2800</v>
      </c>
      <c r="F10278" s="1497"/>
      <c r="G10278" s="1407" t="s">
        <v>56</v>
      </c>
      <c r="H10278" s="45" t="s">
        <v>618</v>
      </c>
    </row>
    <row r="10279" spans="1:8">
      <c r="A10279" s="1406">
        <v>46181</v>
      </c>
      <c r="B10279" s="1407"/>
      <c r="C10279" s="1407" t="s">
        <v>150</v>
      </c>
      <c r="D10279" s="3" t="s">
        <v>3963</v>
      </c>
      <c r="E10279" s="1497">
        <v>391711.79</v>
      </c>
      <c r="F10279" s="1497"/>
      <c r="G10279" s="1407" t="s">
        <v>27</v>
      </c>
      <c r="H10279" s="3"/>
    </row>
    <row r="10280" spans="1:8">
      <c r="A10280" s="1406">
        <v>46181</v>
      </c>
      <c r="B10280" s="1407"/>
      <c r="C10280" s="1409" t="s">
        <v>150</v>
      </c>
      <c r="D10280" s="3" t="s">
        <v>4588</v>
      </c>
      <c r="E10280" s="1497">
        <v>82833.98</v>
      </c>
      <c r="F10280" s="1497"/>
      <c r="G10280" s="1407" t="s">
        <v>27</v>
      </c>
      <c r="H10280" s="3"/>
    </row>
    <row r="10281" spans="1:8">
      <c r="A10281" s="1406">
        <v>46181</v>
      </c>
      <c r="B10281" s="1407"/>
      <c r="C10281" s="1409" t="s">
        <v>150</v>
      </c>
      <c r="D10281" s="3" t="s">
        <v>4677</v>
      </c>
      <c r="E10281" s="1497">
        <v>3053.13</v>
      </c>
      <c r="F10281" s="1497"/>
      <c r="G10281" s="1407" t="s">
        <v>27</v>
      </c>
      <c r="H10281" s="3"/>
    </row>
    <row r="10282" spans="1:8">
      <c r="A10282" s="1410">
        <v>46181</v>
      </c>
      <c r="B10282" s="1407"/>
      <c r="C10282" s="1409" t="s">
        <v>150</v>
      </c>
      <c r="D10282" s="3" t="s">
        <v>4678</v>
      </c>
      <c r="E10282" s="1497">
        <v>2735.76</v>
      </c>
      <c r="F10282" s="1497"/>
      <c r="G10282" s="1407" t="s">
        <v>27</v>
      </c>
      <c r="H10282" s="3"/>
    </row>
    <row r="10283" spans="1:8">
      <c r="A10283" s="1410">
        <v>46181</v>
      </c>
      <c r="B10283" s="1409"/>
      <c r="C10283" s="1409" t="s">
        <v>55</v>
      </c>
      <c r="D10283" s="3" t="s">
        <v>4676</v>
      </c>
      <c r="E10283" s="1497">
        <v>2700</v>
      </c>
      <c r="F10283" s="1497"/>
      <c r="G10283" s="1409" t="s">
        <v>56</v>
      </c>
      <c r="H10283" s="167" t="s">
        <v>618</v>
      </c>
    </row>
    <row r="10284" spans="1:8">
      <c r="A10284" s="1413"/>
      <c r="B10284" s="1414"/>
      <c r="C10284" s="1414"/>
      <c r="D10284" s="3" t="s">
        <v>2559</v>
      </c>
      <c r="E10284" s="1497"/>
      <c r="F10284" s="1497">
        <v>908000</v>
      </c>
      <c r="G10284" s="1414" t="s">
        <v>287</v>
      </c>
      <c r="H10284" s="45"/>
    </row>
    <row r="10285" spans="1:8">
      <c r="A10285" s="1410">
        <v>46182</v>
      </c>
      <c r="B10285" s="1409"/>
      <c r="C10285" s="1409" t="s">
        <v>79</v>
      </c>
      <c r="D10285" s="3" t="s">
        <v>79</v>
      </c>
      <c r="E10285" s="1497">
        <v>50000</v>
      </c>
      <c r="F10285" s="1497"/>
      <c r="G10285" s="1409" t="s">
        <v>56</v>
      </c>
      <c r="H10285" s="3"/>
    </row>
    <row r="10286" spans="1:8">
      <c r="A10286" s="1410">
        <v>46182</v>
      </c>
      <c r="B10286" s="1409"/>
      <c r="C10286" s="1409" t="s">
        <v>79</v>
      </c>
      <c r="D10286" s="3" t="s">
        <v>79</v>
      </c>
      <c r="E10286" s="1497">
        <v>20000</v>
      </c>
      <c r="F10286" s="1497"/>
      <c r="G10286" s="1409" t="s">
        <v>56</v>
      </c>
      <c r="H10286" s="3"/>
    </row>
    <row r="10287" spans="1:8">
      <c r="A10287" s="1410">
        <v>46182</v>
      </c>
      <c r="B10287" s="1409"/>
      <c r="C10287" s="1409" t="s">
        <v>77</v>
      </c>
      <c r="D10287" s="3" t="s">
        <v>4679</v>
      </c>
      <c r="E10287" s="1497"/>
      <c r="F10287" s="1497">
        <v>280000</v>
      </c>
      <c r="G10287" s="1409" t="s">
        <v>56</v>
      </c>
      <c r="H10287" s="3"/>
    </row>
    <row r="10288" spans="1:8">
      <c r="A10288" s="1410">
        <v>46182</v>
      </c>
      <c r="B10288" s="1409"/>
      <c r="C10288" s="1409" t="s">
        <v>77</v>
      </c>
      <c r="D10288" s="15" t="s">
        <v>4639</v>
      </c>
      <c r="E10288" s="1497"/>
      <c r="F10288" s="1497">
        <v>51100</v>
      </c>
      <c r="G10288" s="1409" t="s">
        <v>56</v>
      </c>
      <c r="H10288" s="3"/>
    </row>
    <row r="10289" spans="1:8">
      <c r="A10289" s="1410">
        <v>46182</v>
      </c>
      <c r="B10289" s="1409"/>
      <c r="C10289" s="1409" t="s">
        <v>205</v>
      </c>
      <c r="D10289" s="15" t="s">
        <v>38</v>
      </c>
      <c r="E10289" s="1497">
        <v>6800</v>
      </c>
      <c r="F10289" s="1497"/>
      <c r="G10289" s="1409" t="s">
        <v>56</v>
      </c>
      <c r="H10289" s="3"/>
    </row>
    <row r="10290" spans="1:8">
      <c r="A10290" s="1410">
        <v>46182</v>
      </c>
      <c r="B10290" s="1409"/>
      <c r="C10290" s="1409" t="s">
        <v>55</v>
      </c>
      <c r="D10290" s="3" t="s">
        <v>562</v>
      </c>
      <c r="E10290" s="1497">
        <v>6000</v>
      </c>
      <c r="F10290" s="1497"/>
      <c r="G10290" s="1409" t="s">
        <v>56</v>
      </c>
      <c r="H10290" s="3"/>
    </row>
    <row r="10291" spans="1:8">
      <c r="A10291" s="1410">
        <v>46182</v>
      </c>
      <c r="B10291" s="1409"/>
      <c r="C10291" s="1409" t="s">
        <v>77</v>
      </c>
      <c r="D10291" s="3" t="s">
        <v>4679</v>
      </c>
      <c r="E10291" s="1497"/>
      <c r="F10291" s="1497">
        <v>26300</v>
      </c>
      <c r="G10291" s="1409" t="s">
        <v>56</v>
      </c>
      <c r="H10291" s="3"/>
    </row>
    <row r="10292" spans="1:8">
      <c r="A10292" s="1411">
        <v>46183</v>
      </c>
      <c r="B10292" s="1409"/>
      <c r="C10292" s="1409" t="s">
        <v>90</v>
      </c>
      <c r="D10292" s="3" t="s">
        <v>4680</v>
      </c>
      <c r="E10292" s="1497">
        <v>3120</v>
      </c>
      <c r="F10292" s="1497"/>
      <c r="G10292" s="1409" t="s">
        <v>27</v>
      </c>
      <c r="H10292" s="3"/>
    </row>
    <row r="10293" spans="1:8">
      <c r="A10293" s="1411">
        <v>46183</v>
      </c>
      <c r="B10293" s="1409"/>
      <c r="C10293" s="1409" t="s">
        <v>205</v>
      </c>
      <c r="D10293" s="3" t="s">
        <v>63</v>
      </c>
      <c r="E10293" s="1497">
        <v>28350</v>
      </c>
      <c r="F10293" s="1497"/>
      <c r="G10293" s="1409" t="s">
        <v>56</v>
      </c>
      <c r="H10293" s="3"/>
    </row>
    <row r="10294" spans="1:8">
      <c r="A10294" s="1411">
        <v>46183</v>
      </c>
      <c r="B10294" s="1412"/>
      <c r="C10294" s="1412" t="s">
        <v>205</v>
      </c>
      <c r="D10294" s="3" t="s">
        <v>38</v>
      </c>
      <c r="E10294" s="1497">
        <v>4056</v>
      </c>
      <c r="F10294" s="1497"/>
      <c r="G10294" s="1412" t="s">
        <v>56</v>
      </c>
      <c r="H10294" s="3"/>
    </row>
    <row r="10295" spans="1:8">
      <c r="A10295" s="1413">
        <v>46183</v>
      </c>
      <c r="B10295" s="1412"/>
      <c r="C10295" s="1412" t="s">
        <v>205</v>
      </c>
      <c r="D10295" s="3" t="s">
        <v>448</v>
      </c>
      <c r="E10295" s="1497">
        <v>20200</v>
      </c>
      <c r="F10295" s="1497"/>
      <c r="G10295" s="1412" t="s">
        <v>27</v>
      </c>
      <c r="H10295" s="3"/>
    </row>
    <row r="10296" spans="1:8">
      <c r="A10296" s="1413">
        <v>46184</v>
      </c>
      <c r="B10296" s="1412"/>
      <c r="C10296" s="1412" t="s">
        <v>94</v>
      </c>
      <c r="D10296" s="3" t="s">
        <v>1687</v>
      </c>
      <c r="E10296" s="1497">
        <v>106195.74</v>
      </c>
      <c r="F10296" s="1497"/>
      <c r="G10296" s="1412" t="s">
        <v>27</v>
      </c>
      <c r="H10296" s="3"/>
    </row>
    <row r="10297" spans="1:8">
      <c r="A10297" s="1413">
        <v>46184</v>
      </c>
      <c r="B10297" s="1412"/>
      <c r="C10297" s="1412" t="s">
        <v>55</v>
      </c>
      <c r="D10297" s="3" t="s">
        <v>4558</v>
      </c>
      <c r="E10297" s="1497">
        <v>9000</v>
      </c>
      <c r="F10297" s="1497"/>
      <c r="G10297" s="1412" t="s">
        <v>56</v>
      </c>
      <c r="H10297" s="3"/>
    </row>
    <row r="10298" spans="1:8">
      <c r="A10298" s="1413">
        <v>46184</v>
      </c>
      <c r="B10298" s="1414"/>
      <c r="C10298" s="1414" t="s">
        <v>92</v>
      </c>
      <c r="D10298" s="3" t="s">
        <v>3560</v>
      </c>
      <c r="E10298" s="1497"/>
      <c r="F10298" s="1497">
        <v>49800</v>
      </c>
      <c r="G10298" s="1414" t="s">
        <v>56</v>
      </c>
      <c r="H10298" s="3"/>
    </row>
    <row r="10299" spans="1:8">
      <c r="A10299" s="1413">
        <v>46184</v>
      </c>
      <c r="B10299" s="1414"/>
      <c r="C10299" s="1414" t="s">
        <v>90</v>
      </c>
      <c r="D10299" s="3" t="s">
        <v>1951</v>
      </c>
      <c r="E10299" s="1497">
        <v>30000</v>
      </c>
      <c r="F10299" s="1497"/>
      <c r="G10299" s="1414" t="s">
        <v>56</v>
      </c>
      <c r="H10299" s="3"/>
    </row>
    <row r="10300" spans="1:8">
      <c r="A10300" s="1416">
        <v>46184</v>
      </c>
      <c r="B10300" s="1414"/>
      <c r="C10300" s="1414" t="s">
        <v>205</v>
      </c>
      <c r="D10300" s="3" t="s">
        <v>38</v>
      </c>
      <c r="E10300" s="1497">
        <v>11200</v>
      </c>
      <c r="F10300" s="1497"/>
      <c r="G10300" s="1414" t="s">
        <v>56</v>
      </c>
      <c r="H10300" s="3"/>
    </row>
    <row r="10301" spans="1:8">
      <c r="A10301" s="1416">
        <v>46184</v>
      </c>
      <c r="B10301" s="1414"/>
      <c r="C10301" s="1414" t="s">
        <v>1261</v>
      </c>
      <c r="D10301" s="3" t="s">
        <v>4682</v>
      </c>
      <c r="E10301" s="1497"/>
      <c r="F10301" s="1497">
        <v>100</v>
      </c>
      <c r="G10301" s="1414" t="s">
        <v>781</v>
      </c>
      <c r="H10301" s="3"/>
    </row>
    <row r="10302" spans="1:8">
      <c r="A10302" s="1416">
        <v>46185</v>
      </c>
      <c r="B10302" s="1414"/>
      <c r="C10302" s="1414" t="s">
        <v>1261</v>
      </c>
      <c r="D10302" s="3" t="s">
        <v>4683</v>
      </c>
      <c r="E10302" s="1497"/>
      <c r="F10302" s="1497">
        <v>769699.5</v>
      </c>
      <c r="G10302" s="1414" t="s">
        <v>56</v>
      </c>
      <c r="H10302" s="3"/>
    </row>
    <row r="10303" spans="1:8">
      <c r="A10303" s="1416">
        <v>46185</v>
      </c>
      <c r="B10303" s="1414"/>
      <c r="C10303" s="1414" t="s">
        <v>409</v>
      </c>
      <c r="D10303" s="3" t="s">
        <v>4661</v>
      </c>
      <c r="E10303" s="1497"/>
      <c r="F10303" s="1497">
        <v>245000</v>
      </c>
      <c r="G10303" s="1415" t="s">
        <v>56</v>
      </c>
      <c r="H10303" s="3"/>
    </row>
    <row r="10304" spans="1:8">
      <c r="A10304" s="1416">
        <v>46185</v>
      </c>
      <c r="B10304" s="1414"/>
      <c r="C10304" s="1414" t="s">
        <v>205</v>
      </c>
      <c r="D10304" s="3" t="s">
        <v>246</v>
      </c>
      <c r="E10304" s="1497">
        <v>245000</v>
      </c>
      <c r="F10304" s="1497"/>
      <c r="G10304" s="1414" t="s">
        <v>56</v>
      </c>
      <c r="H10304" s="3"/>
    </row>
    <row r="10305" spans="1:8">
      <c r="A10305" s="1416">
        <v>46185</v>
      </c>
      <c r="B10305" s="1415"/>
      <c r="C10305" s="1415" t="s">
        <v>537</v>
      </c>
      <c r="D10305" s="3" t="s">
        <v>193</v>
      </c>
      <c r="E10305" s="1497">
        <v>180000</v>
      </c>
      <c r="F10305" s="1497"/>
      <c r="G10305" s="1415" t="s">
        <v>56</v>
      </c>
      <c r="H10305" s="3"/>
    </row>
    <row r="10306" spans="1:8">
      <c r="A10306" s="1416">
        <v>46185</v>
      </c>
      <c r="B10306" s="1415"/>
      <c r="C10306" s="1415" t="s">
        <v>537</v>
      </c>
      <c r="D10306" s="3" t="s">
        <v>219</v>
      </c>
      <c r="E10306" s="1497">
        <v>375000</v>
      </c>
      <c r="F10306" s="1497"/>
      <c r="G10306" s="1415" t="s">
        <v>56</v>
      </c>
      <c r="H10306" s="3"/>
    </row>
    <row r="10307" spans="1:8">
      <c r="A10307" s="1416">
        <v>46185</v>
      </c>
      <c r="B10307" s="1415"/>
      <c r="C10307" s="1415" t="s">
        <v>537</v>
      </c>
      <c r="D10307" s="3" t="s">
        <v>144</v>
      </c>
      <c r="E10307" s="1497">
        <v>615000</v>
      </c>
      <c r="F10307" s="1497"/>
      <c r="G10307" s="1415" t="s">
        <v>56</v>
      </c>
      <c r="H10307" s="3"/>
    </row>
    <row r="10308" spans="1:8">
      <c r="A10308" s="1416">
        <v>46185</v>
      </c>
      <c r="B10308" s="1415"/>
      <c r="C10308" s="1415" t="s">
        <v>537</v>
      </c>
      <c r="D10308" s="3" t="s">
        <v>4492</v>
      </c>
      <c r="E10308" s="1497">
        <v>250000</v>
      </c>
      <c r="F10308" s="1497"/>
      <c r="G10308" s="1415" t="s">
        <v>56</v>
      </c>
      <c r="H10308" s="3"/>
    </row>
    <row r="10309" spans="1:8" ht="15.75" thickBot="1">
      <c r="A10309" s="1416">
        <v>46185</v>
      </c>
      <c r="B10309" s="1415"/>
      <c r="C10309" s="1415" t="s">
        <v>79</v>
      </c>
      <c r="D10309" s="3" t="s">
        <v>79</v>
      </c>
      <c r="E10309" s="1497">
        <v>20000</v>
      </c>
      <c r="F10309" s="1497"/>
      <c r="G10309" s="1415" t="s">
        <v>56</v>
      </c>
      <c r="H10309" s="3"/>
    </row>
    <row r="10310" spans="1:8">
      <c r="A10310" s="1415"/>
      <c r="B10310" s="1415"/>
      <c r="C10310" s="1415"/>
      <c r="D10310" s="3"/>
      <c r="E10310" s="1497"/>
      <c r="F10310" s="1497"/>
      <c r="G10310" s="1415"/>
      <c r="H10310" s="1226">
        <v>46185</v>
      </c>
    </row>
    <row r="10311" spans="1:8">
      <c r="H10311" s="136" t="s">
        <v>4689</v>
      </c>
    </row>
    <row r="10312" spans="1:8">
      <c r="H10312" s="137" t="s">
        <v>4673</v>
      </c>
    </row>
    <row r="10313" spans="1:8">
      <c r="H10313" s="137" t="s">
        <v>4684</v>
      </c>
    </row>
    <row r="10314" spans="1:8">
      <c r="H10314" s="138" t="s">
        <v>4688</v>
      </c>
    </row>
    <row r="10315" spans="1:8">
      <c r="H10315" s="138" t="s">
        <v>4685</v>
      </c>
    </row>
    <row r="10316" spans="1:8">
      <c r="H10316" s="138" t="s">
        <v>4686</v>
      </c>
    </row>
    <row r="10317" spans="1:8">
      <c r="H10317" s="138" t="s">
        <v>4687</v>
      </c>
    </row>
    <row r="10318" spans="1:8" ht="15.75" thickBot="1">
      <c r="H10318" s="147" t="s">
        <v>3933</v>
      </c>
    </row>
    <row r="10319" spans="1:8">
      <c r="A10319" s="1417">
        <v>46189</v>
      </c>
      <c r="B10319" s="1418"/>
      <c r="C10319" s="1418" t="s">
        <v>1625</v>
      </c>
      <c r="D10319" s="3" t="s">
        <v>4690</v>
      </c>
      <c r="E10319" s="1497"/>
      <c r="F10319" s="1497">
        <v>1850000</v>
      </c>
      <c r="G10319" s="1418" t="s">
        <v>27</v>
      </c>
      <c r="H10319" s="5"/>
    </row>
    <row r="10320" spans="1:8">
      <c r="A10320" s="1417">
        <v>46189</v>
      </c>
      <c r="B10320" s="1418"/>
      <c r="C10320" s="1418" t="s">
        <v>103</v>
      </c>
      <c r="D10320" s="3" t="s">
        <v>22</v>
      </c>
      <c r="E10320" s="1497">
        <v>318765.14</v>
      </c>
      <c r="F10320" s="1497"/>
      <c r="G10320" s="1418" t="s">
        <v>27</v>
      </c>
      <c r="H10320" s="3"/>
    </row>
    <row r="10321" spans="1:8">
      <c r="A10321" s="1417">
        <v>46189</v>
      </c>
      <c r="B10321" s="1418"/>
      <c r="C10321" s="1418" t="s">
        <v>79</v>
      </c>
      <c r="D10321" s="3" t="s">
        <v>79</v>
      </c>
      <c r="E10321" s="1497">
        <v>47144.9</v>
      </c>
      <c r="F10321" s="1497"/>
      <c r="G10321" s="1418" t="s">
        <v>27</v>
      </c>
      <c r="H10321" s="3"/>
    </row>
    <row r="10322" spans="1:8">
      <c r="A10322" s="1417">
        <v>46189</v>
      </c>
      <c r="B10322" s="1418"/>
      <c r="C10322" s="1418" t="s">
        <v>156</v>
      </c>
      <c r="D10322" s="3" t="s">
        <v>156</v>
      </c>
      <c r="E10322" s="1497">
        <v>5141.34</v>
      </c>
      <c r="F10322" s="1497"/>
      <c r="G10322" s="1418" t="s">
        <v>27</v>
      </c>
      <c r="H10322" s="3"/>
    </row>
    <row r="10323" spans="1:8">
      <c r="A10323" s="1417">
        <v>46189</v>
      </c>
      <c r="B10323" s="1418"/>
      <c r="C10323" s="1418" t="s">
        <v>156</v>
      </c>
      <c r="D10323" s="3" t="s">
        <v>156</v>
      </c>
      <c r="E10323" s="1497">
        <v>182332.44</v>
      </c>
      <c r="F10323" s="1497"/>
      <c r="G10323" s="1418" t="s">
        <v>27</v>
      </c>
      <c r="H10323" s="3"/>
    </row>
    <row r="10324" spans="1:8">
      <c r="A10324" s="1417">
        <v>46189</v>
      </c>
      <c r="B10324" s="1418"/>
      <c r="C10324" s="1418" t="s">
        <v>76</v>
      </c>
      <c r="D10324" s="3" t="s">
        <v>4691</v>
      </c>
      <c r="E10324" s="1497"/>
      <c r="F10324" s="1497">
        <v>1150000</v>
      </c>
      <c r="G10324" s="1418" t="s">
        <v>56</v>
      </c>
      <c r="H10324" s="3"/>
    </row>
    <row r="10325" spans="1:8">
      <c r="A10325" s="1417">
        <v>46189</v>
      </c>
      <c r="B10325" s="1418"/>
      <c r="C10325" s="1418" t="s">
        <v>77</v>
      </c>
      <c r="D10325" s="3" t="s">
        <v>4692</v>
      </c>
      <c r="E10325" s="1497"/>
      <c r="F10325" s="1497">
        <v>120000</v>
      </c>
      <c r="G10325" s="1418" t="s">
        <v>56</v>
      </c>
      <c r="H10325" s="45" t="s">
        <v>213</v>
      </c>
    </row>
    <row r="10326" spans="1:8">
      <c r="A10326" s="1417">
        <v>46189</v>
      </c>
      <c r="B10326" s="1418"/>
      <c r="C10326" s="1418" t="s">
        <v>77</v>
      </c>
      <c r="D10326" s="15" t="s">
        <v>4692</v>
      </c>
      <c r="E10326" s="1497"/>
      <c r="F10326" s="1497">
        <v>120000</v>
      </c>
      <c r="G10326" s="1418" t="s">
        <v>27</v>
      </c>
      <c r="H10326" s="45" t="s">
        <v>213</v>
      </c>
    </row>
    <row r="10327" spans="1:8">
      <c r="A10327" s="1417">
        <v>46189</v>
      </c>
      <c r="B10327" s="1418"/>
      <c r="C10327" s="1418" t="s">
        <v>92</v>
      </c>
      <c r="D10327" s="3" t="s">
        <v>4693</v>
      </c>
      <c r="E10327" s="1497"/>
      <c r="F10327" s="1497">
        <v>1632400</v>
      </c>
      <c r="G10327" s="1418" t="s">
        <v>996</v>
      </c>
      <c r="H10327" s="45" t="s">
        <v>4695</v>
      </c>
    </row>
    <row r="10328" spans="1:8">
      <c r="A10328" s="1417">
        <v>46189</v>
      </c>
      <c r="B10328" s="1418"/>
      <c r="C10328" s="1418" t="s">
        <v>785</v>
      </c>
      <c r="D10328" s="3" t="s">
        <v>4694</v>
      </c>
      <c r="E10328" s="1497">
        <v>25638.48</v>
      </c>
      <c r="F10328" s="1497"/>
      <c r="G10328" s="1418" t="s">
        <v>996</v>
      </c>
      <c r="H10328" s="45"/>
    </row>
    <row r="10329" spans="1:8">
      <c r="A10329" s="1417">
        <v>46189</v>
      </c>
      <c r="B10329" s="1418"/>
      <c r="C10329" s="1418" t="s">
        <v>77</v>
      </c>
      <c r="D10329" s="3" t="s">
        <v>4517</v>
      </c>
      <c r="E10329" s="1497"/>
      <c r="F10329" s="1497">
        <v>200000</v>
      </c>
      <c r="G10329" s="1418" t="s">
        <v>996</v>
      </c>
      <c r="H10329" s="45" t="s">
        <v>4696</v>
      </c>
    </row>
    <row r="10330" spans="1:8">
      <c r="A10330" s="112">
        <v>46189</v>
      </c>
      <c r="B10330" s="70"/>
      <c r="C10330" s="70" t="s">
        <v>86</v>
      </c>
      <c r="D10330" s="207" t="s">
        <v>4533</v>
      </c>
      <c r="E10330" s="70">
        <v>42000</v>
      </c>
      <c r="F10330" s="70"/>
      <c r="G10330" s="70" t="s">
        <v>56</v>
      </c>
      <c r="H10330" s="3"/>
    </row>
    <row r="10331" spans="1:8">
      <c r="A10331" s="1420">
        <v>46190</v>
      </c>
      <c r="B10331" s="1418"/>
      <c r="C10331" s="1418" t="s">
        <v>205</v>
      </c>
      <c r="D10331" s="3" t="s">
        <v>48</v>
      </c>
      <c r="E10331" s="1497">
        <v>850000</v>
      </c>
      <c r="F10331" s="1497"/>
      <c r="G10331" s="1418" t="s">
        <v>27</v>
      </c>
      <c r="H10331" s="3"/>
    </row>
    <row r="10332" spans="1:8">
      <c r="A10332" s="1420">
        <v>46190</v>
      </c>
      <c r="B10332" s="1418"/>
      <c r="C10332" s="1419" t="s">
        <v>205</v>
      </c>
      <c r="D10332" s="3" t="s">
        <v>3296</v>
      </c>
      <c r="E10332" s="1497">
        <v>150000</v>
      </c>
      <c r="F10332" s="1497"/>
      <c r="G10332" s="1418" t="s">
        <v>27</v>
      </c>
      <c r="H10332" s="3"/>
    </row>
    <row r="10333" spans="1:8">
      <c r="A10333" s="1420">
        <v>46190</v>
      </c>
      <c r="B10333" s="1418"/>
      <c r="C10333" s="1419" t="s">
        <v>205</v>
      </c>
      <c r="D10333" s="3" t="s">
        <v>48</v>
      </c>
      <c r="E10333" s="1497">
        <v>280000</v>
      </c>
      <c r="F10333" s="1497"/>
      <c r="G10333" s="1418" t="s">
        <v>27</v>
      </c>
      <c r="H10333" s="3"/>
    </row>
    <row r="10334" spans="1:8">
      <c r="A10334" s="1420">
        <v>46190</v>
      </c>
      <c r="B10334" s="1418"/>
      <c r="C10334" s="1418" t="s">
        <v>90</v>
      </c>
      <c r="D10334" s="3" t="s">
        <v>4697</v>
      </c>
      <c r="E10334" s="1497">
        <v>69196.88</v>
      </c>
      <c r="F10334" s="1497"/>
      <c r="G10334" s="1418" t="s">
        <v>27</v>
      </c>
      <c r="H10334" s="3"/>
    </row>
    <row r="10335" spans="1:8">
      <c r="A10335" s="1420">
        <v>46190</v>
      </c>
      <c r="B10335" s="1419"/>
      <c r="C10335" s="1419" t="s">
        <v>55</v>
      </c>
      <c r="D10335" s="3" t="s">
        <v>4700</v>
      </c>
      <c r="E10335" s="1497">
        <v>10000</v>
      </c>
      <c r="F10335" s="1497"/>
      <c r="G10335" s="1419" t="s">
        <v>56</v>
      </c>
      <c r="H10335" s="3"/>
    </row>
    <row r="10336" spans="1:8">
      <c r="A10336" s="1420">
        <v>46190</v>
      </c>
      <c r="B10336" s="1419"/>
      <c r="C10336" s="1419" t="s">
        <v>55</v>
      </c>
      <c r="D10336" s="15" t="s">
        <v>4701</v>
      </c>
      <c r="E10336" s="1497">
        <v>20000</v>
      </c>
      <c r="F10336" s="1497"/>
      <c r="G10336" s="1419" t="s">
        <v>56</v>
      </c>
      <c r="H10336" s="3"/>
    </row>
    <row r="10337" spans="1:8">
      <c r="A10337" s="1421">
        <v>46190</v>
      </c>
      <c r="B10337" s="1422"/>
      <c r="C10337" s="1422" t="s">
        <v>205</v>
      </c>
      <c r="D10337" s="3" t="s">
        <v>35</v>
      </c>
      <c r="E10337" s="1497">
        <v>133300</v>
      </c>
      <c r="F10337" s="1497"/>
      <c r="G10337" s="1422" t="s">
        <v>27</v>
      </c>
      <c r="H10337" s="3"/>
    </row>
    <row r="10338" spans="1:8">
      <c r="A10338" s="1427">
        <v>46191</v>
      </c>
      <c r="B10338" s="1428"/>
      <c r="C10338" s="1428" t="s">
        <v>409</v>
      </c>
      <c r="D10338" s="3" t="s">
        <v>4661</v>
      </c>
      <c r="E10338" s="1497"/>
      <c r="F10338" s="1497">
        <v>1234100</v>
      </c>
      <c r="G10338" s="1428" t="s">
        <v>996</v>
      </c>
      <c r="H10338" s="3"/>
    </row>
    <row r="10339" spans="1:8">
      <c r="A10339" s="1421">
        <v>46191</v>
      </c>
      <c r="B10339" s="1422"/>
      <c r="C10339" s="1422" t="s">
        <v>55</v>
      </c>
      <c r="D10339" s="3" t="s">
        <v>70</v>
      </c>
      <c r="E10339" s="1497">
        <v>8500</v>
      </c>
      <c r="F10339" s="1497"/>
      <c r="G10339" s="1422" t="s">
        <v>56</v>
      </c>
      <c r="H10339" s="3"/>
    </row>
    <row r="10340" spans="1:8">
      <c r="A10340" s="1421">
        <v>46191</v>
      </c>
      <c r="B10340" s="1422"/>
      <c r="C10340" s="1422" t="s">
        <v>77</v>
      </c>
      <c r="D10340" s="3" t="s">
        <v>4702</v>
      </c>
      <c r="E10340" s="1497"/>
      <c r="F10340" s="1497">
        <v>3174900</v>
      </c>
      <c r="G10340" s="1422" t="s">
        <v>56</v>
      </c>
      <c r="H10340" s="3" t="s">
        <v>4703</v>
      </c>
    </row>
    <row r="10341" spans="1:8">
      <c r="A10341" s="1421">
        <v>46191</v>
      </c>
      <c r="B10341" s="1422"/>
      <c r="C10341" s="1422" t="s">
        <v>205</v>
      </c>
      <c r="D10341" s="3" t="s">
        <v>48</v>
      </c>
      <c r="E10341" s="1497">
        <v>148000</v>
      </c>
      <c r="F10341" s="1497"/>
      <c r="G10341" s="1422" t="s">
        <v>56</v>
      </c>
      <c r="H10341" s="3"/>
    </row>
    <row r="10342" spans="1:8">
      <c r="A10342" s="1421">
        <v>46191</v>
      </c>
      <c r="B10342" s="1422"/>
      <c r="C10342" s="1422" t="s">
        <v>205</v>
      </c>
      <c r="D10342" s="3" t="s">
        <v>48</v>
      </c>
      <c r="E10342" s="1497">
        <v>200000</v>
      </c>
      <c r="F10342" s="1497"/>
      <c r="G10342" s="1422" t="s">
        <v>996</v>
      </c>
      <c r="H10342" s="3" t="s">
        <v>4496</v>
      </c>
    </row>
    <row r="10343" spans="1:8">
      <c r="A10343" s="1421">
        <v>46191</v>
      </c>
      <c r="B10343" s="1422"/>
      <c r="C10343" s="1422" t="s">
        <v>205</v>
      </c>
      <c r="D10343" s="3" t="s">
        <v>48</v>
      </c>
      <c r="E10343" s="1497">
        <v>454000</v>
      </c>
      <c r="F10343" s="1497"/>
      <c r="G10343" s="1422" t="s">
        <v>996</v>
      </c>
      <c r="H10343" s="3" t="s">
        <v>422</v>
      </c>
    </row>
    <row r="10344" spans="1:8">
      <c r="A10344" s="1421">
        <v>46191</v>
      </c>
      <c r="B10344" s="1422"/>
      <c r="C10344" s="1422" t="s">
        <v>205</v>
      </c>
      <c r="D10344" s="3" t="s">
        <v>48</v>
      </c>
      <c r="E10344" s="1497">
        <v>1230750</v>
      </c>
      <c r="F10344" s="1497"/>
      <c r="G10344" s="1422" t="s">
        <v>996</v>
      </c>
      <c r="H10344" s="3" t="s">
        <v>2233</v>
      </c>
    </row>
    <row r="10345" spans="1:8">
      <c r="A10345" s="1421">
        <v>46191</v>
      </c>
      <c r="B10345" s="1422"/>
      <c r="C10345" s="1422" t="s">
        <v>205</v>
      </c>
      <c r="D10345" s="3" t="s">
        <v>48</v>
      </c>
      <c r="E10345" s="1497">
        <v>535601.52</v>
      </c>
      <c r="F10345" s="1497"/>
      <c r="G10345" s="1422" t="s">
        <v>996</v>
      </c>
      <c r="H10345" s="3" t="s">
        <v>2198</v>
      </c>
    </row>
    <row r="10346" spans="1:8">
      <c r="A10346" s="1425"/>
      <c r="B10346" s="1424"/>
      <c r="C10346" s="1424"/>
      <c r="D10346" s="3"/>
      <c r="E10346" s="1497">
        <v>264000</v>
      </c>
      <c r="F10346" s="1497"/>
      <c r="G10346" s="1424"/>
      <c r="H10346" s="3"/>
    </row>
    <row r="10347" spans="1:8">
      <c r="A10347" s="1425">
        <v>46192</v>
      </c>
      <c r="B10347" s="1424"/>
      <c r="C10347" s="1424" t="s">
        <v>205</v>
      </c>
      <c r="D10347" s="15" t="s">
        <v>49</v>
      </c>
      <c r="E10347" s="1497">
        <v>535580</v>
      </c>
      <c r="F10347" s="1497"/>
      <c r="G10347" s="1424" t="s">
        <v>996</v>
      </c>
      <c r="H10347" s="15" t="s">
        <v>4705</v>
      </c>
    </row>
    <row r="10348" spans="1:8">
      <c r="A10348" s="1425">
        <v>46192</v>
      </c>
      <c r="B10348" s="1424"/>
      <c r="C10348" s="1424" t="s">
        <v>205</v>
      </c>
      <c r="D10348" s="15" t="s">
        <v>49</v>
      </c>
      <c r="E10348" s="1497">
        <v>700000</v>
      </c>
      <c r="F10348" s="1497"/>
      <c r="G10348" s="1424" t="s">
        <v>56</v>
      </c>
      <c r="H10348" s="3"/>
    </row>
    <row r="10349" spans="1:8">
      <c r="A10349" s="1427">
        <v>46192</v>
      </c>
      <c r="B10349" s="1424"/>
      <c r="C10349" s="1424" t="s">
        <v>199</v>
      </c>
      <c r="D10349" s="3" t="s">
        <v>2115</v>
      </c>
      <c r="E10349" s="1497"/>
      <c r="F10349" s="1497">
        <v>1674800</v>
      </c>
      <c r="G10349" s="1424" t="s">
        <v>27</v>
      </c>
      <c r="H10349" s="3"/>
    </row>
    <row r="10350" spans="1:8">
      <c r="A10350" s="1427">
        <v>46192</v>
      </c>
      <c r="B10350" s="1424"/>
      <c r="C10350" s="1424" t="s">
        <v>785</v>
      </c>
      <c r="D10350" s="3" t="s">
        <v>2115</v>
      </c>
      <c r="E10350" s="1497">
        <v>74165.960000000006</v>
      </c>
      <c r="F10350" s="1497"/>
      <c r="G10350" s="1424" t="s">
        <v>27</v>
      </c>
      <c r="H10350" s="3"/>
    </row>
    <row r="10351" spans="1:8">
      <c r="A10351" s="1427">
        <v>46192</v>
      </c>
      <c r="B10351" s="1428"/>
      <c r="C10351" s="1428" t="s">
        <v>205</v>
      </c>
      <c r="D10351" s="3" t="s">
        <v>4714</v>
      </c>
      <c r="E10351" s="1497"/>
      <c r="F10351" s="1497">
        <v>503360</v>
      </c>
      <c r="G10351" s="1428" t="s">
        <v>27</v>
      </c>
      <c r="H10351" s="3"/>
    </row>
    <row r="10352" spans="1:8">
      <c r="A10352" s="1427">
        <v>46192</v>
      </c>
      <c r="B10352" s="1428"/>
      <c r="C10352" s="1428" t="s">
        <v>537</v>
      </c>
      <c r="D10352" s="15" t="s">
        <v>144</v>
      </c>
      <c r="E10352" s="1497">
        <v>610000</v>
      </c>
      <c r="F10352" s="1497"/>
      <c r="G10352" s="1428" t="s">
        <v>56</v>
      </c>
      <c r="H10352" s="3"/>
    </row>
    <row r="10353" spans="1:8">
      <c r="A10353" s="1427">
        <v>46192</v>
      </c>
      <c r="B10353" s="1428"/>
      <c r="C10353" s="1428" t="s">
        <v>537</v>
      </c>
      <c r="D10353" s="15" t="s">
        <v>193</v>
      </c>
      <c r="E10353" s="1497">
        <v>180000</v>
      </c>
      <c r="F10353" s="1497"/>
      <c r="G10353" s="1428" t="s">
        <v>56</v>
      </c>
      <c r="H10353" s="3"/>
    </row>
    <row r="10354" spans="1:8">
      <c r="A10354" s="1427">
        <v>46192</v>
      </c>
      <c r="B10354" s="1428"/>
      <c r="C10354" s="1428" t="s">
        <v>537</v>
      </c>
      <c r="D10354" s="15" t="s">
        <v>219</v>
      </c>
      <c r="E10354" s="1497">
        <v>563000</v>
      </c>
      <c r="F10354" s="1497"/>
      <c r="G10354" s="1428" t="s">
        <v>56</v>
      </c>
      <c r="H10354" s="3"/>
    </row>
    <row r="10355" spans="1:8">
      <c r="A10355" s="1427">
        <v>46192</v>
      </c>
      <c r="B10355" s="1428"/>
      <c r="C10355" s="1428" t="s">
        <v>537</v>
      </c>
      <c r="D10355" s="15" t="s">
        <v>4492</v>
      </c>
      <c r="E10355" s="1497">
        <v>312500</v>
      </c>
      <c r="F10355" s="1497"/>
      <c r="G10355" s="1428" t="s">
        <v>56</v>
      </c>
      <c r="H10355" s="3"/>
    </row>
    <row r="10356" spans="1:8">
      <c r="A10356" s="1427">
        <v>46192</v>
      </c>
      <c r="B10356" s="1428"/>
      <c r="C10356" s="1428" t="s">
        <v>77</v>
      </c>
      <c r="D10356" s="15" t="s">
        <v>232</v>
      </c>
      <c r="E10356" s="1497"/>
      <c r="F10356" s="1497">
        <v>81400</v>
      </c>
      <c r="G10356" s="1428" t="s">
        <v>108</v>
      </c>
      <c r="H10356" s="3" t="s">
        <v>4710</v>
      </c>
    </row>
    <row r="10357" spans="1:8">
      <c r="A10357" s="1427">
        <v>46192</v>
      </c>
      <c r="B10357" s="1428"/>
      <c r="C10357" s="1428" t="s">
        <v>77</v>
      </c>
      <c r="D10357" s="3" t="s">
        <v>4706</v>
      </c>
      <c r="E10357" s="1497"/>
      <c r="F10357" s="1497">
        <v>529000</v>
      </c>
      <c r="G10357" s="1428" t="s">
        <v>56</v>
      </c>
      <c r="H10357" s="71" t="s">
        <v>4709</v>
      </c>
    </row>
    <row r="10358" spans="1:8">
      <c r="A10358" s="1427">
        <v>46192</v>
      </c>
      <c r="B10358" s="1428"/>
      <c r="C10358" s="1428" t="s">
        <v>205</v>
      </c>
      <c r="D10358" s="3" t="s">
        <v>38</v>
      </c>
      <c r="E10358" s="1497">
        <v>2641.25</v>
      </c>
      <c r="F10358" s="1497"/>
      <c r="G10358" s="1428" t="s">
        <v>56</v>
      </c>
      <c r="H10358" s="3"/>
    </row>
    <row r="10359" spans="1:8" ht="15.75" thickBot="1">
      <c r="A10359" s="1427">
        <v>46192</v>
      </c>
      <c r="B10359" s="1428"/>
      <c r="C10359" s="1428" t="s">
        <v>205</v>
      </c>
      <c r="D10359" s="3" t="s">
        <v>4294</v>
      </c>
      <c r="E10359" s="1497">
        <v>1400</v>
      </c>
      <c r="F10359" s="1497"/>
      <c r="G10359" s="1428" t="s">
        <v>56</v>
      </c>
      <c r="H10359" s="3"/>
    </row>
    <row r="10360" spans="1:8">
      <c r="H10360" s="1226">
        <v>46192</v>
      </c>
    </row>
    <row r="10361" spans="1:8">
      <c r="H10361" s="136" t="s">
        <v>4712</v>
      </c>
    </row>
    <row r="10362" spans="1:8">
      <c r="H10362" s="137" t="s">
        <v>4673</v>
      </c>
    </row>
    <row r="10363" spans="1:8">
      <c r="H10363" s="137" t="s">
        <v>4711</v>
      </c>
    </row>
    <row r="10364" spans="1:8">
      <c r="H10364" s="138" t="s">
        <v>4708</v>
      </c>
    </row>
    <row r="10365" spans="1:8">
      <c r="H10365" s="138" t="s">
        <v>4707</v>
      </c>
    </row>
    <row r="10366" spans="1:8">
      <c r="H10366" s="138" t="s">
        <v>4686</v>
      </c>
    </row>
    <row r="10367" spans="1:8" ht="15.75" thickBot="1">
      <c r="H10367" s="147" t="s">
        <v>4713</v>
      </c>
    </row>
    <row r="10368" spans="1:8">
      <c r="H10368" s="140" t="s">
        <v>3933</v>
      </c>
    </row>
    <row r="10369" spans="1:8">
      <c r="A10369" s="1434">
        <v>46195</v>
      </c>
      <c r="B10369" s="1435"/>
      <c r="C10369" s="1435" t="s">
        <v>3021</v>
      </c>
      <c r="D10369" s="3" t="s">
        <v>4326</v>
      </c>
      <c r="E10369" s="1497">
        <v>49000</v>
      </c>
      <c r="F10369" s="1497"/>
      <c r="G10369" s="1435" t="s">
        <v>56</v>
      </c>
      <c r="H10369" s="177" t="s">
        <v>2198</v>
      </c>
    </row>
    <row r="10370" spans="1:8">
      <c r="A10370" s="77">
        <v>46195</v>
      </c>
      <c r="B10370" s="62"/>
      <c r="C10370" s="62" t="s">
        <v>79</v>
      </c>
      <c r="D10370" s="5" t="s">
        <v>79</v>
      </c>
      <c r="E10370" s="62">
        <v>20000</v>
      </c>
      <c r="F10370" s="62"/>
      <c r="G10370" s="62" t="s">
        <v>27</v>
      </c>
      <c r="H10370" s="5"/>
    </row>
    <row r="10371" spans="1:8">
      <c r="A10371" s="1431">
        <v>46195</v>
      </c>
      <c r="B10371" s="1430"/>
      <c r="C10371" s="1430" t="s">
        <v>79</v>
      </c>
      <c r="D10371" s="3" t="s">
        <v>166</v>
      </c>
      <c r="E10371" s="1497">
        <v>614200</v>
      </c>
      <c r="F10371" s="1497"/>
      <c r="G10371" s="1430" t="s">
        <v>27</v>
      </c>
      <c r="H10371" s="3"/>
    </row>
    <row r="10372" spans="1:8">
      <c r="A10372" s="1431">
        <v>46195</v>
      </c>
      <c r="B10372" s="1430"/>
      <c r="C10372" s="1430" t="s">
        <v>65</v>
      </c>
      <c r="D10372" s="3" t="s">
        <v>4629</v>
      </c>
      <c r="E10372" s="1497">
        <v>70832</v>
      </c>
      <c r="F10372" s="1497"/>
      <c r="G10372" s="1430" t="s">
        <v>27</v>
      </c>
      <c r="H10372" s="3"/>
    </row>
    <row r="10373" spans="1:8">
      <c r="A10373" s="1431">
        <v>46195</v>
      </c>
      <c r="B10373" s="1430"/>
      <c r="C10373" s="1430" t="s">
        <v>205</v>
      </c>
      <c r="D10373" s="3" t="s">
        <v>4714</v>
      </c>
      <c r="E10373" s="1497">
        <v>503360</v>
      </c>
      <c r="F10373" s="1497"/>
      <c r="G10373" s="1430" t="s">
        <v>27</v>
      </c>
      <c r="H10373" s="3"/>
    </row>
    <row r="10374" spans="1:8">
      <c r="A10374" s="1431">
        <v>46195</v>
      </c>
      <c r="B10374" s="1430"/>
      <c r="C10374" s="1430" t="s">
        <v>77</v>
      </c>
      <c r="D10374" s="3" t="s">
        <v>4715</v>
      </c>
      <c r="E10374" s="1497"/>
      <c r="F10374" s="1497">
        <v>1392800</v>
      </c>
      <c r="G10374" s="1430" t="s">
        <v>72</v>
      </c>
      <c r="H10374" s="3" t="s">
        <v>4719</v>
      </c>
    </row>
    <row r="10375" spans="1:8">
      <c r="A10375" s="1431">
        <v>46196</v>
      </c>
      <c r="B10375" s="1430"/>
      <c r="C10375" s="1430" t="s">
        <v>205</v>
      </c>
      <c r="D10375" s="3" t="s">
        <v>48</v>
      </c>
      <c r="E10375" s="1497">
        <v>461000</v>
      </c>
      <c r="F10375" s="1497"/>
      <c r="G10375" s="1430" t="s">
        <v>27</v>
      </c>
      <c r="H10375" s="3"/>
    </row>
    <row r="10376" spans="1:8">
      <c r="A10376" s="1431">
        <v>46196</v>
      </c>
      <c r="B10376" s="1433"/>
      <c r="C10376" s="1430" t="s">
        <v>205</v>
      </c>
      <c r="D10376" s="3" t="s">
        <v>48</v>
      </c>
      <c r="E10376" s="1497">
        <v>850000</v>
      </c>
      <c r="F10376" s="1497"/>
      <c r="G10376" s="1430" t="s">
        <v>27</v>
      </c>
      <c r="H10376" s="3"/>
    </row>
    <row r="10377" spans="1:8">
      <c r="A10377" s="1431">
        <v>46196</v>
      </c>
      <c r="B10377" s="1433"/>
      <c r="C10377" s="1430" t="s">
        <v>55</v>
      </c>
      <c r="D10377" s="3" t="s">
        <v>514</v>
      </c>
      <c r="E10377" s="1497">
        <v>15000</v>
      </c>
      <c r="F10377" s="1497"/>
      <c r="G10377" s="1430" t="s">
        <v>27</v>
      </c>
      <c r="H10377" s="3"/>
    </row>
    <row r="10378" spans="1:8">
      <c r="A10378" s="1434">
        <v>46197</v>
      </c>
      <c r="B10378" s="1432"/>
      <c r="C10378" s="1430" t="s">
        <v>205</v>
      </c>
      <c r="D10378" s="3" t="s">
        <v>38</v>
      </c>
      <c r="E10378" s="1497">
        <v>28000</v>
      </c>
      <c r="F10378" s="1497"/>
      <c r="G10378" s="1430" t="s">
        <v>56</v>
      </c>
      <c r="H10378" s="3"/>
    </row>
    <row r="10379" spans="1:8">
      <c r="A10379" s="1434">
        <v>46197</v>
      </c>
      <c r="C10379" s="1435" t="s">
        <v>205</v>
      </c>
      <c r="D10379" s="3" t="s">
        <v>38</v>
      </c>
      <c r="E10379" s="1497">
        <v>13484</v>
      </c>
      <c r="F10379" s="1497"/>
      <c r="G10379" s="1435" t="s">
        <v>56</v>
      </c>
      <c r="H10379" s="3"/>
    </row>
    <row r="10380" spans="1:8">
      <c r="A10380" s="1434">
        <v>46197</v>
      </c>
      <c r="C10380" s="1435" t="s">
        <v>205</v>
      </c>
      <c r="D10380" s="3" t="s">
        <v>63</v>
      </c>
      <c r="E10380" s="1497">
        <v>2458</v>
      </c>
      <c r="F10380" s="1497"/>
      <c r="G10380" s="1435" t="s">
        <v>56</v>
      </c>
      <c r="H10380" s="3"/>
    </row>
    <row r="10381" spans="1:8">
      <c r="A10381" s="1437">
        <v>46197</v>
      </c>
      <c r="C10381" s="1430" t="s">
        <v>4552</v>
      </c>
      <c r="D10381" s="3" t="s">
        <v>3840</v>
      </c>
      <c r="E10381" s="1497"/>
      <c r="F10381" s="1497">
        <v>871000</v>
      </c>
      <c r="G10381" s="1430" t="s">
        <v>56</v>
      </c>
      <c r="H10381" s="3"/>
    </row>
    <row r="10382" spans="1:8">
      <c r="A10382" s="119">
        <v>46197</v>
      </c>
      <c r="C10382" s="57" t="s">
        <v>28</v>
      </c>
      <c r="D10382" s="85" t="s">
        <v>4716</v>
      </c>
      <c r="E10382" s="57">
        <v>248261.2</v>
      </c>
      <c r="F10382" s="57"/>
      <c r="G10382" s="57" t="s">
        <v>56</v>
      </c>
      <c r="H10382" s="85"/>
    </row>
    <row r="10383" spans="1:8">
      <c r="A10383" s="1437">
        <v>46198</v>
      </c>
      <c r="B10383" s="1436"/>
      <c r="C10383" s="1436" t="s">
        <v>92</v>
      </c>
      <c r="D10383" s="15" t="s">
        <v>2014</v>
      </c>
      <c r="E10383" s="1497"/>
      <c r="F10383" s="1497">
        <v>42500</v>
      </c>
      <c r="G10383" s="1436" t="s">
        <v>27</v>
      </c>
      <c r="H10383" s="3"/>
    </row>
    <row r="10384" spans="1:8">
      <c r="A10384" s="1437">
        <v>46198</v>
      </c>
      <c r="B10384" s="1436"/>
      <c r="C10384" s="1436" t="s">
        <v>90</v>
      </c>
      <c r="D10384" s="15" t="s">
        <v>1951</v>
      </c>
      <c r="E10384" s="1497">
        <v>30000</v>
      </c>
      <c r="F10384" s="1497"/>
      <c r="G10384" s="1436" t="s">
        <v>56</v>
      </c>
      <c r="H10384" s="3"/>
    </row>
    <row r="10385" spans="1:8">
      <c r="A10385" s="1437">
        <v>46198</v>
      </c>
      <c r="B10385" s="1436"/>
      <c r="C10385" s="1436" t="s">
        <v>3021</v>
      </c>
      <c r="D10385" s="15" t="s">
        <v>4326</v>
      </c>
      <c r="E10385" s="1497">
        <v>40000</v>
      </c>
      <c r="F10385" s="1497"/>
      <c r="G10385" s="1436" t="s">
        <v>56</v>
      </c>
      <c r="H10385" s="3"/>
    </row>
    <row r="10386" spans="1:8">
      <c r="A10386" s="1437">
        <v>46198</v>
      </c>
      <c r="B10386" s="1436"/>
      <c r="C10386" s="1436" t="s">
        <v>205</v>
      </c>
      <c r="D10386" s="15" t="s">
        <v>45</v>
      </c>
      <c r="E10386" s="156">
        <v>77456</v>
      </c>
      <c r="F10386" s="1497"/>
      <c r="G10386" s="1436" t="s">
        <v>56</v>
      </c>
      <c r="H10386" s="3"/>
    </row>
    <row r="10387" spans="1:8">
      <c r="A10387" s="1437">
        <v>46198</v>
      </c>
      <c r="B10387" s="1436"/>
      <c r="C10387" s="1436" t="s">
        <v>79</v>
      </c>
      <c r="D10387" s="3" t="s">
        <v>4720</v>
      </c>
      <c r="E10387" s="156">
        <v>15639.18</v>
      </c>
      <c r="F10387" s="1497"/>
      <c r="G10387" s="1436" t="s">
        <v>27</v>
      </c>
      <c r="H10387" s="3"/>
    </row>
    <row r="10388" spans="1:8">
      <c r="A10388" s="1440">
        <v>46198</v>
      </c>
      <c r="B10388" s="1436"/>
      <c r="C10388" s="1436" t="s">
        <v>79</v>
      </c>
      <c r="D10388" s="3" t="s">
        <v>1218</v>
      </c>
      <c r="E10388" s="1497">
        <v>300000</v>
      </c>
      <c r="F10388" s="1497"/>
      <c r="G10388" s="1436" t="s">
        <v>56</v>
      </c>
      <c r="H10388" s="3"/>
    </row>
    <row r="10389" spans="1:8">
      <c r="A10389" s="1440">
        <v>46198</v>
      </c>
      <c r="B10389" s="1441"/>
      <c r="C10389" s="1441" t="s">
        <v>79</v>
      </c>
      <c r="D10389" s="15" t="s">
        <v>3889</v>
      </c>
      <c r="E10389" s="1497">
        <v>250000</v>
      </c>
      <c r="F10389" s="1497"/>
      <c r="G10389" s="1441" t="s">
        <v>56</v>
      </c>
      <c r="H10389" s="3"/>
    </row>
    <row r="10390" spans="1:8">
      <c r="A10390" s="1440">
        <v>46198</v>
      </c>
      <c r="B10390" s="1441"/>
      <c r="C10390" s="1441" t="s">
        <v>94</v>
      </c>
      <c r="D10390" s="3" t="s">
        <v>13</v>
      </c>
      <c r="E10390" s="1497">
        <v>72739</v>
      </c>
      <c r="F10390" s="1497"/>
      <c r="G10390" s="1441" t="s">
        <v>56</v>
      </c>
      <c r="H10390" s="3"/>
    </row>
    <row r="10391" spans="1:8">
      <c r="A10391" s="1464">
        <v>46198</v>
      </c>
      <c r="B10391" s="1462"/>
      <c r="C10391" s="1462"/>
      <c r="D10391" s="3" t="s">
        <v>38</v>
      </c>
      <c r="E10391" s="1497">
        <v>3500</v>
      </c>
      <c r="F10391" s="1497"/>
      <c r="G10391" s="1462" t="s">
        <v>56</v>
      </c>
      <c r="H10391" s="3"/>
    </row>
    <row r="10392" spans="1:8">
      <c r="A10392" s="1440">
        <v>46198</v>
      </c>
      <c r="B10392" s="1441"/>
      <c r="C10392" s="1441" t="s">
        <v>77</v>
      </c>
      <c r="D10392" s="3" t="s">
        <v>3882</v>
      </c>
      <c r="E10392" s="1497"/>
      <c r="F10392" s="1497">
        <v>330000</v>
      </c>
      <c r="G10392" s="1441" t="s">
        <v>56</v>
      </c>
      <c r="H10392" s="45" t="s">
        <v>4721</v>
      </c>
    </row>
    <row r="10393" spans="1:8">
      <c r="A10393" s="1440">
        <v>46199</v>
      </c>
      <c r="B10393" s="1441"/>
      <c r="C10393" s="1441" t="s">
        <v>205</v>
      </c>
      <c r="D10393" s="3" t="s">
        <v>48</v>
      </c>
      <c r="E10393" s="1497">
        <v>170000</v>
      </c>
      <c r="F10393" s="1497"/>
      <c r="G10393" s="1441" t="s">
        <v>27</v>
      </c>
      <c r="H10393" s="3"/>
    </row>
    <row r="10394" spans="1:8">
      <c r="A10394" s="1440">
        <v>46199</v>
      </c>
      <c r="B10394" s="1441"/>
      <c r="C10394" s="1441" t="s">
        <v>77</v>
      </c>
      <c r="D10394" s="3" t="s">
        <v>4722</v>
      </c>
      <c r="E10394" s="1497"/>
      <c r="F10394" s="1497">
        <v>662000</v>
      </c>
      <c r="G10394" s="1441" t="s">
        <v>27</v>
      </c>
      <c r="H10394" s="3"/>
    </row>
    <row r="10395" spans="1:8">
      <c r="A10395" s="1440">
        <v>46199</v>
      </c>
      <c r="B10395" s="1441"/>
      <c r="C10395" s="1441" t="s">
        <v>77</v>
      </c>
      <c r="D10395" s="3" t="s">
        <v>4722</v>
      </c>
      <c r="E10395" s="1497"/>
      <c r="F10395" s="1497">
        <v>2490000</v>
      </c>
      <c r="G10395" s="1441" t="s">
        <v>996</v>
      </c>
      <c r="H10395" s="3"/>
    </row>
    <row r="10396" spans="1:8">
      <c r="A10396" s="1440">
        <v>46199</v>
      </c>
      <c r="B10396" s="1441"/>
      <c r="C10396" s="1441" t="s">
        <v>785</v>
      </c>
      <c r="D10396" s="3" t="s">
        <v>179</v>
      </c>
      <c r="E10396" s="1497">
        <v>187181.16</v>
      </c>
      <c r="F10396" s="1497"/>
      <c r="G10396" s="1441" t="s">
        <v>27</v>
      </c>
      <c r="H10396" s="3"/>
    </row>
    <row r="10397" spans="1:8">
      <c r="A10397" s="1440">
        <v>46199</v>
      </c>
      <c r="B10397" s="1441"/>
      <c r="C10397" s="1441" t="s">
        <v>4550</v>
      </c>
      <c r="D10397" s="3" t="s">
        <v>3087</v>
      </c>
      <c r="E10397" s="1497">
        <v>150000</v>
      </c>
      <c r="F10397" s="1497"/>
      <c r="G10397" s="1441" t="s">
        <v>56</v>
      </c>
      <c r="H10397" s="3"/>
    </row>
    <row r="10398" spans="1:8">
      <c r="A10398" s="1440">
        <v>46199</v>
      </c>
      <c r="B10398" s="1441"/>
      <c r="C10398" s="1441" t="s">
        <v>537</v>
      </c>
      <c r="D10398" s="3" t="s">
        <v>219</v>
      </c>
      <c r="E10398" s="1497">
        <v>56300</v>
      </c>
      <c r="F10398" s="1497"/>
      <c r="G10398" s="1441" t="s">
        <v>56</v>
      </c>
      <c r="H10398" s="3"/>
    </row>
    <row r="10399" spans="1:8">
      <c r="A10399" s="1440">
        <v>46199</v>
      </c>
      <c r="B10399" s="1441"/>
      <c r="C10399" s="1441" t="s">
        <v>537</v>
      </c>
      <c r="D10399" s="3" t="s">
        <v>4492</v>
      </c>
      <c r="E10399" s="1497">
        <v>312500</v>
      </c>
      <c r="F10399" s="1497"/>
      <c r="G10399" s="1441" t="s">
        <v>56</v>
      </c>
      <c r="H10399" s="3"/>
    </row>
    <row r="10400" spans="1:8">
      <c r="A10400" s="1440">
        <v>46199</v>
      </c>
      <c r="B10400" s="1441"/>
      <c r="C10400" s="1441" t="s">
        <v>537</v>
      </c>
      <c r="D10400" s="3" t="s">
        <v>144</v>
      </c>
      <c r="E10400" s="1497">
        <v>610000</v>
      </c>
      <c r="F10400" s="1497"/>
      <c r="G10400" s="1441" t="s">
        <v>56</v>
      </c>
      <c r="H10400" s="3"/>
    </row>
    <row r="10401" spans="1:8" ht="15.75" thickBot="1">
      <c r="A10401" s="1440">
        <v>46199</v>
      </c>
      <c r="B10401" s="1441"/>
      <c r="C10401" s="1441" t="s">
        <v>537</v>
      </c>
      <c r="D10401" s="15" t="s">
        <v>193</v>
      </c>
      <c r="E10401" s="1497">
        <v>180000</v>
      </c>
      <c r="F10401" s="1497"/>
      <c r="G10401" s="1441" t="s">
        <v>56</v>
      </c>
      <c r="H10401" s="3"/>
    </row>
    <row r="10402" spans="1:8">
      <c r="A10402" s="1440"/>
      <c r="B10402" s="1441"/>
      <c r="C10402" s="1441"/>
      <c r="D10402" s="3"/>
      <c r="E10402" s="1497"/>
      <c r="F10402" s="1497"/>
      <c r="G10402" s="1441"/>
      <c r="H10402" s="1226">
        <v>46199</v>
      </c>
    </row>
    <row r="10403" spans="1:8">
      <c r="A10403" s="1441"/>
      <c r="B10403" s="1441"/>
      <c r="C10403" s="1441"/>
      <c r="D10403" s="3"/>
      <c r="E10403" s="1497"/>
      <c r="F10403" s="1497"/>
      <c r="G10403" s="1441"/>
      <c r="H10403" s="136" t="s">
        <v>4712</v>
      </c>
    </row>
    <row r="10404" spans="1:8">
      <c r="A10404" s="1441"/>
      <c r="B10404" s="1441"/>
      <c r="C10404" s="1441"/>
      <c r="D10404" s="3"/>
      <c r="E10404" s="1497"/>
      <c r="F10404" s="1497"/>
      <c r="G10404" s="1441"/>
      <c r="H10404" s="137" t="s">
        <v>4673</v>
      </c>
    </row>
    <row r="10405" spans="1:8">
      <c r="A10405" s="1441"/>
      <c r="B10405" s="1441"/>
      <c r="C10405" s="1441"/>
      <c r="D10405" s="3"/>
      <c r="E10405" s="1497"/>
      <c r="F10405" s="1497"/>
      <c r="G10405" s="1441"/>
      <c r="H10405" s="137" t="s">
        <v>4726</v>
      </c>
    </row>
    <row r="10406" spans="1:8">
      <c r="H10406" s="138" t="s">
        <v>4727</v>
      </c>
    </row>
    <row r="10407" spans="1:8">
      <c r="H10407" s="138" t="s">
        <v>4725</v>
      </c>
    </row>
    <row r="10408" spans="1:8">
      <c r="H10408" s="138" t="s">
        <v>4686</v>
      </c>
    </row>
    <row r="10409" spans="1:8" ht="15.75" thickBot="1">
      <c r="H10409" s="147" t="s">
        <v>4724</v>
      </c>
    </row>
    <row r="10410" spans="1:8">
      <c r="H10410" s="140" t="s">
        <v>4728</v>
      </c>
    </row>
    <row r="10411" spans="1:8">
      <c r="A10411" s="1440">
        <v>46202</v>
      </c>
      <c r="B10411" s="1441"/>
      <c r="C10411" s="1441" t="s">
        <v>150</v>
      </c>
      <c r="D10411" s="3" t="s">
        <v>650</v>
      </c>
      <c r="E10411" s="1497">
        <v>47000</v>
      </c>
      <c r="F10411" s="1497"/>
      <c r="G10411" s="1441" t="s">
        <v>27</v>
      </c>
      <c r="H10411" s="3"/>
    </row>
    <row r="10412" spans="1:8">
      <c r="A10412" s="1440">
        <v>46202</v>
      </c>
      <c r="B10412" s="1441"/>
      <c r="C10412" s="1441" t="s">
        <v>309</v>
      </c>
      <c r="D10412" s="3" t="s">
        <v>309</v>
      </c>
      <c r="E10412" s="1497">
        <v>9870</v>
      </c>
      <c r="F10412" s="1497"/>
      <c r="G10412" s="1441" t="s">
        <v>27</v>
      </c>
      <c r="H10412" s="3"/>
    </row>
    <row r="10413" spans="1:8">
      <c r="A10413" s="1440">
        <v>46202</v>
      </c>
      <c r="B10413" s="1441"/>
      <c r="C10413" s="1441" t="s">
        <v>155</v>
      </c>
      <c r="D10413" s="3" t="s">
        <v>155</v>
      </c>
      <c r="E10413" s="1497">
        <v>1175</v>
      </c>
      <c r="F10413" s="1497"/>
      <c r="G10413" s="1441" t="s">
        <v>27</v>
      </c>
      <c r="H10413" s="3"/>
    </row>
    <row r="10414" spans="1:8">
      <c r="A10414" s="1440">
        <v>46202</v>
      </c>
      <c r="B10414" s="1441"/>
      <c r="C10414" s="1441" t="s">
        <v>205</v>
      </c>
      <c r="D10414" s="3" t="s">
        <v>4729</v>
      </c>
      <c r="E10414" s="1497">
        <v>347633</v>
      </c>
      <c r="F10414" s="1497"/>
      <c r="G10414" s="1441" t="s">
        <v>996</v>
      </c>
      <c r="H10414" s="3"/>
    </row>
    <row r="10415" spans="1:8">
      <c r="A10415" s="1440">
        <v>46202</v>
      </c>
      <c r="B10415" s="1441"/>
      <c r="C10415" s="1441" t="s">
        <v>205</v>
      </c>
      <c r="D10415" s="3" t="s">
        <v>4729</v>
      </c>
      <c r="E10415" s="1497">
        <v>316000</v>
      </c>
      <c r="F10415" s="1497"/>
      <c r="G10415" s="1441" t="s">
        <v>56</v>
      </c>
      <c r="H10415" s="3"/>
    </row>
    <row r="10416" spans="1:8">
      <c r="A10416" s="1450">
        <v>46203</v>
      </c>
      <c r="B10416" s="1449"/>
      <c r="C10416" s="1449" t="s">
        <v>77</v>
      </c>
      <c r="D10416" s="3" t="s">
        <v>4702</v>
      </c>
      <c r="E10416" s="1497"/>
      <c r="F10416" s="1497">
        <v>894600</v>
      </c>
      <c r="G10416" s="1449" t="s">
        <v>56</v>
      </c>
      <c r="H10416" s="3"/>
    </row>
    <row r="10417" spans="1:8">
      <c r="A10417" s="1450">
        <v>46203</v>
      </c>
      <c r="B10417" s="1441"/>
      <c r="C10417" s="1441" t="s">
        <v>76</v>
      </c>
      <c r="D10417" s="3" t="s">
        <v>83</v>
      </c>
      <c r="E10417" s="1497"/>
      <c r="F10417" s="1497">
        <v>1580000</v>
      </c>
      <c r="G10417" s="1441" t="s">
        <v>27</v>
      </c>
      <c r="H10417" s="3"/>
    </row>
    <row r="10418" spans="1:8">
      <c r="A10418" s="1450">
        <v>46203</v>
      </c>
      <c r="B10418" s="1441"/>
      <c r="C10418" s="1441" t="s">
        <v>55</v>
      </c>
      <c r="D10418" s="3" t="s">
        <v>4730</v>
      </c>
      <c r="E10418" s="1497">
        <v>14500</v>
      </c>
      <c r="F10418" s="1497"/>
      <c r="G10418" s="1441" t="s">
        <v>56</v>
      </c>
      <c r="H10418" s="3"/>
    </row>
    <row r="10419" spans="1:8">
      <c r="A10419" s="1450">
        <v>46203</v>
      </c>
      <c r="B10419" s="1441"/>
      <c r="C10419" s="1441" t="s">
        <v>77</v>
      </c>
      <c r="D10419" s="3" t="s">
        <v>4731</v>
      </c>
      <c r="E10419" s="1497"/>
      <c r="F10419" s="1497">
        <v>570000</v>
      </c>
      <c r="G10419" s="1441" t="s">
        <v>27</v>
      </c>
      <c r="H10419" s="3" t="s">
        <v>4386</v>
      </c>
    </row>
    <row r="10420" spans="1:8" ht="15.75" thickBot="1">
      <c r="A10420" s="1450">
        <v>46203</v>
      </c>
      <c r="B10420" s="1441"/>
      <c r="C10420" s="1449" t="s">
        <v>77</v>
      </c>
      <c r="D10420" s="3" t="s">
        <v>4731</v>
      </c>
      <c r="E10420" s="1497"/>
      <c r="F10420" s="1497">
        <v>1650000</v>
      </c>
      <c r="G10420" s="1441" t="s">
        <v>72</v>
      </c>
      <c r="H10420" s="3" t="s">
        <v>4386</v>
      </c>
    </row>
    <row r="10421" spans="1:8">
      <c r="A10421" s="1453">
        <v>46203</v>
      </c>
      <c r="B10421" s="1454"/>
      <c r="C10421" s="1454" t="s">
        <v>730</v>
      </c>
      <c r="D10421" s="3" t="s">
        <v>3087</v>
      </c>
      <c r="E10421" s="1497">
        <v>207400</v>
      </c>
      <c r="F10421" s="1497"/>
      <c r="G10421" s="1454" t="s">
        <v>27</v>
      </c>
      <c r="H10421" s="1226">
        <v>46203</v>
      </c>
    </row>
    <row r="10422" spans="1:8">
      <c r="A10422" s="1453"/>
      <c r="B10422" s="1454"/>
      <c r="C10422" s="1454"/>
      <c r="D10422" s="3"/>
      <c r="E10422" s="1497"/>
      <c r="F10422" s="1497"/>
      <c r="G10422" s="1454"/>
      <c r="H10422" s="136" t="s">
        <v>4733</v>
      </c>
    </row>
    <row r="10423" spans="1:8">
      <c r="A10423" s="1453"/>
      <c r="B10423" s="1454"/>
      <c r="C10423" s="1454"/>
      <c r="D10423" s="3"/>
      <c r="E10423" s="1497"/>
      <c r="F10423" s="1497"/>
      <c r="G10423" s="1454"/>
      <c r="H10423" s="137" t="s">
        <v>4673</v>
      </c>
    </row>
    <row r="10424" spans="1:8">
      <c r="A10424" s="1453"/>
      <c r="B10424" s="1454"/>
      <c r="C10424" s="1454"/>
      <c r="D10424" s="3"/>
      <c r="E10424" s="1497"/>
      <c r="F10424" s="1497"/>
      <c r="G10424" s="1454"/>
      <c r="H10424" s="137" t="s">
        <v>4732</v>
      </c>
    </row>
    <row r="10425" spans="1:8">
      <c r="A10425" s="1453"/>
      <c r="B10425" s="1454"/>
      <c r="C10425" s="1454"/>
      <c r="D10425" s="3"/>
      <c r="E10425" s="1497"/>
      <c r="F10425" s="1497"/>
      <c r="G10425" s="1454"/>
      <c r="H10425" s="138" t="s">
        <v>4734</v>
      </c>
    </row>
    <row r="10426" spans="1:8">
      <c r="A10426" s="1453"/>
      <c r="B10426" s="1454"/>
      <c r="C10426" s="1454"/>
      <c r="D10426" s="3"/>
      <c r="E10426" s="1497"/>
      <c r="F10426" s="1497"/>
      <c r="G10426" s="1454"/>
      <c r="H10426" s="138" t="s">
        <v>4738</v>
      </c>
    </row>
    <row r="10427" spans="1:8">
      <c r="A10427" s="1441"/>
      <c r="B10427" s="1441"/>
      <c r="C10427" s="1441"/>
      <c r="D10427" s="3"/>
      <c r="E10427" s="1497"/>
      <c r="F10427" s="1497"/>
      <c r="G10427" s="1441"/>
      <c r="H10427" s="138" t="s">
        <v>4686</v>
      </c>
    </row>
    <row r="10428" spans="1:8" ht="15.75" thickBot="1">
      <c r="A10428" s="1453">
        <v>46204</v>
      </c>
      <c r="B10428" s="1441"/>
      <c r="C10428" s="1441" t="s">
        <v>79</v>
      </c>
      <c r="D10428" s="3" t="s">
        <v>79</v>
      </c>
      <c r="E10428" s="1497">
        <v>39136.99</v>
      </c>
      <c r="F10428" s="1497"/>
      <c r="G10428" s="1441" t="s">
        <v>27</v>
      </c>
      <c r="H10428" s="147" t="s">
        <v>4735</v>
      </c>
    </row>
    <row r="10429" spans="1:8" ht="15.75" thickBot="1">
      <c r="A10429" s="1453">
        <v>46204</v>
      </c>
      <c r="B10429" s="1441"/>
      <c r="C10429" s="1441" t="s">
        <v>79</v>
      </c>
      <c r="D10429" s="3" t="s">
        <v>79</v>
      </c>
      <c r="E10429" s="1497">
        <v>25860.2</v>
      </c>
      <c r="F10429" s="1497"/>
      <c r="G10429" s="1441" t="s">
        <v>27</v>
      </c>
      <c r="H10429" s="1457" t="s">
        <v>4728</v>
      </c>
    </row>
    <row r="10430" spans="1:8">
      <c r="A10430" s="1453">
        <v>46204</v>
      </c>
      <c r="B10430" s="1454"/>
      <c r="C10430" s="1454" t="s">
        <v>185</v>
      </c>
      <c r="D10430" s="3" t="s">
        <v>4736</v>
      </c>
      <c r="E10430" s="1497">
        <v>619295.86</v>
      </c>
      <c r="F10430" s="1497"/>
      <c r="G10430" s="1454" t="s">
        <v>27</v>
      </c>
      <c r="H10430" s="5"/>
    </row>
    <row r="10431" spans="1:8">
      <c r="A10431" s="1453">
        <v>46204</v>
      </c>
      <c r="B10431" s="1454"/>
      <c r="C10431" s="1454" t="s">
        <v>185</v>
      </c>
      <c r="D10431" s="3" t="s">
        <v>4737</v>
      </c>
      <c r="E10431" s="1497">
        <v>708516.45</v>
      </c>
      <c r="F10431" s="1497"/>
      <c r="G10431" s="1454" t="s">
        <v>27</v>
      </c>
      <c r="H10431" s="3"/>
    </row>
    <row r="10432" spans="1:8">
      <c r="A10432" s="1453">
        <v>46204</v>
      </c>
      <c r="B10432" s="1454"/>
      <c r="C10432" s="1454" t="s">
        <v>92</v>
      </c>
      <c r="D10432" s="3" t="s">
        <v>3789</v>
      </c>
      <c r="E10432" s="1497"/>
      <c r="F10432" s="1497">
        <v>61000</v>
      </c>
      <c r="G10432" s="1454" t="s">
        <v>56</v>
      </c>
      <c r="H10432" s="3"/>
    </row>
    <row r="10433" spans="1:8">
      <c r="A10433" s="1453">
        <v>46204</v>
      </c>
      <c r="B10433" s="1454"/>
      <c r="C10433" s="1454" t="s">
        <v>92</v>
      </c>
      <c r="D10433" s="3" t="s">
        <v>377</v>
      </c>
      <c r="E10433" s="1497"/>
      <c r="F10433" s="1497">
        <v>48600</v>
      </c>
      <c r="G10433" s="1454" t="s">
        <v>56</v>
      </c>
      <c r="H10433" s="3"/>
    </row>
    <row r="10434" spans="1:8">
      <c r="A10434" s="1456">
        <v>46204</v>
      </c>
      <c r="B10434" s="1455"/>
      <c r="C10434" s="1455" t="s">
        <v>79</v>
      </c>
      <c r="D10434" s="3" t="s">
        <v>1218</v>
      </c>
      <c r="E10434" s="1497">
        <v>630000</v>
      </c>
      <c r="F10434" s="1497"/>
      <c r="G10434" s="1455" t="s">
        <v>56</v>
      </c>
      <c r="H10434" s="3"/>
    </row>
    <row r="10435" spans="1:8">
      <c r="A10435" s="1456">
        <v>46204</v>
      </c>
      <c r="B10435" s="1455"/>
      <c r="C10435" s="1455" t="s">
        <v>79</v>
      </c>
      <c r="D10435" s="3" t="s">
        <v>3889</v>
      </c>
      <c r="E10435" s="1497">
        <v>120000</v>
      </c>
      <c r="F10435" s="1497"/>
      <c r="G10435" s="1455" t="s">
        <v>56</v>
      </c>
      <c r="H10435" s="3"/>
    </row>
    <row r="10436" spans="1:8">
      <c r="A10436" s="1456">
        <v>46204</v>
      </c>
      <c r="B10436" s="1455"/>
      <c r="C10436" s="1455" t="s">
        <v>3021</v>
      </c>
      <c r="D10436" s="3" t="s">
        <v>534</v>
      </c>
      <c r="E10436" s="1497">
        <v>408839.93</v>
      </c>
      <c r="F10436" s="1497"/>
      <c r="G10436" s="1455" t="s">
        <v>27</v>
      </c>
      <c r="H10436" s="3"/>
    </row>
    <row r="10437" spans="1:8">
      <c r="A10437" s="1456">
        <v>46205</v>
      </c>
      <c r="B10437" s="1454"/>
      <c r="C10437" s="1454" t="s">
        <v>65</v>
      </c>
      <c r="D10437" s="3" t="s">
        <v>4739</v>
      </c>
      <c r="E10437" s="8">
        <v>22034.44</v>
      </c>
      <c r="F10437" s="1497"/>
      <c r="G10437" s="1454" t="s">
        <v>27</v>
      </c>
      <c r="H10437" s="3"/>
    </row>
    <row r="10438" spans="1:8">
      <c r="A10438" s="1456">
        <v>46205</v>
      </c>
      <c r="B10438" s="1454"/>
      <c r="C10438" s="1455" t="s">
        <v>65</v>
      </c>
      <c r="D10438" s="3" t="s">
        <v>2553</v>
      </c>
      <c r="E10438" s="8">
        <v>22034.44</v>
      </c>
      <c r="F10438" s="1497"/>
      <c r="G10438" s="1454" t="s">
        <v>27</v>
      </c>
      <c r="H10438" s="3"/>
    </row>
    <row r="10439" spans="1:8">
      <c r="A10439" s="1456">
        <v>46205</v>
      </c>
      <c r="B10439" s="1454"/>
      <c r="C10439" s="1455" t="s">
        <v>65</v>
      </c>
      <c r="D10439" s="3" t="s">
        <v>2188</v>
      </c>
      <c r="E10439" s="9">
        <v>50883.01</v>
      </c>
      <c r="F10439" s="1497"/>
      <c r="G10439" s="1454" t="s">
        <v>27</v>
      </c>
      <c r="H10439" s="3"/>
    </row>
    <row r="10440" spans="1:8">
      <c r="A10440" s="1456">
        <v>46205</v>
      </c>
      <c r="B10440" s="1455"/>
      <c r="C10440" s="1455" t="s">
        <v>90</v>
      </c>
      <c r="D10440" s="3" t="s">
        <v>1951</v>
      </c>
      <c r="E10440" s="1497">
        <v>30000</v>
      </c>
      <c r="F10440" s="1497"/>
      <c r="G10440" s="1455" t="s">
        <v>56</v>
      </c>
      <c r="H10440" s="3"/>
    </row>
    <row r="10441" spans="1:8">
      <c r="A10441" s="1458">
        <v>46205</v>
      </c>
      <c r="B10441" s="1459"/>
      <c r="C10441" s="1459" t="s">
        <v>176</v>
      </c>
      <c r="D10441" s="3" t="s">
        <v>1923</v>
      </c>
      <c r="E10441" s="1497">
        <v>80000</v>
      </c>
      <c r="F10441" s="1497"/>
      <c r="G10441" s="1459" t="s">
        <v>56</v>
      </c>
      <c r="H10441" s="3"/>
    </row>
    <row r="10442" spans="1:8">
      <c r="A10442" s="1458">
        <v>46205</v>
      </c>
      <c r="B10442" s="1459"/>
      <c r="C10442" s="1459" t="s">
        <v>205</v>
      </c>
      <c r="D10442" s="3" t="s">
        <v>63</v>
      </c>
      <c r="E10442" s="1497">
        <v>25966.71</v>
      </c>
      <c r="F10442" s="1497"/>
      <c r="G10442" s="1459" t="s">
        <v>27</v>
      </c>
      <c r="H10442" s="3"/>
    </row>
    <row r="10443" spans="1:8">
      <c r="A10443" s="1458">
        <v>46205</v>
      </c>
      <c r="B10443" s="1459"/>
      <c r="C10443" s="1459" t="s">
        <v>79</v>
      </c>
      <c r="D10443" s="3" t="s">
        <v>1218</v>
      </c>
      <c r="E10443" s="1497">
        <v>70000</v>
      </c>
      <c r="F10443" s="1497"/>
      <c r="G10443" s="1459" t="s">
        <v>56</v>
      </c>
      <c r="H10443" s="3"/>
    </row>
    <row r="10444" spans="1:8">
      <c r="A10444" s="1458">
        <v>46205</v>
      </c>
      <c r="B10444" s="1459"/>
      <c r="C10444" s="1459" t="s">
        <v>77</v>
      </c>
      <c r="D10444" s="15" t="s">
        <v>4752</v>
      </c>
      <c r="E10444" s="1497"/>
      <c r="F10444" s="1497">
        <v>120000</v>
      </c>
      <c r="G10444" s="1459" t="s">
        <v>27</v>
      </c>
      <c r="H10444" s="3" t="s">
        <v>4753</v>
      </c>
    </row>
    <row r="10445" spans="1:8">
      <c r="A10445" s="1458">
        <v>46206</v>
      </c>
      <c r="B10445" s="1459"/>
      <c r="C10445" s="1459" t="s">
        <v>205</v>
      </c>
      <c r="D10445" s="3" t="s">
        <v>48</v>
      </c>
      <c r="E10445" s="1497">
        <v>535580</v>
      </c>
      <c r="F10445" s="1497"/>
      <c r="G10445" s="1459" t="s">
        <v>996</v>
      </c>
      <c r="H10445" s="3"/>
    </row>
    <row r="10446" spans="1:8">
      <c r="A10446" s="1458">
        <v>46206</v>
      </c>
      <c r="B10446" s="1459"/>
      <c r="C10446" s="1459" t="s">
        <v>205</v>
      </c>
      <c r="D10446" s="3" t="s">
        <v>48</v>
      </c>
      <c r="E10446" s="1497">
        <v>98000</v>
      </c>
      <c r="F10446" s="1497"/>
      <c r="G10446" s="1459" t="s">
        <v>56</v>
      </c>
      <c r="H10446" s="3"/>
    </row>
    <row r="10447" spans="1:8">
      <c r="A10447" s="1458">
        <v>46206</v>
      </c>
      <c r="B10447" s="1459"/>
      <c r="C10447" s="1459" t="s">
        <v>205</v>
      </c>
      <c r="D10447" s="15" t="s">
        <v>4754</v>
      </c>
      <c r="E10447" s="1497">
        <v>100000</v>
      </c>
      <c r="F10447" s="1497"/>
      <c r="G10447" s="1459" t="s">
        <v>27</v>
      </c>
      <c r="H10447" s="3"/>
    </row>
    <row r="10448" spans="1:8">
      <c r="A10448" s="1458">
        <v>46206</v>
      </c>
      <c r="B10448" s="1459"/>
      <c r="C10448" s="1459" t="s">
        <v>92</v>
      </c>
      <c r="D10448" s="3" t="s">
        <v>2817</v>
      </c>
      <c r="E10448" s="1497"/>
      <c r="F10448" s="1497">
        <v>126500</v>
      </c>
      <c r="G10448" s="1459" t="s">
        <v>27</v>
      </c>
      <c r="H10448" s="3"/>
    </row>
    <row r="10449" spans="1:8">
      <c r="A10449" s="1458">
        <v>46206</v>
      </c>
      <c r="B10449" s="1459"/>
      <c r="C10449" s="1459" t="s">
        <v>77</v>
      </c>
      <c r="D10449" s="3" t="s">
        <v>4756</v>
      </c>
      <c r="E10449" s="1497"/>
      <c r="F10449" s="1497">
        <v>298000</v>
      </c>
      <c r="G10449" s="1459" t="s">
        <v>56</v>
      </c>
      <c r="H10449" s="45" t="s">
        <v>4757</v>
      </c>
    </row>
    <row r="10450" spans="1:8">
      <c r="A10450" s="1458">
        <v>46206</v>
      </c>
      <c r="B10450" s="1459"/>
      <c r="C10450" s="1459" t="s">
        <v>205</v>
      </c>
      <c r="D10450" s="3" t="s">
        <v>4418</v>
      </c>
      <c r="E10450" s="1497">
        <v>189000</v>
      </c>
      <c r="F10450" s="1497"/>
      <c r="G10450" s="1459" t="s">
        <v>56</v>
      </c>
      <c r="H10450" s="3"/>
    </row>
    <row r="10451" spans="1:8">
      <c r="A10451" s="1458">
        <v>46206</v>
      </c>
      <c r="B10451" s="1459"/>
      <c r="C10451" s="1459" t="s">
        <v>92</v>
      </c>
      <c r="D10451" s="15" t="s">
        <v>4755</v>
      </c>
      <c r="E10451" s="1497"/>
      <c r="F10451" s="1497">
        <v>302500</v>
      </c>
      <c r="G10451" s="1459" t="s">
        <v>27</v>
      </c>
      <c r="H10451" s="3"/>
    </row>
    <row r="10452" spans="1:8">
      <c r="A10452" s="1458">
        <v>46206</v>
      </c>
      <c r="B10452" s="1459"/>
      <c r="C10452" s="1459" t="s">
        <v>785</v>
      </c>
      <c r="D10452" s="15" t="s">
        <v>4755</v>
      </c>
      <c r="E10452" s="1497">
        <v>3656.3</v>
      </c>
      <c r="F10452" s="1497"/>
      <c r="G10452" s="1459" t="s">
        <v>27</v>
      </c>
      <c r="H10452" s="3"/>
    </row>
    <row r="10453" spans="1:8">
      <c r="A10453" s="1458">
        <v>46206</v>
      </c>
      <c r="B10453" s="1459"/>
      <c r="C10453" s="1459" t="s">
        <v>205</v>
      </c>
      <c r="D10453" s="15" t="s">
        <v>53</v>
      </c>
      <c r="E10453" s="1497">
        <v>22748</v>
      </c>
      <c r="F10453" s="1497"/>
      <c r="G10453" s="1459" t="s">
        <v>27</v>
      </c>
      <c r="H10453" s="3"/>
    </row>
    <row r="10454" spans="1:8">
      <c r="A10454" s="1458">
        <v>46206</v>
      </c>
      <c r="B10454" s="1459"/>
      <c r="C10454" s="1459" t="s">
        <v>537</v>
      </c>
      <c r="D10454" s="3" t="s">
        <v>219</v>
      </c>
      <c r="E10454" s="1497">
        <v>520000</v>
      </c>
      <c r="F10454" s="1497"/>
      <c r="G10454" s="1459" t="s">
        <v>56</v>
      </c>
      <c r="H10454" s="3"/>
    </row>
    <row r="10455" spans="1:8">
      <c r="A10455" s="1458">
        <v>46206</v>
      </c>
      <c r="B10455" s="1459"/>
      <c r="C10455" s="1459" t="s">
        <v>537</v>
      </c>
      <c r="D10455" s="3" t="s">
        <v>144</v>
      </c>
      <c r="E10455" s="1497">
        <v>510000</v>
      </c>
      <c r="F10455" s="1497"/>
      <c r="G10455" s="1459" t="s">
        <v>56</v>
      </c>
      <c r="H10455" s="3"/>
    </row>
    <row r="10456" spans="1:8">
      <c r="A10456" s="1458">
        <v>46206</v>
      </c>
      <c r="B10456" s="1459"/>
      <c r="C10456" s="1459" t="s">
        <v>537</v>
      </c>
      <c r="D10456" s="3" t="s">
        <v>4492</v>
      </c>
      <c r="E10456" s="1497">
        <v>274500</v>
      </c>
      <c r="F10456" s="1497"/>
      <c r="G10456" s="1459" t="s">
        <v>56</v>
      </c>
      <c r="H10456" s="3"/>
    </row>
    <row r="10457" spans="1:8">
      <c r="A10457" s="1458">
        <v>46206</v>
      </c>
      <c r="B10457" s="1459"/>
      <c r="C10457" s="1459" t="s">
        <v>537</v>
      </c>
      <c r="D10457" s="3" t="s">
        <v>193</v>
      </c>
      <c r="E10457" s="1497">
        <v>180000</v>
      </c>
      <c r="F10457" s="1497"/>
      <c r="G10457" s="1459" t="s">
        <v>56</v>
      </c>
      <c r="H10457" s="3"/>
    </row>
    <row r="10458" spans="1:8">
      <c r="A10458" s="1458">
        <v>46206</v>
      </c>
      <c r="B10458" s="1459"/>
      <c r="C10458" s="1459" t="s">
        <v>92</v>
      </c>
      <c r="D10458" s="3" t="s">
        <v>317</v>
      </c>
      <c r="E10458" s="1497"/>
      <c r="F10458" s="1497">
        <v>30000</v>
      </c>
      <c r="G10458" s="1459" t="s">
        <v>56</v>
      </c>
      <c r="H10458" s="3"/>
    </row>
    <row r="10459" spans="1:8" ht="15.75" thickBot="1">
      <c r="A10459" s="1502">
        <v>46206</v>
      </c>
      <c r="B10459" s="1459"/>
      <c r="C10459" s="1459" t="s">
        <v>77</v>
      </c>
      <c r="D10459" s="3" t="s">
        <v>4764</v>
      </c>
      <c r="E10459" s="1497"/>
      <c r="F10459" s="1497">
        <v>8220000</v>
      </c>
      <c r="G10459" s="1459" t="s">
        <v>56</v>
      </c>
    </row>
    <row r="10460" spans="1:8" ht="15.75" thickBot="1">
      <c r="A10460" s="1459"/>
      <c r="B10460" s="1459"/>
      <c r="C10460" s="1459"/>
      <c r="D10460" s="3"/>
      <c r="E10460" s="1497"/>
      <c r="F10460" s="1497"/>
      <c r="G10460" s="1459"/>
      <c r="H10460" s="201">
        <v>46206</v>
      </c>
    </row>
    <row r="10461" spans="1:8">
      <c r="H10461" s="803" t="s">
        <v>4733</v>
      </c>
    </row>
    <row r="10462" spans="1:8">
      <c r="H10462" s="137" t="s">
        <v>4673</v>
      </c>
    </row>
    <row r="10463" spans="1:8">
      <c r="H10463" s="137" t="s">
        <v>4761</v>
      </c>
    </row>
    <row r="10464" spans="1:8">
      <c r="H10464" s="138" t="s">
        <v>4512</v>
      </c>
    </row>
    <row r="10465" spans="1:8">
      <c r="H10465" s="138" t="s">
        <v>4762</v>
      </c>
    </row>
    <row r="10466" spans="1:8">
      <c r="H10466" s="138" t="s">
        <v>4759</v>
      </c>
    </row>
    <row r="10467" spans="1:8" ht="15.75" thickBot="1">
      <c r="H10467" s="147" t="s">
        <v>4760</v>
      </c>
    </row>
    <row r="10468" spans="1:8">
      <c r="H10468" s="140" t="s">
        <v>4758</v>
      </c>
    </row>
    <row r="10469" spans="1:8">
      <c r="A10469" s="1464">
        <v>46209</v>
      </c>
      <c r="B10469" s="1462"/>
      <c r="C10469" s="1462" t="s">
        <v>79</v>
      </c>
      <c r="D10469" s="3" t="s">
        <v>79</v>
      </c>
      <c r="E10469" s="1468">
        <v>84417.82</v>
      </c>
      <c r="F10469" s="1497"/>
      <c r="G10469" s="1462" t="s">
        <v>27</v>
      </c>
      <c r="H10469" s="3"/>
    </row>
    <row r="10470" spans="1:8">
      <c r="A10470" s="1464">
        <v>46209</v>
      </c>
      <c r="B10470" s="1462"/>
      <c r="C10470" s="1462" t="s">
        <v>94</v>
      </c>
      <c r="D10470" s="3" t="s">
        <v>4763</v>
      </c>
      <c r="E10470" s="1468">
        <v>50522.74</v>
      </c>
      <c r="F10470" s="1497"/>
      <c r="G10470" s="1462" t="s">
        <v>27</v>
      </c>
      <c r="H10470" s="3"/>
    </row>
    <row r="10471" spans="1:8">
      <c r="A10471" s="1464">
        <v>46209</v>
      </c>
      <c r="B10471" s="1462"/>
      <c r="C10471" s="1462" t="s">
        <v>205</v>
      </c>
      <c r="D10471" s="15" t="s">
        <v>53</v>
      </c>
      <c r="E10471" s="1497">
        <v>49590</v>
      </c>
      <c r="F10471" s="1497"/>
      <c r="G10471" s="1462" t="s">
        <v>27</v>
      </c>
      <c r="H10471" s="3"/>
    </row>
    <row r="10472" spans="1:8">
      <c r="A10472" s="1464">
        <v>46209</v>
      </c>
      <c r="B10472" s="1462"/>
      <c r="C10472" s="1462" t="s">
        <v>77</v>
      </c>
      <c r="D10472" s="3"/>
      <c r="E10472" s="1497"/>
      <c r="F10472" s="1497">
        <v>3519000</v>
      </c>
      <c r="G10472" s="1462" t="s">
        <v>996</v>
      </c>
      <c r="H10472" s="3"/>
    </row>
    <row r="10473" spans="1:8">
      <c r="A10473" s="1464">
        <v>46209</v>
      </c>
      <c r="B10473" s="1462"/>
      <c r="C10473" s="1462" t="s">
        <v>92</v>
      </c>
      <c r="D10473" s="3" t="s">
        <v>4765</v>
      </c>
      <c r="E10473" s="1497"/>
      <c r="F10473" s="1497">
        <v>66200</v>
      </c>
      <c r="G10473" s="1462" t="s">
        <v>27</v>
      </c>
      <c r="H10473" s="3"/>
    </row>
    <row r="10474" spans="1:8">
      <c r="A10474" s="1464">
        <v>46209</v>
      </c>
      <c r="B10474" s="1462"/>
      <c r="C10474" s="1462" t="s">
        <v>205</v>
      </c>
      <c r="D10474" s="3" t="s">
        <v>4774</v>
      </c>
      <c r="E10474" s="1497">
        <v>32718.400000000001</v>
      </c>
      <c r="F10474" s="1497"/>
      <c r="G10474" s="1462" t="s">
        <v>27</v>
      </c>
      <c r="H10474" s="3"/>
    </row>
    <row r="10475" spans="1:8">
      <c r="A10475" s="1466">
        <v>46209</v>
      </c>
      <c r="B10475" s="1467"/>
      <c r="C10475" s="1467" t="s">
        <v>205</v>
      </c>
      <c r="D10475" s="3" t="s">
        <v>48</v>
      </c>
      <c r="E10475" s="1497">
        <v>100000</v>
      </c>
      <c r="F10475" s="1497"/>
      <c r="G10475" s="1467" t="s">
        <v>27</v>
      </c>
      <c r="H10475" s="3"/>
    </row>
    <row r="10476" spans="1:8">
      <c r="A10476" s="1466">
        <v>46210</v>
      </c>
      <c r="B10476" s="1467"/>
      <c r="C10476" s="1467" t="s">
        <v>77</v>
      </c>
      <c r="D10476" s="3" t="s">
        <v>82</v>
      </c>
      <c r="E10476" s="1497"/>
      <c r="F10476" s="1497">
        <v>215000</v>
      </c>
      <c r="G10476" s="1467" t="s">
        <v>27</v>
      </c>
      <c r="H10476" s="3" t="s">
        <v>483</v>
      </c>
    </row>
    <row r="10477" spans="1:8">
      <c r="A10477" s="1466">
        <v>46210</v>
      </c>
      <c r="B10477" s="1462"/>
      <c r="C10477" s="1462" t="s">
        <v>150</v>
      </c>
      <c r="D10477" s="3" t="s">
        <v>4775</v>
      </c>
      <c r="E10477" s="1497">
        <v>375825.47</v>
      </c>
      <c r="F10477" s="1497"/>
      <c r="G10477" s="1467" t="s">
        <v>27</v>
      </c>
      <c r="H10477" s="3"/>
    </row>
    <row r="10478" spans="1:8">
      <c r="A10478" s="1466">
        <v>46210</v>
      </c>
      <c r="B10478" s="1467"/>
      <c r="C10478" s="1467" t="s">
        <v>150</v>
      </c>
      <c r="D10478" s="3" t="s">
        <v>155</v>
      </c>
      <c r="E10478" s="1497">
        <v>82293.45</v>
      </c>
      <c r="F10478" s="1497"/>
      <c r="G10478" s="1467" t="s">
        <v>27</v>
      </c>
      <c r="H10478" s="3"/>
    </row>
    <row r="10479" spans="1:8">
      <c r="A10479" s="1466">
        <v>46210</v>
      </c>
      <c r="B10479" s="1467"/>
      <c r="C10479" s="1467" t="s">
        <v>150</v>
      </c>
      <c r="D10479" s="3" t="s">
        <v>1662</v>
      </c>
      <c r="E10479" s="1497">
        <v>3029.98</v>
      </c>
      <c r="F10479" s="1497"/>
      <c r="G10479" s="1467" t="s">
        <v>27</v>
      </c>
      <c r="H10479" s="3"/>
    </row>
    <row r="10480" spans="1:8">
      <c r="A10480" s="1466">
        <v>46210</v>
      </c>
      <c r="B10480" s="1467"/>
      <c r="C10480" s="1467" t="s">
        <v>150</v>
      </c>
      <c r="D10480" s="3" t="s">
        <v>4776</v>
      </c>
      <c r="E10480" s="1497">
        <v>16048.11</v>
      </c>
      <c r="F10480" s="1497"/>
      <c r="G10480" s="1467" t="s">
        <v>27</v>
      </c>
      <c r="H10480" s="3"/>
    </row>
    <row r="10481" spans="1:8">
      <c r="A10481" s="1466">
        <v>46210</v>
      </c>
      <c r="B10481" s="1467"/>
      <c r="C10481" s="1467" t="s">
        <v>55</v>
      </c>
      <c r="D10481" s="3" t="s">
        <v>562</v>
      </c>
      <c r="E10481" s="1497">
        <v>14650</v>
      </c>
      <c r="F10481" s="1497"/>
      <c r="G10481" s="1467" t="s">
        <v>56</v>
      </c>
      <c r="H10481" s="3"/>
    </row>
    <row r="10482" spans="1:8">
      <c r="A10482" s="1466">
        <v>46210</v>
      </c>
      <c r="B10482" s="1467"/>
      <c r="C10482" s="1467" t="s">
        <v>205</v>
      </c>
      <c r="D10482" s="15" t="s">
        <v>499</v>
      </c>
      <c r="E10482" s="1497">
        <v>211750</v>
      </c>
      <c r="F10482" s="1497"/>
      <c r="G10482" s="1467" t="s">
        <v>27</v>
      </c>
      <c r="H10482" s="1478" t="s">
        <v>4722</v>
      </c>
    </row>
    <row r="10483" spans="1:8">
      <c r="A10483" s="1483">
        <v>46211</v>
      </c>
      <c r="B10483" s="1482"/>
      <c r="C10483" s="1482" t="s">
        <v>77</v>
      </c>
      <c r="D10483" s="3" t="s">
        <v>2077</v>
      </c>
      <c r="E10483" s="1497"/>
      <c r="F10483" s="1497">
        <v>860700</v>
      </c>
      <c r="G10483" s="1482" t="s">
        <v>27</v>
      </c>
      <c r="H10483" s="3" t="s">
        <v>4777</v>
      </c>
    </row>
    <row r="10484" spans="1:8">
      <c r="A10484" s="70"/>
      <c r="B10484" s="70"/>
      <c r="C10484" s="70"/>
      <c r="D10484" s="113" t="s">
        <v>4778</v>
      </c>
      <c r="E10484" s="70">
        <v>59900</v>
      </c>
      <c r="F10484" s="70"/>
      <c r="G10484" s="70" t="s">
        <v>27</v>
      </c>
      <c r="H10484" s="113"/>
    </row>
    <row r="10485" spans="1:8">
      <c r="A10485" s="1483">
        <v>46211</v>
      </c>
      <c r="B10485" s="1482"/>
      <c r="C10485" s="1482" t="s">
        <v>55</v>
      </c>
      <c r="D10485" s="3" t="s">
        <v>225</v>
      </c>
      <c r="E10485" s="1497">
        <v>7000</v>
      </c>
      <c r="F10485" s="1497"/>
      <c r="G10485" s="1482" t="s">
        <v>56</v>
      </c>
      <c r="H10485" s="3"/>
    </row>
    <row r="10486" spans="1:8">
      <c r="A10486" s="1483">
        <v>46211</v>
      </c>
      <c r="B10486" s="1482"/>
      <c r="C10486" s="1482" t="s">
        <v>205</v>
      </c>
      <c r="D10486" s="3" t="s">
        <v>43</v>
      </c>
      <c r="E10486" s="1497">
        <v>107366</v>
      </c>
      <c r="F10486" s="1497"/>
      <c r="G10486" s="1482" t="s">
        <v>27</v>
      </c>
      <c r="H10486" s="3"/>
    </row>
    <row r="10487" spans="1:8">
      <c r="A10487" s="1483">
        <v>46211</v>
      </c>
      <c r="B10487" s="1482"/>
      <c r="C10487" s="1482" t="s">
        <v>205</v>
      </c>
      <c r="D10487" s="15" t="s">
        <v>37</v>
      </c>
      <c r="E10487" s="1497">
        <v>200800</v>
      </c>
      <c r="F10487" s="1497"/>
      <c r="G10487" s="1482" t="s">
        <v>27</v>
      </c>
      <c r="H10487" s="3"/>
    </row>
    <row r="10488" spans="1:8">
      <c r="A10488" s="1483">
        <v>46213</v>
      </c>
      <c r="B10488" s="1482"/>
      <c r="C10488" s="1482" t="s">
        <v>92</v>
      </c>
      <c r="D10488" s="3" t="s">
        <v>836</v>
      </c>
      <c r="E10488" s="1497"/>
      <c r="F10488" s="1497">
        <v>683200</v>
      </c>
      <c r="G10488" s="1482" t="s">
        <v>27</v>
      </c>
      <c r="H10488" s="3"/>
    </row>
    <row r="10489" spans="1:8">
      <c r="A10489" s="1483">
        <v>46213</v>
      </c>
      <c r="B10489" s="1482"/>
      <c r="C10489" s="1482" t="s">
        <v>86</v>
      </c>
      <c r="D10489" s="3" t="s">
        <v>830</v>
      </c>
      <c r="E10489" s="1497">
        <v>31000</v>
      </c>
      <c r="F10489" s="1497"/>
      <c r="G10489" s="1482"/>
      <c r="H10489" s="3"/>
    </row>
    <row r="10490" spans="1:8">
      <c r="A10490" s="1483">
        <v>46213</v>
      </c>
      <c r="B10490" s="1482"/>
      <c r="C10490" s="1482" t="s">
        <v>205</v>
      </c>
      <c r="D10490" s="3" t="s">
        <v>61</v>
      </c>
      <c r="E10490" s="1497">
        <v>32400</v>
      </c>
      <c r="F10490" s="1497"/>
      <c r="G10490" s="1482" t="s">
        <v>56</v>
      </c>
      <c r="H10490" s="3"/>
    </row>
    <row r="10491" spans="1:8">
      <c r="A10491" s="1483">
        <v>46213</v>
      </c>
      <c r="B10491" s="1482"/>
      <c r="C10491" s="1482" t="s">
        <v>205</v>
      </c>
      <c r="D10491" s="3" t="s">
        <v>246</v>
      </c>
      <c r="E10491" s="1497">
        <v>169505</v>
      </c>
      <c r="F10491" s="1497"/>
      <c r="G10491" s="1482" t="s">
        <v>27</v>
      </c>
      <c r="H10491" s="3"/>
    </row>
    <row r="10492" spans="1:8">
      <c r="A10492" s="1483">
        <v>46213</v>
      </c>
      <c r="B10492" s="1482"/>
      <c r="C10492" s="1482" t="s">
        <v>205</v>
      </c>
      <c r="D10492" s="3" t="s">
        <v>238</v>
      </c>
      <c r="E10492" s="1497">
        <v>94746.02</v>
      </c>
      <c r="F10492" s="1497"/>
      <c r="G10492" s="1482" t="s">
        <v>27</v>
      </c>
      <c r="H10492" s="3"/>
    </row>
    <row r="10493" spans="1:8">
      <c r="A10493" s="1483">
        <v>46213</v>
      </c>
      <c r="B10493" s="1482"/>
      <c r="C10493" s="1482" t="s">
        <v>205</v>
      </c>
      <c r="D10493" s="3" t="s">
        <v>2777</v>
      </c>
      <c r="E10493" s="1497">
        <v>541673.82999999996</v>
      </c>
      <c r="F10493" s="1497"/>
      <c r="G10493" s="1482" t="s">
        <v>27</v>
      </c>
      <c r="H10493" s="3"/>
    </row>
    <row r="10494" spans="1:8">
      <c r="A10494" s="1483">
        <v>46213</v>
      </c>
      <c r="B10494" s="1482"/>
      <c r="C10494" s="1482" t="s">
        <v>79</v>
      </c>
      <c r="D10494" s="3" t="s">
        <v>3889</v>
      </c>
      <c r="E10494" s="1497">
        <v>40000</v>
      </c>
      <c r="F10494" s="1497"/>
      <c r="G10494" s="1482" t="s">
        <v>56</v>
      </c>
      <c r="H10494" s="3"/>
    </row>
    <row r="10495" spans="1:8">
      <c r="A10495" s="1483">
        <v>46213</v>
      </c>
      <c r="B10495" s="1482"/>
      <c r="C10495" s="1482" t="s">
        <v>79</v>
      </c>
      <c r="D10495" s="15" t="s">
        <v>2355</v>
      </c>
      <c r="E10495" s="1497">
        <v>100000</v>
      </c>
      <c r="F10495" s="1497"/>
      <c r="G10495" s="1482" t="s">
        <v>56</v>
      </c>
      <c r="H10495" s="3"/>
    </row>
    <row r="10496" spans="1:8">
      <c r="A10496" s="1483">
        <v>46213</v>
      </c>
      <c r="B10496" s="1482"/>
      <c r="C10496" s="1482" t="s">
        <v>79</v>
      </c>
      <c r="D10496" s="15" t="s">
        <v>1218</v>
      </c>
      <c r="E10496" s="1497">
        <v>220000</v>
      </c>
      <c r="F10496" s="1497"/>
      <c r="G10496" s="1482" t="s">
        <v>56</v>
      </c>
      <c r="H10496" s="3"/>
    </row>
    <row r="10497" spans="1:8">
      <c r="A10497" s="1483">
        <v>46213</v>
      </c>
      <c r="B10497" s="1482"/>
      <c r="C10497" s="1482" t="s">
        <v>537</v>
      </c>
      <c r="D10497" s="3" t="s">
        <v>193</v>
      </c>
      <c r="E10497" s="1497">
        <v>180000</v>
      </c>
      <c r="F10497" s="1497"/>
      <c r="G10497" s="1482" t="s">
        <v>56</v>
      </c>
      <c r="H10497" s="3"/>
    </row>
    <row r="10498" spans="1:8">
      <c r="A10498" s="1483">
        <v>46213</v>
      </c>
      <c r="B10498" s="1482"/>
      <c r="C10498" s="1482" t="s">
        <v>537</v>
      </c>
      <c r="D10498" s="3" t="s">
        <v>144</v>
      </c>
      <c r="E10498" s="1497">
        <v>510000</v>
      </c>
      <c r="F10498" s="1497"/>
      <c r="G10498" s="1482" t="s">
        <v>56</v>
      </c>
      <c r="H10498" s="3"/>
    </row>
    <row r="10499" spans="1:8">
      <c r="A10499" s="1483">
        <v>46213</v>
      </c>
      <c r="B10499" s="1482"/>
      <c r="C10499" s="1482" t="s">
        <v>537</v>
      </c>
      <c r="D10499" s="15" t="s">
        <v>219</v>
      </c>
      <c r="E10499" s="1497">
        <v>501000</v>
      </c>
      <c r="F10499" s="1497"/>
      <c r="G10499" s="1482" t="s">
        <v>56</v>
      </c>
      <c r="H10499" s="3"/>
    </row>
    <row r="10500" spans="1:8">
      <c r="A10500" s="1483">
        <v>46213</v>
      </c>
      <c r="B10500" s="1482"/>
      <c r="C10500" s="1482" t="s">
        <v>537</v>
      </c>
      <c r="D10500" s="15" t="s">
        <v>4492</v>
      </c>
      <c r="E10500" s="1497">
        <v>274500</v>
      </c>
      <c r="F10500" s="1497"/>
      <c r="G10500" s="1482" t="s">
        <v>56</v>
      </c>
      <c r="H10500" s="3"/>
    </row>
    <row r="10501" spans="1:8">
      <c r="A10501" s="1483">
        <v>46213</v>
      </c>
      <c r="B10501" s="1482"/>
      <c r="C10501" s="1482" t="s">
        <v>537</v>
      </c>
      <c r="D10501" s="3" t="s">
        <v>1951</v>
      </c>
      <c r="E10501" s="1497">
        <v>30000</v>
      </c>
      <c r="F10501" s="1497"/>
      <c r="G10501" s="1482" t="s">
        <v>56</v>
      </c>
      <c r="H10501" s="3"/>
    </row>
    <row r="10502" spans="1:8" ht="15.75" thickBot="1">
      <c r="A10502" s="1483">
        <v>46213</v>
      </c>
      <c r="B10502" s="1482"/>
      <c r="C10502" s="1482" t="s">
        <v>77</v>
      </c>
      <c r="D10502" s="3" t="s">
        <v>3244</v>
      </c>
      <c r="E10502" s="1497"/>
      <c r="F10502" s="1497">
        <v>164789.35999999999</v>
      </c>
      <c r="G10502" s="1482" t="s">
        <v>996</v>
      </c>
      <c r="H10502" s="85"/>
    </row>
    <row r="10503" spans="1:8">
      <c r="H10503" s="1226">
        <v>46213</v>
      </c>
    </row>
    <row r="10504" spans="1:8">
      <c r="H10504" s="136" t="s">
        <v>4826</v>
      </c>
    </row>
    <row r="10505" spans="1:8">
      <c r="H10505" s="137" t="s">
        <v>4673</v>
      </c>
    </row>
    <row r="10506" spans="1:8">
      <c r="H10506" s="137" t="s">
        <v>4781</v>
      </c>
    </row>
    <row r="10507" spans="1:8">
      <c r="H10507" s="138" t="s">
        <v>4512</v>
      </c>
    </row>
    <row r="10508" spans="1:8">
      <c r="H10508" s="138" t="s">
        <v>4779</v>
      </c>
    </row>
    <row r="10509" spans="1:8">
      <c r="H10509" s="138" t="s">
        <v>4759</v>
      </c>
    </row>
    <row r="10510" spans="1:8">
      <c r="H10510" s="138" t="s">
        <v>4782</v>
      </c>
    </row>
    <row r="10511" spans="1:8" ht="15.75" thickBot="1">
      <c r="H10511" s="147" t="s">
        <v>4780</v>
      </c>
    </row>
    <row r="10512" spans="1:8">
      <c r="A10512" s="1484">
        <v>46216</v>
      </c>
      <c r="B10512" s="1485"/>
      <c r="C10512" s="1485" t="s">
        <v>77</v>
      </c>
      <c r="D10512" s="3" t="s">
        <v>4783</v>
      </c>
      <c r="E10512" s="1497"/>
      <c r="F10512" s="1497">
        <v>706600</v>
      </c>
      <c r="G10512" s="1485" t="s">
        <v>27</v>
      </c>
      <c r="H10512" s="125" t="s">
        <v>4784</v>
      </c>
    </row>
    <row r="10513" spans="1:8">
      <c r="A10513" s="1484">
        <v>46216</v>
      </c>
      <c r="B10513" s="1485"/>
      <c r="C10513" s="1485" t="s">
        <v>79</v>
      </c>
      <c r="D10513" s="3" t="s">
        <v>79</v>
      </c>
      <c r="E10513" s="1497">
        <v>52400</v>
      </c>
      <c r="F10513" s="1497"/>
      <c r="G10513" s="1485" t="s">
        <v>27</v>
      </c>
      <c r="H10513" s="3"/>
    </row>
    <row r="10514" spans="1:8">
      <c r="A10514" s="1487">
        <v>46217</v>
      </c>
      <c r="B10514" s="1485"/>
      <c r="C10514" s="1485" t="s">
        <v>150</v>
      </c>
      <c r="D10514" s="3" t="s">
        <v>4785</v>
      </c>
      <c r="E10514" s="1497">
        <v>500000</v>
      </c>
      <c r="F10514" s="1497"/>
      <c r="G10514" s="1486" t="s">
        <v>27</v>
      </c>
      <c r="H10514" s="3"/>
    </row>
    <row r="10515" spans="1:8">
      <c r="A10515" s="1487">
        <v>46217</v>
      </c>
      <c r="B10515" s="1485"/>
      <c r="C10515" s="1486" t="s">
        <v>150</v>
      </c>
      <c r="D10515" s="3" t="s">
        <v>4785</v>
      </c>
      <c r="E10515" s="1497"/>
      <c r="F10515" s="1497">
        <v>500000</v>
      </c>
      <c r="G10515" s="1485" t="s">
        <v>108</v>
      </c>
      <c r="H10515" s="3"/>
    </row>
    <row r="10516" spans="1:8">
      <c r="A10516" s="1487">
        <v>46217</v>
      </c>
      <c r="B10516" s="1485"/>
      <c r="C10516" s="1485" t="s">
        <v>205</v>
      </c>
      <c r="D10516" s="3" t="s">
        <v>48</v>
      </c>
      <c r="E10516" s="1497">
        <v>114000</v>
      </c>
      <c r="F10516" s="1497"/>
      <c r="G10516" s="1485" t="s">
        <v>27</v>
      </c>
      <c r="H10516" s="3"/>
    </row>
    <row r="10517" spans="1:8">
      <c r="A10517" s="1487">
        <v>46217</v>
      </c>
      <c r="B10517" s="1485"/>
      <c r="C10517" s="1485" t="s">
        <v>92</v>
      </c>
      <c r="D10517" s="3" t="s">
        <v>404</v>
      </c>
      <c r="E10517" s="1497"/>
      <c r="F10517" s="1497">
        <v>221200</v>
      </c>
      <c r="G10517" s="1485" t="s">
        <v>27</v>
      </c>
      <c r="H10517" s="3"/>
    </row>
    <row r="10518" spans="1:8">
      <c r="A10518" s="1487">
        <v>46217</v>
      </c>
      <c r="B10518" s="1485"/>
      <c r="C10518" s="1485" t="s">
        <v>77</v>
      </c>
      <c r="D10518" s="3" t="s">
        <v>4731</v>
      </c>
      <c r="E10518" s="1497"/>
      <c r="F10518" s="1497">
        <v>50000</v>
      </c>
      <c r="G10518" s="1485" t="s">
        <v>27</v>
      </c>
      <c r="H10518" s="3" t="s">
        <v>4788</v>
      </c>
    </row>
    <row r="10519" spans="1:8">
      <c r="A10519" s="1487">
        <v>46217</v>
      </c>
      <c r="B10519" s="1485"/>
      <c r="C10519" s="1485" t="s">
        <v>77</v>
      </c>
      <c r="D10519" s="3" t="s">
        <v>4786</v>
      </c>
      <c r="E10519" s="1497"/>
      <c r="F10519" s="1497">
        <v>86100</v>
      </c>
      <c r="G10519" s="1485" t="s">
        <v>27</v>
      </c>
      <c r="H10519" s="3" t="s">
        <v>4787</v>
      </c>
    </row>
    <row r="10520" spans="1:8">
      <c r="A10520" s="1488">
        <v>46217</v>
      </c>
      <c r="B10520" s="1485"/>
      <c r="C10520" s="247" t="s">
        <v>205</v>
      </c>
      <c r="D10520" s="3" t="s">
        <v>11</v>
      </c>
      <c r="E10520" s="1497">
        <v>1044600</v>
      </c>
      <c r="F10520" s="1497"/>
      <c r="G10520" s="1485" t="s">
        <v>72</v>
      </c>
      <c r="H10520" s="3"/>
    </row>
    <row r="10521" spans="1:8">
      <c r="A10521" s="1488">
        <v>46217</v>
      </c>
      <c r="B10521" s="1485"/>
      <c r="C10521" s="1333" t="s">
        <v>205</v>
      </c>
      <c r="D10521" s="3" t="s">
        <v>71</v>
      </c>
      <c r="E10521" s="1497">
        <v>151805.28</v>
      </c>
      <c r="F10521" s="1497"/>
      <c r="G10521" s="1485" t="s">
        <v>996</v>
      </c>
      <c r="H10521" s="3"/>
    </row>
    <row r="10522" spans="1:8">
      <c r="A10522" s="1488">
        <v>46217</v>
      </c>
      <c r="B10522" s="1485"/>
      <c r="C10522" s="1333" t="s">
        <v>205</v>
      </c>
      <c r="D10522" s="3" t="s">
        <v>71</v>
      </c>
      <c r="E10522" s="1497">
        <v>160000</v>
      </c>
      <c r="F10522" s="1497"/>
      <c r="G10522" s="1485" t="s">
        <v>287</v>
      </c>
      <c r="H10522" s="3"/>
    </row>
    <row r="10523" spans="1:8">
      <c r="A10523" s="1488">
        <v>46218</v>
      </c>
      <c r="B10523" s="1485"/>
      <c r="C10523" s="1485" t="s">
        <v>94</v>
      </c>
      <c r="D10523" s="3" t="s">
        <v>245</v>
      </c>
      <c r="E10523" s="1497">
        <v>171950</v>
      </c>
      <c r="F10523" s="1497"/>
      <c r="G10523" s="1485" t="s">
        <v>27</v>
      </c>
      <c r="H10523" s="3"/>
    </row>
    <row r="10524" spans="1:8">
      <c r="A10524" s="1488">
        <v>46218</v>
      </c>
      <c r="B10524" s="1489"/>
      <c r="C10524" s="1489" t="s">
        <v>79</v>
      </c>
      <c r="D10524" s="3" t="s">
        <v>4789</v>
      </c>
      <c r="E10524" s="1497">
        <v>10000</v>
      </c>
      <c r="F10524" s="1497"/>
      <c r="G10524" s="1489" t="s">
        <v>56</v>
      </c>
      <c r="H10524" s="3"/>
    </row>
    <row r="10525" spans="1:8">
      <c r="A10525" s="1488">
        <v>46218</v>
      </c>
      <c r="B10525" s="1489"/>
      <c r="C10525" s="1489" t="s">
        <v>136</v>
      </c>
      <c r="D10525" s="3" t="s">
        <v>4790</v>
      </c>
      <c r="E10525" s="1497">
        <v>10000</v>
      </c>
      <c r="F10525" s="1497"/>
      <c r="G10525" s="1489" t="s">
        <v>56</v>
      </c>
      <c r="H10525" s="3"/>
    </row>
    <row r="10526" spans="1:8">
      <c r="A10526" s="1488">
        <v>46218</v>
      </c>
      <c r="B10526" s="1489"/>
      <c r="C10526" s="1489" t="s">
        <v>79</v>
      </c>
      <c r="D10526" s="3" t="s">
        <v>633</v>
      </c>
      <c r="E10526" s="1497">
        <v>7000</v>
      </c>
      <c r="F10526" s="1497"/>
      <c r="G10526" s="1489" t="s">
        <v>56</v>
      </c>
      <c r="H10526" s="3"/>
    </row>
    <row r="10527" spans="1:8">
      <c r="A10527" s="1488">
        <v>46218</v>
      </c>
      <c r="B10527" s="1489"/>
      <c r="C10527" s="1489" t="s">
        <v>77</v>
      </c>
      <c r="D10527" s="3" t="s">
        <v>4791</v>
      </c>
      <c r="E10527" s="1497"/>
      <c r="F10527" s="1497">
        <v>1700000</v>
      </c>
      <c r="G10527" s="1489" t="s">
        <v>56</v>
      </c>
      <c r="H10527" s="45" t="s">
        <v>4792</v>
      </c>
    </row>
    <row r="10528" spans="1:8">
      <c r="A10528" s="1502">
        <v>46219</v>
      </c>
      <c r="B10528" s="1489"/>
      <c r="C10528" s="1489" t="s">
        <v>205</v>
      </c>
      <c r="D10528" s="3" t="s">
        <v>48</v>
      </c>
      <c r="E10528" s="1497">
        <v>850000</v>
      </c>
      <c r="F10528" s="1497"/>
      <c r="G10528" s="1489" t="s">
        <v>27</v>
      </c>
      <c r="H10528" s="3"/>
    </row>
    <row r="10529" spans="1:8">
      <c r="A10529" s="1502">
        <v>46219</v>
      </c>
      <c r="B10529" s="1489"/>
      <c r="C10529" s="1489" t="s">
        <v>156</v>
      </c>
      <c r="D10529" s="3" t="s">
        <v>4793</v>
      </c>
      <c r="E10529" s="1497">
        <v>5050.7</v>
      </c>
      <c r="F10529" s="1497"/>
      <c r="G10529" s="1489" t="s">
        <v>27</v>
      </c>
      <c r="H10529" s="3"/>
    </row>
    <row r="10530" spans="1:8">
      <c r="A10530" s="1502">
        <v>46219</v>
      </c>
      <c r="B10530" s="1497"/>
      <c r="C10530" s="1497" t="s">
        <v>156</v>
      </c>
      <c r="D10530" s="3" t="s">
        <v>4793</v>
      </c>
      <c r="E10530" s="1497">
        <v>182332.44</v>
      </c>
      <c r="F10530" s="1497"/>
      <c r="G10530" s="1497" t="s">
        <v>27</v>
      </c>
      <c r="H10530" s="3"/>
    </row>
    <row r="10531" spans="1:8">
      <c r="A10531" s="1502">
        <v>46219</v>
      </c>
      <c r="B10531" s="1497"/>
      <c r="C10531" s="1497" t="s">
        <v>94</v>
      </c>
      <c r="D10531" s="3" t="s">
        <v>1687</v>
      </c>
      <c r="E10531" s="1497">
        <v>109435.05</v>
      </c>
      <c r="F10531" s="1497"/>
      <c r="G10531" s="1497" t="s">
        <v>27</v>
      </c>
      <c r="H10531" s="3"/>
    </row>
    <row r="10532" spans="1:8">
      <c r="A10532" s="1502">
        <v>46219</v>
      </c>
      <c r="B10532" s="1497"/>
      <c r="C10532" s="1497" t="s">
        <v>55</v>
      </c>
      <c r="D10532" s="3" t="s">
        <v>562</v>
      </c>
      <c r="E10532" s="1497">
        <v>13423</v>
      </c>
      <c r="F10532" s="1497"/>
      <c r="G10532" s="1497" t="s">
        <v>56</v>
      </c>
      <c r="H10532" s="3"/>
    </row>
    <row r="10533" spans="1:8">
      <c r="A10533" s="1502">
        <v>46219</v>
      </c>
      <c r="B10533" s="1497"/>
      <c r="C10533" s="1497" t="s">
        <v>90</v>
      </c>
      <c r="D10533" s="3" t="s">
        <v>1951</v>
      </c>
      <c r="E10533" s="1497">
        <v>30000</v>
      </c>
      <c r="F10533" s="1497"/>
      <c r="G10533" s="1497" t="s">
        <v>56</v>
      </c>
      <c r="H10533" s="3"/>
    </row>
    <row r="10534" spans="1:8">
      <c r="A10534" s="1502">
        <v>46219</v>
      </c>
      <c r="B10534" s="1497"/>
      <c r="C10534" s="1497" t="s">
        <v>76</v>
      </c>
      <c r="D10534" s="3" t="s">
        <v>4715</v>
      </c>
      <c r="E10534" s="1497"/>
      <c r="F10534" s="1497">
        <v>422000</v>
      </c>
      <c r="G10534" s="1497" t="s">
        <v>56</v>
      </c>
      <c r="H10534" s="3"/>
    </row>
    <row r="10535" spans="1:8">
      <c r="A10535" s="1506">
        <v>46219</v>
      </c>
      <c r="B10535" s="1507"/>
      <c r="C10535" s="1507" t="s">
        <v>3021</v>
      </c>
      <c r="D10535" s="3" t="s">
        <v>3749</v>
      </c>
      <c r="E10535" s="1507">
        <v>40839.83</v>
      </c>
      <c r="F10535" s="1507"/>
      <c r="G10535" s="1507" t="s">
        <v>27</v>
      </c>
      <c r="H10535" s="3"/>
    </row>
    <row r="10536" spans="1:8">
      <c r="A10536" s="1506">
        <v>46219</v>
      </c>
      <c r="B10536" s="1497"/>
      <c r="C10536" s="1497" t="s">
        <v>77</v>
      </c>
      <c r="D10536" s="3" t="s">
        <v>4794</v>
      </c>
      <c r="E10536" s="1497"/>
      <c r="F10536" s="1497">
        <v>650000</v>
      </c>
      <c r="G10536" s="1497"/>
      <c r="H10536" s="3" t="s">
        <v>4797</v>
      </c>
    </row>
    <row r="10537" spans="1:8">
      <c r="A10537" s="1506">
        <v>46219</v>
      </c>
      <c r="B10537" s="1497"/>
      <c r="C10537" s="1497" t="s">
        <v>77</v>
      </c>
      <c r="D10537" s="3" t="s">
        <v>4795</v>
      </c>
      <c r="E10537" s="1497"/>
      <c r="F10537" s="1497">
        <v>2930000</v>
      </c>
      <c r="G10537" s="1497" t="s">
        <v>56</v>
      </c>
      <c r="H10537" s="3" t="s">
        <v>4796</v>
      </c>
    </row>
    <row r="10538" spans="1:8">
      <c r="A10538" s="1506">
        <v>46220</v>
      </c>
      <c r="B10538" s="1497"/>
      <c r="C10538" s="1497" t="s">
        <v>55</v>
      </c>
      <c r="D10538" s="3" t="s">
        <v>514</v>
      </c>
      <c r="E10538" s="1497">
        <v>15000</v>
      </c>
      <c r="F10538" s="1497"/>
      <c r="G10538" s="1497" t="s">
        <v>27</v>
      </c>
      <c r="H10538" s="3"/>
    </row>
    <row r="10539" spans="1:8">
      <c r="A10539" s="1506">
        <v>46220</v>
      </c>
      <c r="B10539" s="1507"/>
      <c r="C10539" s="1507" t="s">
        <v>55</v>
      </c>
      <c r="D10539" s="3" t="s">
        <v>4798</v>
      </c>
      <c r="E10539" s="1507">
        <v>20000</v>
      </c>
      <c r="F10539" s="1507"/>
      <c r="G10539" s="1507" t="s">
        <v>56</v>
      </c>
      <c r="H10539" s="3" t="s">
        <v>4804</v>
      </c>
    </row>
    <row r="10540" spans="1:8">
      <c r="A10540" s="1506">
        <v>46220</v>
      </c>
      <c r="B10540" s="1507"/>
      <c r="C10540" s="1507" t="s">
        <v>79</v>
      </c>
      <c r="D10540" s="3" t="s">
        <v>22</v>
      </c>
      <c r="E10540" s="1507">
        <v>18500</v>
      </c>
      <c r="F10540" s="1507"/>
      <c r="G10540" s="1507" t="s">
        <v>56</v>
      </c>
      <c r="H10540" s="3"/>
    </row>
    <row r="10541" spans="1:8">
      <c r="A10541" s="1506">
        <v>46220</v>
      </c>
      <c r="B10541" s="1507"/>
      <c r="C10541" s="1507" t="s">
        <v>205</v>
      </c>
      <c r="D10541" s="3" t="s">
        <v>48</v>
      </c>
      <c r="E10541" s="1507">
        <v>1173000</v>
      </c>
      <c r="F10541" s="1507"/>
      <c r="G10541" s="1507" t="s">
        <v>996</v>
      </c>
      <c r="H10541" s="3"/>
    </row>
    <row r="10542" spans="1:8">
      <c r="A10542" s="1506">
        <v>46220</v>
      </c>
      <c r="B10542" s="1507"/>
      <c r="C10542" s="1507" t="s">
        <v>92</v>
      </c>
      <c r="D10542" s="3" t="s">
        <v>4809</v>
      </c>
      <c r="E10542" s="1507"/>
      <c r="F10542" s="1507">
        <v>73000</v>
      </c>
      <c r="G10542" s="1507" t="s">
        <v>56</v>
      </c>
      <c r="H10542" s="3"/>
    </row>
    <row r="10543" spans="1:8">
      <c r="A10543" s="1506">
        <v>46220</v>
      </c>
      <c r="B10543" s="1507"/>
      <c r="C10543" s="1507" t="s">
        <v>205</v>
      </c>
      <c r="D10543" s="3" t="s">
        <v>48</v>
      </c>
      <c r="E10543" s="1507">
        <v>120037</v>
      </c>
      <c r="F10543" s="1507"/>
      <c r="G10543" s="1507" t="s">
        <v>72</v>
      </c>
      <c r="H10543" s="3"/>
    </row>
    <row r="10544" spans="1:8">
      <c r="A10544" s="1506">
        <v>46220</v>
      </c>
      <c r="B10544" s="1507"/>
      <c r="C10544" s="1507" t="s">
        <v>537</v>
      </c>
      <c r="D10544" s="3" t="s">
        <v>4492</v>
      </c>
      <c r="E10544" s="1507">
        <v>212000</v>
      </c>
      <c r="F10544" s="1507"/>
      <c r="G10544" s="1507" t="s">
        <v>56</v>
      </c>
      <c r="H10544" s="3"/>
    </row>
    <row r="10545" spans="1:8">
      <c r="A10545" s="1506">
        <v>46220</v>
      </c>
      <c r="B10545" s="1507"/>
      <c r="C10545" s="1507" t="s">
        <v>537</v>
      </c>
      <c r="D10545" s="3" t="s">
        <v>193</v>
      </c>
      <c r="E10545" s="1507">
        <v>180000</v>
      </c>
      <c r="F10545" s="1507"/>
      <c r="G10545" s="1507" t="s">
        <v>56</v>
      </c>
      <c r="H10545" s="3"/>
    </row>
    <row r="10546" spans="1:8">
      <c r="A10546" s="1506">
        <v>46220</v>
      </c>
      <c r="B10546" s="1507"/>
      <c r="C10546" s="1507" t="s">
        <v>537</v>
      </c>
      <c r="D10546" s="3" t="s">
        <v>144</v>
      </c>
      <c r="E10546" s="1507">
        <v>510000</v>
      </c>
      <c r="F10546" s="1507"/>
      <c r="G10546" s="1507" t="s">
        <v>56</v>
      </c>
      <c r="H10546" s="3"/>
    </row>
    <row r="10547" spans="1:8">
      <c r="A10547" s="1506">
        <v>46220</v>
      </c>
      <c r="B10547" s="1507"/>
      <c r="C10547" s="1507" t="s">
        <v>537</v>
      </c>
      <c r="D10547" s="3" t="s">
        <v>219</v>
      </c>
      <c r="E10547" s="1507">
        <v>310000</v>
      </c>
      <c r="F10547" s="1507"/>
      <c r="G10547" s="1507" t="s">
        <v>56</v>
      </c>
      <c r="H10547" s="3"/>
    </row>
    <row r="10548" spans="1:8">
      <c r="A10548" s="1506">
        <v>46220</v>
      </c>
      <c r="B10548" s="1507"/>
      <c r="C10548" s="1507" t="s">
        <v>92</v>
      </c>
      <c r="D10548" s="3" t="s">
        <v>4811</v>
      </c>
      <c r="E10548" s="1507"/>
      <c r="F10548" s="1507">
        <v>65500</v>
      </c>
      <c r="G10548" s="1507" t="s">
        <v>27</v>
      </c>
      <c r="H10548" s="3"/>
    </row>
    <row r="10549" spans="1:8">
      <c r="A10549" s="1506">
        <v>46220</v>
      </c>
      <c r="B10549" s="1507"/>
      <c r="C10549" s="1507" t="s">
        <v>3021</v>
      </c>
      <c r="D10549" s="3" t="s">
        <v>4812</v>
      </c>
      <c r="E10549" s="1507">
        <v>30680</v>
      </c>
      <c r="F10549" s="1507"/>
      <c r="G10549" s="1507" t="s">
        <v>56</v>
      </c>
      <c r="H10549" s="3"/>
    </row>
    <row r="10550" spans="1:8">
      <c r="A10550" s="1506">
        <v>46220</v>
      </c>
      <c r="B10550" s="1507"/>
      <c r="C10550" s="1507" t="s">
        <v>205</v>
      </c>
      <c r="D10550" s="15" t="s">
        <v>38</v>
      </c>
      <c r="E10550" s="1507">
        <v>4474.79</v>
      </c>
      <c r="F10550" s="1507"/>
      <c r="G10550" s="1507" t="s">
        <v>56</v>
      </c>
      <c r="H10550" s="3"/>
    </row>
    <row r="10551" spans="1:8">
      <c r="A10551" s="1506">
        <v>46220</v>
      </c>
      <c r="B10551" s="1507"/>
      <c r="C10551" s="1507" t="s">
        <v>205</v>
      </c>
      <c r="D10551" s="15" t="s">
        <v>38</v>
      </c>
      <c r="E10551" s="1507">
        <v>12000</v>
      </c>
      <c r="F10551" s="1507"/>
      <c r="G10551" s="1507" t="s">
        <v>56</v>
      </c>
      <c r="H10551" s="3"/>
    </row>
    <row r="10552" spans="1:8">
      <c r="A10552" s="1506">
        <v>46220</v>
      </c>
      <c r="B10552" s="1507"/>
      <c r="C10552" s="1507" t="s">
        <v>205</v>
      </c>
      <c r="D10552" s="15" t="s">
        <v>4813</v>
      </c>
      <c r="E10552" s="1507">
        <v>450</v>
      </c>
      <c r="F10552" s="1507"/>
      <c r="G10552" s="1507" t="s">
        <v>56</v>
      </c>
      <c r="H10552" s="3"/>
    </row>
    <row r="10553" spans="1:8">
      <c r="A10553" s="1506">
        <v>46220</v>
      </c>
      <c r="B10553" s="1507"/>
      <c r="C10553" s="1507" t="s">
        <v>205</v>
      </c>
      <c r="D10553" s="15" t="s">
        <v>190</v>
      </c>
      <c r="E10553" s="1507">
        <v>500000</v>
      </c>
      <c r="F10553" s="1507"/>
      <c r="G10553" s="1507" t="s">
        <v>72</v>
      </c>
      <c r="H10553" s="45" t="s">
        <v>4814</v>
      </c>
    </row>
    <row r="10554" spans="1:8" ht="15.75" thickBot="1">
      <c r="A10554" s="1506">
        <v>46220</v>
      </c>
      <c r="B10554" s="1507"/>
      <c r="C10554" s="1507" t="s">
        <v>205</v>
      </c>
      <c r="D10554" s="15" t="s">
        <v>190</v>
      </c>
      <c r="E10554" s="1507">
        <v>1000000</v>
      </c>
      <c r="F10554" s="1507"/>
      <c r="G10554" s="1507" t="s">
        <v>56</v>
      </c>
      <c r="H10554" s="85"/>
    </row>
    <row r="10555" spans="1:8">
      <c r="H10555" s="1226">
        <v>46220</v>
      </c>
    </row>
    <row r="10556" spans="1:8">
      <c r="H10556" s="136" t="s">
        <v>4818</v>
      </c>
    </row>
    <row r="10557" spans="1:8">
      <c r="H10557" s="137" t="s">
        <v>4673</v>
      </c>
    </row>
    <row r="10558" spans="1:8">
      <c r="H10558" s="137" t="s">
        <v>4817</v>
      </c>
    </row>
    <row r="10559" spans="1:8">
      <c r="H10559" s="138" t="s">
        <v>4816</v>
      </c>
    </row>
    <row r="10560" spans="1:8">
      <c r="H10560" s="138" t="s">
        <v>4815</v>
      </c>
    </row>
    <row r="10561" spans="1:8">
      <c r="H10561" s="138" t="s">
        <v>4759</v>
      </c>
    </row>
    <row r="10562" spans="1:8">
      <c r="H10562" s="138" t="s">
        <v>4810</v>
      </c>
    </row>
    <row r="10563" spans="1:8" ht="15.75" thickBot="1">
      <c r="H10563" s="147" t="s">
        <v>4819</v>
      </c>
    </row>
    <row r="10564" spans="1:8">
      <c r="A10564" s="1518">
        <v>46223</v>
      </c>
      <c r="B10564" s="1519"/>
      <c r="C10564" s="1519" t="s">
        <v>79</v>
      </c>
      <c r="D10564" s="3" t="s">
        <v>79</v>
      </c>
      <c r="E10564" s="1519">
        <v>100000</v>
      </c>
      <c r="F10564" s="1519"/>
      <c r="G10564" s="1519" t="s">
        <v>56</v>
      </c>
      <c r="H10564" s="183"/>
    </row>
    <row r="10565" spans="1:8">
      <c r="A10565" s="1518">
        <v>46223</v>
      </c>
      <c r="B10565" s="1519"/>
      <c r="C10565" s="1519" t="s">
        <v>79</v>
      </c>
      <c r="D10565" s="3" t="s">
        <v>79</v>
      </c>
      <c r="E10565" s="1519">
        <v>44918</v>
      </c>
      <c r="F10565" s="1519"/>
      <c r="G10565" s="1519" t="s">
        <v>27</v>
      </c>
      <c r="H10565" s="3"/>
    </row>
    <row r="10566" spans="1:8">
      <c r="A10566" s="1518">
        <v>46224</v>
      </c>
      <c r="B10566" s="1519"/>
      <c r="C10566" s="1519" t="s">
        <v>77</v>
      </c>
      <c r="D10566" s="3" t="s">
        <v>4820</v>
      </c>
      <c r="E10566" s="1519"/>
      <c r="F10566" s="1519">
        <v>396900</v>
      </c>
      <c r="G10566" s="1519" t="s">
        <v>56</v>
      </c>
      <c r="H10566" s="45" t="s">
        <v>4821</v>
      </c>
    </row>
    <row r="10567" spans="1:8">
      <c r="A10567" s="1518">
        <v>46224</v>
      </c>
      <c r="B10567" s="1519"/>
      <c r="C10567" s="1519" t="s">
        <v>92</v>
      </c>
      <c r="D10567" s="3" t="s">
        <v>1889</v>
      </c>
      <c r="E10567" s="1519"/>
      <c r="F10567" s="1519">
        <v>325000</v>
      </c>
      <c r="G10567" s="1519" t="s">
        <v>996</v>
      </c>
      <c r="H10567" s="443">
        <v>46250</v>
      </c>
    </row>
    <row r="10568" spans="1:8">
      <c r="A10568" s="1518">
        <v>46224</v>
      </c>
      <c r="B10568" s="1519"/>
      <c r="C10568" s="1519" t="s">
        <v>205</v>
      </c>
      <c r="D10568" s="3" t="s">
        <v>48</v>
      </c>
      <c r="E10568" s="1519">
        <v>850000</v>
      </c>
      <c r="F10568" s="1519"/>
      <c r="G10568" s="1519" t="s">
        <v>27</v>
      </c>
      <c r="H10568" s="135"/>
    </row>
    <row r="10569" spans="1:8">
      <c r="A10569" s="1518">
        <v>46224</v>
      </c>
      <c r="B10569" s="1519"/>
      <c r="C10569" s="1519" t="s">
        <v>150</v>
      </c>
      <c r="D10569" s="3" t="s">
        <v>319</v>
      </c>
      <c r="E10569" s="1519">
        <v>500000</v>
      </c>
      <c r="F10569" s="1519"/>
      <c r="G10569" s="1519" t="s">
        <v>56</v>
      </c>
      <c r="H10569" s="3"/>
    </row>
    <row r="10570" spans="1:8">
      <c r="A10570" s="1523">
        <v>46225</v>
      </c>
      <c r="B10570" s="1519"/>
      <c r="C10570" s="1519" t="s">
        <v>309</v>
      </c>
      <c r="D10570" s="3" t="s">
        <v>4822</v>
      </c>
      <c r="E10570" s="1519">
        <v>247770.7</v>
      </c>
      <c r="F10570" s="1519"/>
      <c r="G10570" s="1519" t="s">
        <v>56</v>
      </c>
      <c r="H10570" s="3"/>
    </row>
    <row r="10571" spans="1:8">
      <c r="A10571" s="1523">
        <v>46225</v>
      </c>
      <c r="B10571" s="1517"/>
      <c r="C10571" s="1517" t="s">
        <v>205</v>
      </c>
      <c r="D10571" s="3" t="s">
        <v>48</v>
      </c>
      <c r="E10571" s="1521">
        <v>164789.35999999999</v>
      </c>
      <c r="F10571" s="1517"/>
      <c r="G10571" s="1517" t="s">
        <v>996</v>
      </c>
      <c r="H10571" s="3"/>
    </row>
    <row r="10572" spans="1:8">
      <c r="A10572" s="1523">
        <v>46225</v>
      </c>
      <c r="B10572" s="1519"/>
      <c r="C10572" s="1519" t="s">
        <v>92</v>
      </c>
      <c r="D10572" s="3" t="s">
        <v>4823</v>
      </c>
      <c r="E10572" s="1519"/>
      <c r="F10572" s="1519">
        <v>215000</v>
      </c>
      <c r="G10572" s="1519" t="s">
        <v>27</v>
      </c>
      <c r="H10572" s="3"/>
    </row>
    <row r="10573" spans="1:8">
      <c r="A10573" s="1524">
        <v>46226</v>
      </c>
      <c r="B10573" s="1519"/>
      <c r="C10573" s="1519" t="s">
        <v>79</v>
      </c>
      <c r="D10573" s="3" t="s">
        <v>4824</v>
      </c>
      <c r="E10573" s="1525">
        <v>17046.88</v>
      </c>
      <c r="F10573" s="1519"/>
      <c r="G10573" s="1519" t="s">
        <v>27</v>
      </c>
      <c r="H10573" s="3"/>
    </row>
    <row r="10574" spans="1:8">
      <c r="A10574" s="1524">
        <v>46226</v>
      </c>
      <c r="B10574" s="1519"/>
      <c r="C10574" s="1519" t="s">
        <v>65</v>
      </c>
      <c r="D10574" s="3" t="s">
        <v>3770</v>
      </c>
      <c r="E10574" s="1525">
        <v>70832</v>
      </c>
      <c r="F10574" s="1519"/>
      <c r="G10574" s="1519" t="s">
        <v>27</v>
      </c>
      <c r="H10574" s="3"/>
    </row>
    <row r="10575" spans="1:8">
      <c r="A10575" s="1524">
        <v>46226</v>
      </c>
      <c r="B10575" s="1519"/>
      <c r="C10575" s="1519" t="s">
        <v>86</v>
      </c>
      <c r="D10575" s="3" t="s">
        <v>4825</v>
      </c>
      <c r="E10575" s="1519">
        <v>40000</v>
      </c>
      <c r="F10575" s="1519"/>
      <c r="G10575" s="1519" t="s">
        <v>56</v>
      </c>
      <c r="H10575" s="3"/>
    </row>
    <row r="10576" spans="1:8">
      <c r="A10576" s="1519"/>
      <c r="B10576" s="1519"/>
      <c r="C10576" s="1519"/>
      <c r="D10576" s="3"/>
      <c r="E10576" s="1519"/>
      <c r="F10576" s="1519"/>
      <c r="G10576" s="1519"/>
      <c r="H10576" s="3"/>
    </row>
  </sheetData>
  <sortState xmlns:xlrd2="http://schemas.microsoft.com/office/spreadsheetml/2017/richdata2" ref="A255:H408">
    <sortCondition sortBy="cellColor" ref="E407"/>
  </sortState>
  <mergeCells count="15">
    <mergeCell ref="A9259:H9262"/>
    <mergeCell ref="A8934:H8934"/>
    <mergeCell ref="A8357:H8357"/>
    <mergeCell ref="A8131:H8131"/>
    <mergeCell ref="A7841:G7841"/>
    <mergeCell ref="H5691:H5693"/>
    <mergeCell ref="A5927:H5927"/>
    <mergeCell ref="A6981:H6981"/>
    <mergeCell ref="A7017:H7017"/>
    <mergeCell ref="A7040:H7040"/>
    <mergeCell ref="A7723:H7723"/>
    <mergeCell ref="A7503:H7503"/>
    <mergeCell ref="A7392:H7392"/>
    <mergeCell ref="A7375:H7375"/>
    <mergeCell ref="A7048:H7048"/>
  </mergeCells>
  <phoneticPr fontId="38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E91"/>
  <sheetViews>
    <sheetView topLeftCell="A75" workbookViewId="0">
      <selection activeCell="G24" sqref="G24"/>
    </sheetView>
  </sheetViews>
  <sheetFormatPr baseColWidth="10" defaultRowHeight="15"/>
  <cols>
    <col min="1" max="1" width="13" style="247" customWidth="1"/>
    <col min="2" max="2" width="29.42578125" style="200" customWidth="1"/>
    <col min="3" max="3" width="12.85546875" style="1333" customWidth="1"/>
    <col min="4" max="4" width="13.5703125" style="72" customWidth="1"/>
    <col min="5" max="5" width="14.140625" customWidth="1"/>
  </cols>
  <sheetData>
    <row r="1" spans="1:5">
      <c r="D1" s="247"/>
    </row>
    <row r="2" spans="1:5" ht="15.75" thickBot="1">
      <c r="A2" s="1562"/>
      <c r="B2" s="1562"/>
      <c r="C2" s="1562"/>
      <c r="D2" s="1562"/>
    </row>
    <row r="3" spans="1:5" ht="15.75" thickBot="1">
      <c r="A3" s="1569" t="s">
        <v>2457</v>
      </c>
      <c r="B3" s="1570"/>
      <c r="C3" s="1570"/>
      <c r="D3" s="1571"/>
    </row>
    <row r="4" spans="1:5" ht="15.75" thickBot="1">
      <c r="A4" s="1343" t="s">
        <v>4723</v>
      </c>
      <c r="B4" s="1086" t="s">
        <v>4169</v>
      </c>
      <c r="C4" s="1086" t="s">
        <v>128</v>
      </c>
      <c r="D4" s="1471" t="s">
        <v>8</v>
      </c>
      <c r="E4" s="110" t="s">
        <v>79</v>
      </c>
    </row>
    <row r="5" spans="1:5" hidden="1">
      <c r="A5" s="1083"/>
      <c r="B5" s="1084" t="s">
        <v>19</v>
      </c>
      <c r="C5" s="62">
        <v>46560.61</v>
      </c>
      <c r="D5" s="1085" t="s">
        <v>27</v>
      </c>
    </row>
    <row r="6" spans="1:5" hidden="1">
      <c r="A6" s="1064">
        <v>45658</v>
      </c>
      <c r="B6" s="6" t="s">
        <v>19</v>
      </c>
      <c r="C6" s="1454">
        <v>17545.66</v>
      </c>
      <c r="D6" s="1065" t="s">
        <v>27</v>
      </c>
    </row>
    <row r="7" spans="1:5" hidden="1">
      <c r="A7" s="1064">
        <v>45658</v>
      </c>
      <c r="B7" s="6" t="s">
        <v>3040</v>
      </c>
      <c r="C7" s="8">
        <v>2064</v>
      </c>
      <c r="D7" s="1065" t="s">
        <v>27</v>
      </c>
    </row>
    <row r="8" spans="1:5" hidden="1">
      <c r="A8" s="1064">
        <v>45945</v>
      </c>
      <c r="B8" s="6" t="s">
        <v>14</v>
      </c>
      <c r="C8" s="1454">
        <v>69564.59</v>
      </c>
      <c r="D8" s="1065" t="s">
        <v>4172</v>
      </c>
    </row>
    <row r="9" spans="1:5" hidden="1">
      <c r="A9" s="1118">
        <v>45658</v>
      </c>
      <c r="B9" s="1119" t="s">
        <v>19</v>
      </c>
      <c r="C9" s="57">
        <v>17545.66</v>
      </c>
      <c r="D9" s="1120" t="s">
        <v>27</v>
      </c>
    </row>
    <row r="10" spans="1:5">
      <c r="A10" s="1100">
        <v>46185</v>
      </c>
      <c r="B10" s="6" t="s">
        <v>13</v>
      </c>
      <c r="C10" s="8">
        <v>207086.78</v>
      </c>
      <c r="D10" s="1463"/>
      <c r="E10" s="1462"/>
    </row>
    <row r="11" spans="1:5">
      <c r="A11" s="1100">
        <v>46198</v>
      </c>
      <c r="B11" s="6" t="s">
        <v>15</v>
      </c>
      <c r="C11" s="8">
        <v>171432.06</v>
      </c>
      <c r="D11" s="1463"/>
      <c r="E11" s="1462"/>
    </row>
    <row r="12" spans="1:5">
      <c r="A12" s="1438">
        <v>46226</v>
      </c>
      <c r="B12" s="6" t="s">
        <v>15</v>
      </c>
      <c r="C12" s="8">
        <v>169511.08</v>
      </c>
      <c r="D12" s="1439"/>
      <c r="E12" s="1462"/>
    </row>
    <row r="13" spans="1:5">
      <c r="A13" s="1374">
        <v>46204</v>
      </c>
      <c r="B13" s="6" t="s">
        <v>2552</v>
      </c>
      <c r="C13" s="8">
        <v>22034.44</v>
      </c>
      <c r="D13" s="1465"/>
      <c r="E13" s="1462"/>
    </row>
    <row r="14" spans="1:5">
      <c r="A14" s="1438">
        <v>46204</v>
      </c>
      <c r="B14" s="6" t="s">
        <v>2553</v>
      </c>
      <c r="C14" s="8">
        <v>22034.44</v>
      </c>
      <c r="D14" s="1465"/>
      <c r="E14" s="1462"/>
    </row>
    <row r="15" spans="1:5">
      <c r="A15" s="1438">
        <v>46204</v>
      </c>
      <c r="B15" s="6" t="s">
        <v>2188</v>
      </c>
      <c r="C15" s="1454">
        <v>50883.01</v>
      </c>
      <c r="D15" s="1465"/>
      <c r="E15" s="1462">
        <v>50883.01</v>
      </c>
    </row>
    <row r="16" spans="1:5" hidden="1">
      <c r="A16" s="1083">
        <v>45974</v>
      </c>
      <c r="B16" s="1084" t="s">
        <v>13</v>
      </c>
      <c r="C16" s="1454">
        <v>48545.11</v>
      </c>
      <c r="D16" s="1068"/>
    </row>
    <row r="17" spans="1:5" hidden="1">
      <c r="A17" s="1121"/>
      <c r="B17" s="1122" t="s">
        <v>15</v>
      </c>
      <c r="C17" s="1123"/>
      <c r="D17" s="1070"/>
    </row>
    <row r="18" spans="1:5">
      <c r="A18" s="1526">
        <v>46212</v>
      </c>
      <c r="B18" s="1527" t="s">
        <v>934</v>
      </c>
      <c r="C18" s="1528">
        <v>1100000</v>
      </c>
      <c r="D18" s="1528">
        <v>14.4</v>
      </c>
      <c r="E18" s="1522">
        <v>1121744</v>
      </c>
    </row>
    <row r="19" spans="1:5">
      <c r="A19" s="1526">
        <v>46212</v>
      </c>
      <c r="B19" s="1527" t="s">
        <v>934</v>
      </c>
      <c r="C19" s="1528"/>
      <c r="D19" s="1529">
        <v>19.989999999999998</v>
      </c>
      <c r="E19" s="1522"/>
    </row>
    <row r="20" spans="1:5">
      <c r="A20" s="1100">
        <v>46212</v>
      </c>
      <c r="B20" s="353" t="s">
        <v>2983</v>
      </c>
      <c r="C20" s="14" t="s">
        <v>345</v>
      </c>
      <c r="D20" s="1472"/>
      <c r="E20" s="1462"/>
    </row>
    <row r="21" spans="1:5">
      <c r="A21" s="1100">
        <v>46210</v>
      </c>
      <c r="B21" s="6" t="s">
        <v>17</v>
      </c>
      <c r="C21" s="8">
        <v>109435.05</v>
      </c>
      <c r="D21" s="1472"/>
      <c r="E21" s="1462"/>
    </row>
    <row r="22" spans="1:5">
      <c r="A22" s="1128">
        <v>46210</v>
      </c>
      <c r="B22" s="6" t="s">
        <v>2462</v>
      </c>
      <c r="C22" s="1454">
        <v>42290</v>
      </c>
      <c r="D22" s="1463" t="s">
        <v>27</v>
      </c>
      <c r="E22" s="1462"/>
    </row>
    <row r="23" spans="1:5">
      <c r="A23" s="1526">
        <v>46217</v>
      </c>
      <c r="B23" s="104" t="s">
        <v>344</v>
      </c>
      <c r="C23" s="184">
        <v>454000</v>
      </c>
      <c r="D23" s="1529" t="s">
        <v>3309</v>
      </c>
      <c r="E23" s="1522"/>
    </row>
    <row r="24" spans="1:5">
      <c r="A24" s="1530">
        <v>46217</v>
      </c>
      <c r="B24" s="104" t="s">
        <v>344</v>
      </c>
      <c r="C24" s="1528">
        <v>335000</v>
      </c>
      <c r="D24" s="1529"/>
      <c r="E24" s="1522">
        <v>335000</v>
      </c>
    </row>
    <row r="25" spans="1:5">
      <c r="A25" s="1526">
        <v>46217</v>
      </c>
      <c r="B25" s="104" t="s">
        <v>3016</v>
      </c>
      <c r="C25" s="1528">
        <v>710250.18</v>
      </c>
      <c r="D25" s="1531"/>
      <c r="E25" s="1528">
        <v>710250.18</v>
      </c>
    </row>
    <row r="26" spans="1:5">
      <c r="A26" s="1374">
        <v>46211</v>
      </c>
      <c r="B26" s="6" t="s">
        <v>4642</v>
      </c>
      <c r="C26" s="8" t="s">
        <v>4771</v>
      </c>
      <c r="D26" s="1473"/>
      <c r="E26" s="1462"/>
    </row>
    <row r="27" spans="1:5">
      <c r="A27" s="1100">
        <v>46211</v>
      </c>
      <c r="B27" s="6" t="s">
        <v>4769</v>
      </c>
      <c r="C27" s="8">
        <v>33505.300000000003</v>
      </c>
      <c r="D27" s="1473"/>
      <c r="E27" s="8">
        <v>33505.300000000003</v>
      </c>
    </row>
    <row r="28" spans="1:5">
      <c r="A28" s="1100">
        <v>46213</v>
      </c>
      <c r="B28" s="6" t="s">
        <v>3545</v>
      </c>
      <c r="C28" s="8">
        <v>50522.74</v>
      </c>
      <c r="D28" s="1472"/>
      <c r="E28" s="1462"/>
    </row>
    <row r="29" spans="1:5">
      <c r="A29" s="1100">
        <v>46213</v>
      </c>
      <c r="B29" s="6" t="s">
        <v>4799</v>
      </c>
      <c r="C29" s="8" t="s">
        <v>4641</v>
      </c>
      <c r="D29" s="1472"/>
      <c r="E29" s="1462"/>
    </row>
    <row r="30" spans="1:5">
      <c r="A30" s="1100">
        <v>46213</v>
      </c>
      <c r="B30" s="6" t="s">
        <v>514</v>
      </c>
      <c r="C30" s="8">
        <v>15000</v>
      </c>
      <c r="D30" s="1463" t="s">
        <v>27</v>
      </c>
      <c r="E30" s="1462"/>
    </row>
    <row r="31" spans="1:5">
      <c r="A31" s="1374">
        <v>46219</v>
      </c>
      <c r="B31" s="6" t="s">
        <v>4772</v>
      </c>
      <c r="C31" s="8">
        <v>182332.44</v>
      </c>
      <c r="D31" s="1463" t="s">
        <v>27</v>
      </c>
      <c r="E31" s="1462"/>
    </row>
    <row r="32" spans="1:5">
      <c r="A32" s="1100">
        <v>46219</v>
      </c>
      <c r="B32" s="6" t="s">
        <v>4698</v>
      </c>
      <c r="C32" s="8">
        <v>5050.7</v>
      </c>
      <c r="D32" s="1463" t="s">
        <v>27</v>
      </c>
      <c r="E32" s="1462"/>
    </row>
    <row r="33" spans="1:5">
      <c r="A33" s="1100">
        <v>46219</v>
      </c>
      <c r="B33" s="6" t="s">
        <v>4699</v>
      </c>
      <c r="C33" s="1462">
        <v>69196.88</v>
      </c>
      <c r="D33" s="1472" t="s">
        <v>4773</v>
      </c>
      <c r="E33" s="1462"/>
    </row>
    <row r="34" spans="1:5" hidden="1">
      <c r="A34" s="1124">
        <v>45661</v>
      </c>
      <c r="B34" s="1125" t="s">
        <v>3545</v>
      </c>
      <c r="C34" s="1126" t="s">
        <v>4121</v>
      </c>
      <c r="D34" s="1127" t="s">
        <v>27</v>
      </c>
    </row>
    <row r="35" spans="1:5">
      <c r="A35" s="1100">
        <v>46223</v>
      </c>
      <c r="B35" s="6" t="s">
        <v>166</v>
      </c>
      <c r="C35" s="8">
        <v>643600</v>
      </c>
      <c r="D35" s="8"/>
      <c r="E35" s="8">
        <v>643600</v>
      </c>
    </row>
    <row r="36" spans="1:5">
      <c r="A36" s="1100">
        <v>46223</v>
      </c>
      <c r="B36" s="6" t="s">
        <v>19</v>
      </c>
      <c r="C36" s="1465">
        <v>70832</v>
      </c>
      <c r="D36" s="1465"/>
      <c r="E36" s="1462"/>
    </row>
    <row r="37" spans="1:5">
      <c r="A37" s="1128">
        <v>46229</v>
      </c>
      <c r="B37" s="6" t="s">
        <v>2918</v>
      </c>
      <c r="C37" s="1454">
        <v>15639.18</v>
      </c>
      <c r="D37" s="1463" t="s">
        <v>27</v>
      </c>
      <c r="E37" s="1462">
        <v>15639.18</v>
      </c>
    </row>
    <row r="38" spans="1:5">
      <c r="A38" s="1340">
        <v>46205</v>
      </c>
      <c r="B38" s="1084" t="s">
        <v>4640</v>
      </c>
      <c r="C38" s="1452">
        <v>707513.66</v>
      </c>
      <c r="D38" s="1474"/>
      <c r="E38" s="1462"/>
    </row>
    <row r="39" spans="1:5">
      <c r="A39" s="1100">
        <v>46202</v>
      </c>
      <c r="B39" s="6" t="s">
        <v>4640</v>
      </c>
      <c r="C39" s="1452">
        <v>618419.35</v>
      </c>
      <c r="D39" s="1463"/>
      <c r="E39" s="1462"/>
    </row>
    <row r="40" spans="1:5">
      <c r="A40" s="1100" t="s">
        <v>4572</v>
      </c>
      <c r="B40" s="6" t="s">
        <v>4768</v>
      </c>
      <c r="C40" s="1461" t="s">
        <v>4770</v>
      </c>
      <c r="D40" s="1473"/>
      <c r="E40" s="1462"/>
    </row>
    <row r="41" spans="1:5">
      <c r="A41" s="1100" t="s">
        <v>4572</v>
      </c>
      <c r="B41" s="6" t="s">
        <v>4767</v>
      </c>
      <c r="C41" s="1461">
        <v>134565.9</v>
      </c>
      <c r="D41" s="1473"/>
      <c r="E41" s="1461">
        <v>134565.9</v>
      </c>
    </row>
    <row r="42" spans="1:5">
      <c r="A42" s="1100">
        <v>46164</v>
      </c>
      <c r="B42" s="6" t="s">
        <v>4802</v>
      </c>
      <c r="C42" s="8" t="s">
        <v>4766</v>
      </c>
      <c r="D42" s="1473"/>
      <c r="E42" s="1462"/>
    </row>
    <row r="43" spans="1:5">
      <c r="A43" s="1504">
        <v>46227</v>
      </c>
      <c r="B43" s="6" t="s">
        <v>4801</v>
      </c>
      <c r="C43" s="8" t="s">
        <v>4800</v>
      </c>
      <c r="D43" s="1473"/>
      <c r="E43" s="1507"/>
    </row>
    <row r="44" spans="1:5">
      <c r="A44" s="1100">
        <v>46220</v>
      </c>
      <c r="B44" s="6" t="s">
        <v>22</v>
      </c>
      <c r="C44" s="1452">
        <v>120600.93</v>
      </c>
      <c r="D44" s="1463"/>
      <c r="E44" s="1462"/>
    </row>
    <row r="45" spans="1:5">
      <c r="A45" s="1100"/>
      <c r="B45" s="6" t="s">
        <v>36</v>
      </c>
      <c r="C45" s="8">
        <v>1500000</v>
      </c>
      <c r="D45" s="1463" t="s">
        <v>4740</v>
      </c>
      <c r="E45" s="1462"/>
    </row>
    <row r="46" spans="1:5">
      <c r="A46" s="1100"/>
      <c r="B46" s="6" t="s">
        <v>4400</v>
      </c>
      <c r="C46" s="8">
        <v>400000</v>
      </c>
      <c r="D46" s="1473"/>
      <c r="E46" s="1462"/>
    </row>
    <row r="47" spans="1:5">
      <c r="A47" s="1100"/>
      <c r="B47" s="6" t="s">
        <v>167</v>
      </c>
      <c r="C47" s="8">
        <v>6110000</v>
      </c>
      <c r="D47" s="1463" t="s">
        <v>3558</v>
      </c>
      <c r="E47" s="1462"/>
    </row>
    <row r="48" spans="1:5">
      <c r="A48" s="1504"/>
      <c r="B48" s="6" t="s">
        <v>4803</v>
      </c>
      <c r="C48" s="8">
        <v>500000</v>
      </c>
      <c r="D48" s="1505" t="s">
        <v>3558</v>
      </c>
      <c r="E48" s="1507"/>
    </row>
    <row r="49" spans="1:5">
      <c r="A49" s="1100"/>
      <c r="B49" s="6" t="s">
        <v>68</v>
      </c>
      <c r="C49" s="8">
        <v>150000</v>
      </c>
      <c r="D49" s="1463" t="s">
        <v>3558</v>
      </c>
      <c r="E49" s="1462"/>
    </row>
    <row r="50" spans="1:5">
      <c r="A50" s="1100"/>
      <c r="B50" s="6" t="s">
        <v>2621</v>
      </c>
      <c r="C50" s="8"/>
      <c r="D50" s="1463" t="s">
        <v>27</v>
      </c>
      <c r="E50" s="1462"/>
    </row>
    <row r="51" spans="1:5">
      <c r="A51" s="1100"/>
      <c r="B51" s="6" t="s">
        <v>3857</v>
      </c>
      <c r="C51" s="8">
        <v>600000</v>
      </c>
      <c r="D51" s="1463" t="s">
        <v>3858</v>
      </c>
      <c r="E51" s="1462"/>
    </row>
    <row r="52" spans="1:5">
      <c r="A52" s="1100"/>
      <c r="B52" s="6" t="s">
        <v>3856</v>
      </c>
      <c r="C52" s="8">
        <v>80000</v>
      </c>
      <c r="D52" s="1463"/>
      <c r="E52" s="1462"/>
    </row>
    <row r="53" spans="1:5" ht="15.75" thickBot="1">
      <c r="A53" s="1344"/>
      <c r="B53" s="1119" t="s">
        <v>4410</v>
      </c>
      <c r="C53" s="1123">
        <v>1500000</v>
      </c>
      <c r="D53" s="1475"/>
      <c r="E53" s="57">
        <v>1500000</v>
      </c>
    </row>
    <row r="54" spans="1:5" ht="15.75" thickBot="1">
      <c r="A54" s="1345" t="s">
        <v>20</v>
      </c>
      <c r="B54" s="1346"/>
      <c r="C54" s="1348">
        <f>SUM(C10:C53)</f>
        <v>16949281.23</v>
      </c>
      <c r="D54" s="1347"/>
      <c r="E54" s="1476">
        <f>SUM(E10:E53)</f>
        <v>4545187.57</v>
      </c>
    </row>
    <row r="55" spans="1:5">
      <c r="A55" s="1572"/>
      <c r="B55" s="1573"/>
      <c r="C55" s="1573"/>
      <c r="D55" s="1574"/>
    </row>
    <row r="56" spans="1:5" ht="15.75" thickBot="1">
      <c r="A56" s="1575" t="s">
        <v>21</v>
      </c>
      <c r="B56" s="1576"/>
      <c r="C56" s="1576"/>
      <c r="D56" s="1577"/>
    </row>
    <row r="57" spans="1:5">
      <c r="A57" s="1563" t="s">
        <v>4239</v>
      </c>
      <c r="B57" s="1564"/>
      <c r="C57" s="1564"/>
      <c r="D57" s="1565"/>
    </row>
    <row r="58" spans="1:5">
      <c r="A58" s="1584">
        <v>931</v>
      </c>
      <c r="B58" s="1580">
        <v>1100206.8</v>
      </c>
      <c r="C58" s="1578" t="s">
        <v>389</v>
      </c>
      <c r="D58" s="1581"/>
    </row>
    <row r="59" spans="1:5">
      <c r="A59" s="1585"/>
      <c r="B59" s="1580"/>
      <c r="C59" s="1579"/>
      <c r="D59" s="1582"/>
    </row>
    <row r="60" spans="1:5">
      <c r="A60" s="1585"/>
      <c r="B60" s="1580"/>
      <c r="C60" s="1579"/>
      <c r="D60" s="1583"/>
    </row>
    <row r="61" spans="1:5" ht="15.75" thickBot="1">
      <c r="A61" s="1586"/>
      <c r="B61" s="1238" t="s">
        <v>4530</v>
      </c>
      <c r="C61" s="1587" t="s">
        <v>4644</v>
      </c>
      <c r="D61" s="1588"/>
    </row>
    <row r="62" spans="1:5" ht="15.75" thickBot="1">
      <c r="A62" s="1066" t="s">
        <v>1202</v>
      </c>
      <c r="B62" s="1395" t="s">
        <v>866</v>
      </c>
      <c r="C62" s="1589" t="s">
        <v>4645</v>
      </c>
      <c r="D62" s="1590"/>
    </row>
    <row r="63" spans="1:5" ht="15.75" thickBot="1">
      <c r="A63" s="1566" t="s">
        <v>4155</v>
      </c>
      <c r="B63" s="1567"/>
      <c r="C63" s="1567"/>
      <c r="D63" s="1568"/>
    </row>
    <row r="64" spans="1:5">
      <c r="A64" s="1384" t="s">
        <v>4717</v>
      </c>
      <c r="B64" s="1385" t="s">
        <v>2958</v>
      </c>
      <c r="C64" s="1386">
        <v>5848.58</v>
      </c>
      <c r="D64" s="1387">
        <v>46219</v>
      </c>
    </row>
    <row r="65" spans="1:5" ht="15.75" thickBot="1">
      <c r="A65" s="1382" t="s">
        <v>4718</v>
      </c>
      <c r="B65" s="1122" t="s">
        <v>4318</v>
      </c>
      <c r="C65" s="1123">
        <v>182332.44</v>
      </c>
      <c r="D65" s="1383">
        <v>46189</v>
      </c>
    </row>
    <row r="66" spans="1:5" ht="15.75" thickBot="1">
      <c r="A66" s="1375" t="s">
        <v>28</v>
      </c>
      <c r="B66" s="1597" t="s">
        <v>2622</v>
      </c>
      <c r="C66" s="1598"/>
      <c r="D66" s="1599"/>
    </row>
    <row r="67" spans="1:5">
      <c r="A67" s="1067" t="s">
        <v>2624</v>
      </c>
      <c r="B67" s="577">
        <v>29352.2</v>
      </c>
      <c r="C67" s="216" t="s">
        <v>2626</v>
      </c>
      <c r="D67" s="1607" t="s">
        <v>30</v>
      </c>
    </row>
    <row r="68" spans="1:5">
      <c r="A68" s="1037" t="s">
        <v>2623</v>
      </c>
      <c r="B68" s="577">
        <v>92257.8</v>
      </c>
      <c r="C68" s="1451" t="s">
        <v>2627</v>
      </c>
      <c r="D68" s="1608"/>
    </row>
    <row r="69" spans="1:5" ht="15.75" thickBot="1">
      <c r="A69" s="1069" t="s">
        <v>2625</v>
      </c>
      <c r="B69" s="577">
        <v>49324.3</v>
      </c>
      <c r="C69" s="142" t="s">
        <v>2628</v>
      </c>
      <c r="D69" s="1609"/>
    </row>
    <row r="70" spans="1:5">
      <c r="A70" s="1215" t="s">
        <v>28</v>
      </c>
      <c r="B70" s="1594" t="s">
        <v>2696</v>
      </c>
      <c r="C70" s="1595"/>
      <c r="D70" s="1596"/>
    </row>
    <row r="71" spans="1:5">
      <c r="A71" s="1593"/>
      <c r="B71" s="576" t="s">
        <v>3952</v>
      </c>
      <c r="C71" s="142">
        <v>141082.79999999999</v>
      </c>
      <c r="D71" s="1217" t="s">
        <v>4608</v>
      </c>
    </row>
    <row r="72" spans="1:5">
      <c r="A72" s="1593"/>
      <c r="B72" s="576" t="s">
        <v>2697</v>
      </c>
      <c r="C72" s="142">
        <v>91529.600000000006</v>
      </c>
      <c r="D72" s="1356" t="s">
        <v>4608</v>
      </c>
    </row>
    <row r="73" spans="1:5" ht="15.75" thickBot="1">
      <c r="A73" s="1216" t="s">
        <v>28</v>
      </c>
      <c r="B73" s="1600" t="s">
        <v>309</v>
      </c>
      <c r="C73" s="1601"/>
      <c r="D73" s="1602"/>
    </row>
    <row r="74" spans="1:5" ht="15.75" thickBot="1">
      <c r="A74" s="1113" t="s">
        <v>4431</v>
      </c>
      <c r="B74" s="1059">
        <v>46358</v>
      </c>
      <c r="C74" s="8">
        <v>245254</v>
      </c>
      <c r="D74" s="1068"/>
    </row>
    <row r="75" spans="1:5" ht="15.75" thickBot="1">
      <c r="A75" s="1603" t="s">
        <v>22</v>
      </c>
      <c r="B75" s="1604"/>
      <c r="C75" s="1604"/>
      <c r="D75" s="1605"/>
    </row>
    <row r="76" spans="1:5" ht="15.75" thickBot="1">
      <c r="A76" s="1200" t="s">
        <v>23</v>
      </c>
      <c r="B76" s="1203">
        <v>28236.9</v>
      </c>
      <c r="C76" s="1610">
        <v>46220</v>
      </c>
      <c r="D76" s="1444">
        <v>58403.65</v>
      </c>
      <c r="E76" s="1197"/>
    </row>
    <row r="77" spans="1:5">
      <c r="A77" s="1200" t="s">
        <v>24</v>
      </c>
      <c r="B77" s="1198">
        <v>9569.4500000000007</v>
      </c>
      <c r="C77" s="1611"/>
      <c r="D77" s="1444">
        <v>20533.41</v>
      </c>
      <c r="E77" s="1197"/>
    </row>
    <row r="78" spans="1:5" ht="15.75" thickBot="1">
      <c r="A78" s="1201"/>
      <c r="B78" s="1199">
        <v>8000</v>
      </c>
      <c r="C78" s="1612"/>
      <c r="D78" s="1444">
        <v>14980.81</v>
      </c>
      <c r="E78" s="1197"/>
    </row>
    <row r="79" spans="1:5">
      <c r="A79" s="1606" t="s">
        <v>25</v>
      </c>
      <c r="B79" s="1192">
        <v>15592.97</v>
      </c>
      <c r="C79" s="1610">
        <v>46220</v>
      </c>
      <c r="D79" s="1444">
        <v>31983.37</v>
      </c>
    </row>
    <row r="80" spans="1:5">
      <c r="A80" s="1606"/>
      <c r="B80" s="1192">
        <v>18580.099999999999</v>
      </c>
      <c r="C80" s="1611"/>
      <c r="D80" s="1444">
        <v>41553.72</v>
      </c>
    </row>
    <row r="81" spans="1:5" ht="15.75" thickBot="1">
      <c r="A81" s="1202"/>
      <c r="B81" s="1192">
        <v>8000</v>
      </c>
      <c r="C81" s="1612"/>
      <c r="D81" s="1444">
        <v>14980.81</v>
      </c>
    </row>
    <row r="82" spans="1:5" ht="15.75" thickBot="1">
      <c r="A82" s="1613" t="s">
        <v>26</v>
      </c>
      <c r="B82" s="1442">
        <v>12908.71</v>
      </c>
      <c r="C82" s="1610">
        <v>46220</v>
      </c>
      <c r="D82" s="1444">
        <v>27698.55</v>
      </c>
    </row>
    <row r="83" spans="1:5" ht="15.75" thickBot="1">
      <c r="A83" s="1606"/>
      <c r="B83" s="1443">
        <v>11712.8</v>
      </c>
      <c r="C83" s="1611"/>
      <c r="D83" s="1447">
        <v>7281.78</v>
      </c>
      <c r="E83" s="1448" t="s">
        <v>30</v>
      </c>
    </row>
    <row r="84" spans="1:5" ht="15.75" thickBot="1">
      <c r="A84" s="1606"/>
      <c r="B84" s="1445">
        <v>8000</v>
      </c>
      <c r="C84" s="1611"/>
      <c r="D84" s="1446">
        <v>14980.81</v>
      </c>
      <c r="E84" s="313">
        <f>SUM(D76:D84)</f>
        <v>232396.90999999997</v>
      </c>
    </row>
    <row r="85" spans="1:5" ht="15.75" thickBot="1">
      <c r="A85" s="1460"/>
      <c r="B85" s="1614">
        <f>SUM(B76:B84)</f>
        <v>120600.93000000001</v>
      </c>
      <c r="C85" s="1615"/>
      <c r="D85" s="1616"/>
      <c r="E85" s="1477"/>
    </row>
    <row r="86" spans="1:5">
      <c r="A86" s="1029" t="s">
        <v>2699</v>
      </c>
      <c r="B86" s="1030"/>
      <c r="C86" s="1031"/>
      <c r="D86" s="1232"/>
    </row>
    <row r="87" spans="1:5" ht="15.75" thickBot="1">
      <c r="A87" s="1032" t="s">
        <v>2698</v>
      </c>
      <c r="B87" s="1033"/>
      <c r="C87" s="1034"/>
      <c r="D87" s="1233"/>
    </row>
    <row r="88" spans="1:5" ht="15.75" thickBot="1">
      <c r="A88" s="1236" t="s">
        <v>10</v>
      </c>
      <c r="B88" s="1237">
        <f>SUM(B76:B87)</f>
        <v>241201.86000000002</v>
      </c>
      <c r="C88" s="1234"/>
      <c r="D88" s="1235"/>
    </row>
    <row r="89" spans="1:5" ht="15.75" thickBot="1">
      <c r="A89" s="1591" t="s">
        <v>36</v>
      </c>
      <c r="B89" s="1592"/>
      <c r="D89" s="213"/>
    </row>
    <row r="90" spans="1:5">
      <c r="A90" s="777" t="s">
        <v>4643</v>
      </c>
      <c r="B90" s="1193">
        <v>75000</v>
      </c>
      <c r="D90" s="213"/>
    </row>
    <row r="91" spans="1:5">
      <c r="A91" s="777" t="s">
        <v>1999</v>
      </c>
      <c r="B91" s="1377">
        <v>75000</v>
      </c>
    </row>
  </sheetData>
  <mergeCells count="25">
    <mergeCell ref="A89:B89"/>
    <mergeCell ref="A71:A72"/>
    <mergeCell ref="B70:D70"/>
    <mergeCell ref="B66:D66"/>
    <mergeCell ref="B73:D73"/>
    <mergeCell ref="A75:D75"/>
    <mergeCell ref="A79:A80"/>
    <mergeCell ref="D67:D69"/>
    <mergeCell ref="C76:C78"/>
    <mergeCell ref="C79:C81"/>
    <mergeCell ref="C82:C84"/>
    <mergeCell ref="A82:A84"/>
    <mergeCell ref="B85:D85"/>
    <mergeCell ref="A2:D2"/>
    <mergeCell ref="A57:D57"/>
    <mergeCell ref="A63:D63"/>
    <mergeCell ref="A3:D3"/>
    <mergeCell ref="A55:D55"/>
    <mergeCell ref="A56:D56"/>
    <mergeCell ref="C58:C60"/>
    <mergeCell ref="B58:B60"/>
    <mergeCell ref="D58:D60"/>
    <mergeCell ref="A58:A61"/>
    <mergeCell ref="C61:D61"/>
    <mergeCell ref="C62:D62"/>
  </mergeCells>
  <phoneticPr fontId="38" type="noConversion"/>
  <pageMargins left="0.7" right="0.7" top="0.75" bottom="0.75" header="0.3" footer="0.3"/>
  <pageSetup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3074" r:id="rId4" name="Control 2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91</xdr:row>
                <xdr:rowOff>76200</xdr:rowOff>
              </to>
            </anchor>
          </controlPr>
        </control>
      </mc:Choice>
      <mc:Fallback>
        <control shapeId="3074" r:id="rId4" name="Control 2"/>
      </mc:Fallback>
    </mc:AlternateContent>
    <mc:AlternateContent xmlns:mc="http://schemas.openxmlformats.org/markup-compatibility/2006">
      <mc:Choice Requires="x14">
        <control shapeId="3073" r:id="rId6" name="Control 1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91</xdr:row>
                <xdr:rowOff>76200</xdr:rowOff>
              </to>
            </anchor>
          </controlPr>
        </control>
      </mc:Choice>
      <mc:Fallback>
        <control shapeId="3073" r:id="rId6" name="Control 1"/>
      </mc:Fallback>
    </mc:AlternateContent>
  </controls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0"/>
  <sheetViews>
    <sheetView workbookViewId="0">
      <selection activeCell="G14" sqref="G14"/>
    </sheetView>
  </sheetViews>
  <sheetFormatPr baseColWidth="10" defaultRowHeight="15"/>
  <cols>
    <col min="1" max="1" width="9.28515625" style="1333" customWidth="1"/>
    <col min="2" max="2" width="16.85546875" style="200" customWidth="1"/>
    <col min="3" max="3" width="14.5703125" style="143" bestFit="1" customWidth="1"/>
  </cols>
  <sheetData>
    <row r="2" spans="1:4" ht="15.75" thickBot="1"/>
    <row r="3" spans="1:4" ht="15.75" thickBot="1">
      <c r="A3" s="1614" t="s">
        <v>798</v>
      </c>
      <c r="B3" s="1615"/>
      <c r="C3" s="1616"/>
    </row>
    <row r="4" spans="1:4">
      <c r="A4" s="1064">
        <v>46228</v>
      </c>
      <c r="B4" s="1174" t="s">
        <v>859</v>
      </c>
      <c r="C4" s="1388">
        <v>170000</v>
      </c>
    </row>
    <row r="5" spans="1:4">
      <c r="A5" s="1479" t="s">
        <v>10</v>
      </c>
      <c r="B5" s="1480"/>
      <c r="C5" s="1481">
        <f>SUM(C4:C4)</f>
        <v>170000</v>
      </c>
    </row>
    <row r="6" spans="1:4">
      <c r="A6" s="1100">
        <v>46234</v>
      </c>
      <c r="B6" s="1174" t="s">
        <v>79</v>
      </c>
      <c r="C6" s="156">
        <v>40000</v>
      </c>
      <c r="D6" s="1154"/>
    </row>
    <row r="7" spans="1:4">
      <c r="A7" s="1100">
        <v>46236</v>
      </c>
      <c r="B7" s="1174" t="s">
        <v>4549</v>
      </c>
      <c r="C7" s="156">
        <v>400000</v>
      </c>
      <c r="D7" s="1154"/>
    </row>
    <row r="8" spans="1:4">
      <c r="A8" s="1100">
        <v>46240</v>
      </c>
      <c r="B8" s="1174" t="s">
        <v>859</v>
      </c>
      <c r="C8" s="156">
        <v>100000</v>
      </c>
      <c r="D8" s="1154"/>
    </row>
    <row r="9" spans="1:4">
      <c r="A9" s="1479" t="s">
        <v>10</v>
      </c>
      <c r="B9" s="1480"/>
      <c r="C9" s="1481">
        <f>SUM(C6:C8)</f>
        <v>540000</v>
      </c>
    </row>
    <row r="10" spans="1:4">
      <c r="A10" s="1064">
        <v>46244</v>
      </c>
      <c r="B10" s="1174" t="s">
        <v>859</v>
      </c>
      <c r="C10" s="1388">
        <v>114000</v>
      </c>
      <c r="D10" s="1154"/>
    </row>
    <row r="11" spans="1:4">
      <c r="A11" s="1064">
        <v>46244</v>
      </c>
      <c r="B11" s="1174" t="s">
        <v>765</v>
      </c>
      <c r="C11" s="1388">
        <v>128630</v>
      </c>
      <c r="D11" s="1154"/>
    </row>
    <row r="12" spans="1:4">
      <c r="A12" s="1064">
        <v>46245</v>
      </c>
      <c r="B12" s="1174" t="s">
        <v>37</v>
      </c>
      <c r="C12" s="1388">
        <v>190000</v>
      </c>
      <c r="D12" s="1154"/>
    </row>
    <row r="13" spans="1:4">
      <c r="A13" s="1617" t="s">
        <v>10</v>
      </c>
      <c r="B13" s="1618"/>
      <c r="C13" s="1389">
        <f>SUM(C10:C12)</f>
        <v>432630</v>
      </c>
    </row>
    <row r="14" spans="1:4">
      <c r="A14" s="1064">
        <v>46249</v>
      </c>
      <c r="B14" s="1337" t="s">
        <v>859</v>
      </c>
      <c r="C14" s="1391">
        <v>850000</v>
      </c>
    </row>
    <row r="15" spans="1:4">
      <c r="A15" s="1520">
        <v>46254</v>
      </c>
      <c r="B15" s="1337" t="s">
        <v>859</v>
      </c>
      <c r="C15" s="1391">
        <v>850000</v>
      </c>
    </row>
    <row r="16" spans="1:4">
      <c r="A16" s="1390" t="s">
        <v>10</v>
      </c>
      <c r="B16" s="1376"/>
      <c r="C16" s="1389">
        <f>SUM(C14:C15)</f>
        <v>1700000</v>
      </c>
    </row>
    <row r="17" spans="1:3">
      <c r="A17" s="1064">
        <v>46259</v>
      </c>
      <c r="B17" s="1174" t="s">
        <v>859</v>
      </c>
      <c r="C17" s="1388">
        <v>170000</v>
      </c>
    </row>
    <row r="18" spans="1:3">
      <c r="A18" s="1479" t="s">
        <v>10</v>
      </c>
      <c r="B18" s="1480"/>
      <c r="C18" s="1481">
        <f>SUM(C17)</f>
        <v>170000</v>
      </c>
    </row>
    <row r="19" spans="1:3" ht="15.75" thickBot="1">
      <c r="A19" s="1392"/>
      <c r="B19" s="1393" t="s">
        <v>10</v>
      </c>
      <c r="C19" s="1394"/>
    </row>
    <row r="20" spans="1:3" ht="18.75">
      <c r="C20" s="1175"/>
    </row>
  </sheetData>
  <mergeCells count="2">
    <mergeCell ref="A3:C3"/>
    <mergeCell ref="A13:B1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"/>
  <sheetViews>
    <sheetView topLeftCell="A28" workbookViewId="0">
      <selection activeCell="A40" sqref="A40:D40"/>
    </sheetView>
  </sheetViews>
  <sheetFormatPr baseColWidth="10" defaultRowHeight="15"/>
  <cols>
    <col min="1" max="1" width="19.42578125" customWidth="1"/>
    <col min="2" max="2" width="13.42578125" customWidth="1"/>
    <col min="3" max="3" width="27.42578125" customWidth="1"/>
    <col min="4" max="4" width="14.42578125" style="247" customWidth="1"/>
    <col min="5" max="5" width="16.28515625" customWidth="1"/>
  </cols>
  <sheetData>
    <row r="1" spans="1:5" ht="16.5" thickBot="1">
      <c r="A1" s="16" t="s">
        <v>125</v>
      </c>
      <c r="B1" s="1622" t="s">
        <v>746</v>
      </c>
      <c r="C1" s="1623"/>
      <c r="D1" s="1624"/>
    </row>
    <row r="2" spans="1:5" ht="16.5" thickBot="1">
      <c r="A2" s="1619" t="s">
        <v>4741</v>
      </c>
      <c r="B2" s="1620"/>
      <c r="C2" s="1621"/>
      <c r="D2" s="1164"/>
      <c r="E2" s="1163">
        <v>1600000</v>
      </c>
    </row>
    <row r="3" spans="1:5" ht="16.5" thickBot="1">
      <c r="A3" s="17"/>
      <c r="B3" s="17"/>
      <c r="C3" s="17"/>
      <c r="D3" s="1165" t="s">
        <v>126</v>
      </c>
      <c r="E3" s="1163">
        <v>12000</v>
      </c>
    </row>
    <row r="4" spans="1:5" ht="15.75">
      <c r="A4" s="18" t="s">
        <v>127</v>
      </c>
      <c r="B4" s="19" t="s">
        <v>128</v>
      </c>
      <c r="C4" s="1166" t="s">
        <v>129</v>
      </c>
      <c r="D4" s="1167" t="s">
        <v>31</v>
      </c>
    </row>
    <row r="5" spans="1:5" ht="15.75">
      <c r="A5" s="1313">
        <v>46206</v>
      </c>
      <c r="B5" s="21">
        <v>320000</v>
      </c>
      <c r="C5" s="31" t="s">
        <v>4742</v>
      </c>
      <c r="D5" s="21">
        <f>E2-B5</f>
        <v>1280000</v>
      </c>
    </row>
    <row r="6" spans="1:5" ht="15.75">
      <c r="A6" s="1313">
        <v>46213</v>
      </c>
      <c r="B6" s="21">
        <v>320000</v>
      </c>
      <c r="C6" s="31" t="s">
        <v>4743</v>
      </c>
      <c r="D6" s="21">
        <f>D5-B6</f>
        <v>960000</v>
      </c>
    </row>
    <row r="7" spans="1:5" ht="15.75">
      <c r="A7" s="1313">
        <v>46220</v>
      </c>
      <c r="B7" s="21">
        <v>320000</v>
      </c>
      <c r="C7" s="31" t="s">
        <v>4744</v>
      </c>
      <c r="D7" s="21">
        <f t="shared" ref="D7:D8" si="0">D6-B7</f>
        <v>640000</v>
      </c>
    </row>
    <row r="8" spans="1:5" ht="15.75">
      <c r="A8" s="1313">
        <v>46227</v>
      </c>
      <c r="B8" s="22">
        <v>320000</v>
      </c>
      <c r="C8" s="31" t="s">
        <v>4745</v>
      </c>
      <c r="D8" s="21">
        <f t="shared" si="0"/>
        <v>320000</v>
      </c>
    </row>
    <row r="9" spans="1:5" ht="15.75">
      <c r="A9" s="1313">
        <v>46234</v>
      </c>
      <c r="B9" s="22">
        <v>320000</v>
      </c>
      <c r="C9" s="31" t="s">
        <v>4746</v>
      </c>
      <c r="D9" s="21">
        <v>0</v>
      </c>
    </row>
    <row r="10" spans="1:5" ht="16.5" thickBot="1">
      <c r="A10" s="1628" t="s">
        <v>4747</v>
      </c>
      <c r="B10" s="1629"/>
      <c r="C10" s="1629"/>
      <c r="D10" s="1630"/>
    </row>
    <row r="11" spans="1:5" s="424" customFormat="1" ht="16.5" thickBot="1"/>
    <row r="12" spans="1:5" ht="16.5" thickBot="1">
      <c r="A12" s="16" t="s">
        <v>130</v>
      </c>
      <c r="B12" s="1622" t="s">
        <v>746</v>
      </c>
      <c r="C12" s="1623"/>
      <c r="D12" s="1624"/>
    </row>
    <row r="13" spans="1:5" ht="16.5" thickBot="1">
      <c r="A13" s="1619" t="s">
        <v>4666</v>
      </c>
      <c r="B13" s="1620"/>
      <c r="C13" s="1621"/>
      <c r="D13" s="569"/>
      <c r="E13" s="1163">
        <v>2550000</v>
      </c>
    </row>
    <row r="14" spans="1:5" ht="16.5" thickBot="1">
      <c r="A14" s="17"/>
      <c r="B14" s="17"/>
      <c r="C14" s="17"/>
      <c r="D14" s="570" t="s">
        <v>126</v>
      </c>
    </row>
    <row r="15" spans="1:5" ht="15.75">
      <c r="A15" s="759" t="s">
        <v>127</v>
      </c>
      <c r="B15" s="760" t="s">
        <v>128</v>
      </c>
      <c r="C15" s="761" t="s">
        <v>129</v>
      </c>
      <c r="D15" s="770" t="s">
        <v>31</v>
      </c>
    </row>
    <row r="16" spans="1:5" ht="15.75">
      <c r="A16" s="1313">
        <v>46206</v>
      </c>
      <c r="B16" s="21">
        <v>510000</v>
      </c>
      <c r="C16" s="31" t="s">
        <v>4662</v>
      </c>
      <c r="D16" s="1168">
        <f>E13-B16</f>
        <v>2040000</v>
      </c>
    </row>
    <row r="17" spans="1:5" ht="15.75">
      <c r="A17" s="1313">
        <v>46213</v>
      </c>
      <c r="B17" s="21">
        <v>510000</v>
      </c>
      <c r="C17" s="31" t="s">
        <v>4663</v>
      </c>
      <c r="D17" s="1168">
        <f>D16-B17</f>
        <v>1530000</v>
      </c>
    </row>
    <row r="18" spans="1:5" ht="15.75">
      <c r="A18" s="1313">
        <v>46220</v>
      </c>
      <c r="B18" s="21">
        <v>510000</v>
      </c>
      <c r="C18" s="31" t="s">
        <v>4664</v>
      </c>
      <c r="D18" s="1168">
        <f t="shared" ref="D18:D19" si="1">D17-B18</f>
        <v>1020000</v>
      </c>
    </row>
    <row r="19" spans="1:5" ht="15.75">
      <c r="A19" s="1313">
        <v>46227</v>
      </c>
      <c r="B19" s="22">
        <v>510000</v>
      </c>
      <c r="C19" s="31" t="s">
        <v>4665</v>
      </c>
      <c r="D19" s="1168">
        <f t="shared" si="1"/>
        <v>510000</v>
      </c>
    </row>
    <row r="20" spans="1:5" ht="16.5" thickBot="1">
      <c r="A20" s="1313">
        <v>46234</v>
      </c>
      <c r="B20" s="22">
        <v>510000</v>
      </c>
      <c r="C20" s="31" t="s">
        <v>4746</v>
      </c>
      <c r="D20" s="21">
        <v>0</v>
      </c>
    </row>
    <row r="21" spans="1:5" ht="16.5" thickBot="1">
      <c r="A21" s="1625" t="s">
        <v>4748</v>
      </c>
      <c r="B21" s="1626"/>
      <c r="C21" s="1626"/>
      <c r="D21" s="1627"/>
    </row>
    <row r="22" spans="1:5" ht="16.5" thickBot="1">
      <c r="A22" s="26"/>
      <c r="B22" s="27"/>
      <c r="C22" s="24"/>
      <c r="D22" s="25"/>
    </row>
    <row r="23" spans="1:5" ht="16.5" thickBot="1">
      <c r="A23" s="1631" t="s">
        <v>131</v>
      </c>
      <c r="B23" s="1632"/>
      <c r="C23" s="1622" t="s">
        <v>746</v>
      </c>
      <c r="D23" s="1624"/>
    </row>
    <row r="24" spans="1:5" ht="16.5" thickBot="1">
      <c r="A24" s="1619" t="s">
        <v>4666</v>
      </c>
      <c r="B24" s="1620"/>
      <c r="C24" s="1621"/>
      <c r="D24" s="569"/>
      <c r="E24" s="1163">
        <v>180000</v>
      </c>
    </row>
    <row r="25" spans="1:5" ht="15.75">
      <c r="A25" s="17"/>
      <c r="B25" s="17"/>
      <c r="C25" s="17"/>
      <c r="D25" s="570" t="s">
        <v>126</v>
      </c>
    </row>
    <row r="26" spans="1:5" ht="15.75">
      <c r="A26" s="659" t="s">
        <v>127</v>
      </c>
      <c r="B26" s="660" t="s">
        <v>128</v>
      </c>
      <c r="C26" s="659" t="s">
        <v>129</v>
      </c>
      <c r="D26" s="20" t="s">
        <v>31</v>
      </c>
    </row>
    <row r="27" spans="1:5" ht="15.75">
      <c r="A27" s="1313">
        <v>46206</v>
      </c>
      <c r="B27" s="21">
        <v>180000</v>
      </c>
      <c r="C27" s="31" t="s">
        <v>4662</v>
      </c>
      <c r="D27" s="21">
        <v>0</v>
      </c>
    </row>
    <row r="28" spans="1:5" ht="15.75">
      <c r="A28" s="1313">
        <v>46213</v>
      </c>
      <c r="B28" s="21">
        <v>180000</v>
      </c>
      <c r="C28" s="31" t="s">
        <v>4663</v>
      </c>
      <c r="D28" s="21">
        <v>0</v>
      </c>
    </row>
    <row r="29" spans="1:5" ht="15.75">
      <c r="A29" s="1313">
        <v>46220</v>
      </c>
      <c r="B29" s="21">
        <v>180000</v>
      </c>
      <c r="C29" s="31" t="s">
        <v>4664</v>
      </c>
      <c r="D29" s="21">
        <v>0</v>
      </c>
    </row>
    <row r="30" spans="1:5" ht="15.75">
      <c r="A30" s="1313">
        <v>46227</v>
      </c>
      <c r="B30" s="21">
        <v>180000</v>
      </c>
      <c r="C30" s="31" t="s">
        <v>4665</v>
      </c>
      <c r="D30" s="21">
        <v>0</v>
      </c>
    </row>
    <row r="31" spans="1:5" ht="16.5" thickBot="1">
      <c r="A31" s="1313">
        <v>46234</v>
      </c>
      <c r="B31" s="22">
        <v>180000</v>
      </c>
      <c r="C31" s="31" t="s">
        <v>4746</v>
      </c>
      <c r="D31" s="21"/>
    </row>
    <row r="32" spans="1:5" ht="16.5" thickBot="1">
      <c r="A32" s="1625" t="s">
        <v>4749</v>
      </c>
      <c r="B32" s="1626"/>
      <c r="C32" s="1626"/>
      <c r="D32" s="1627"/>
    </row>
    <row r="33" spans="1:5" ht="16.5" thickBot="1">
      <c r="A33" s="424"/>
      <c r="B33" s="23"/>
      <c r="C33" s="24"/>
      <c r="D33" s="571"/>
    </row>
    <row r="34" spans="1:5" ht="16.5" thickBot="1">
      <c r="A34" s="16" t="s">
        <v>4473</v>
      </c>
      <c r="B34" s="1622" t="s">
        <v>746</v>
      </c>
      <c r="C34" s="1623"/>
      <c r="D34" s="1624"/>
    </row>
    <row r="35" spans="1:5" ht="16.5" thickBot="1">
      <c r="A35" s="1619" t="s">
        <v>4666</v>
      </c>
      <c r="B35" s="1620"/>
      <c r="C35" s="1621"/>
      <c r="D35" s="1164"/>
      <c r="E35" s="1163">
        <v>1060000</v>
      </c>
    </row>
    <row r="36" spans="1:5" ht="16.5" thickBot="1">
      <c r="A36" s="17"/>
      <c r="B36" s="17"/>
      <c r="C36" s="17"/>
      <c r="D36" s="1165" t="s">
        <v>126</v>
      </c>
      <c r="E36" s="1163">
        <v>7950</v>
      </c>
    </row>
    <row r="37" spans="1:5" ht="15.75">
      <c r="A37" s="659" t="s">
        <v>127</v>
      </c>
      <c r="B37" s="660" t="s">
        <v>128</v>
      </c>
      <c r="C37" s="659" t="s">
        <v>129</v>
      </c>
      <c r="D37" s="660" t="s">
        <v>31</v>
      </c>
    </row>
    <row r="38" spans="1:5" ht="15.75">
      <c r="A38" s="1313">
        <v>46206</v>
      </c>
      <c r="B38" s="21">
        <v>212000</v>
      </c>
      <c r="C38" s="31" t="s">
        <v>4662</v>
      </c>
      <c r="D38" s="1168">
        <f>E35-B38</f>
        <v>848000</v>
      </c>
    </row>
    <row r="39" spans="1:5" ht="15.75">
      <c r="A39" s="1313">
        <v>46213</v>
      </c>
      <c r="B39" s="21">
        <v>212000</v>
      </c>
      <c r="C39" s="31" t="s">
        <v>4663</v>
      </c>
      <c r="D39" s="1168">
        <f>D38-B39</f>
        <v>636000</v>
      </c>
    </row>
    <row r="40" spans="1:5" ht="15.75">
      <c r="A40" s="1313">
        <v>46220</v>
      </c>
      <c r="B40" s="21">
        <v>212000</v>
      </c>
      <c r="C40" s="31" t="s">
        <v>4664</v>
      </c>
      <c r="D40" s="1168">
        <f t="shared" ref="D40:D41" si="2">D39-B40</f>
        <v>424000</v>
      </c>
    </row>
    <row r="41" spans="1:5" ht="15.75">
      <c r="A41" s="1313">
        <v>46227</v>
      </c>
      <c r="B41" s="22">
        <v>212000</v>
      </c>
      <c r="C41" s="31" t="s">
        <v>4665</v>
      </c>
      <c r="D41" s="1168">
        <f t="shared" si="2"/>
        <v>212000</v>
      </c>
    </row>
    <row r="42" spans="1:5" ht="15.75">
      <c r="A42" s="1313">
        <v>46234</v>
      </c>
      <c r="B42" s="22">
        <v>212000</v>
      </c>
      <c r="C42" s="31" t="s">
        <v>4746</v>
      </c>
      <c r="D42" s="21"/>
    </row>
    <row r="43" spans="1:5" ht="16.5" thickBot="1">
      <c r="A43" s="1628" t="s">
        <v>4750</v>
      </c>
      <c r="B43" s="1629"/>
      <c r="C43" s="1629"/>
      <c r="D43" s="1630"/>
    </row>
    <row r="44" spans="1:5" ht="15.75">
      <c r="A44" s="1103"/>
      <c r="B44" s="1111"/>
      <c r="C44" s="1111"/>
      <c r="D44" s="1112"/>
    </row>
    <row r="45" spans="1:5" ht="15.75">
      <c r="A45" s="1103"/>
      <c r="B45" s="1111"/>
      <c r="C45" s="1111"/>
      <c r="D45" s="1112"/>
    </row>
    <row r="46" spans="1:5" ht="15.75">
      <c r="A46" s="20" t="s">
        <v>132</v>
      </c>
      <c r="B46" s="20" t="s">
        <v>133</v>
      </c>
      <c r="C46" s="20" t="s">
        <v>134</v>
      </c>
      <c r="D46" s="20" t="s">
        <v>135</v>
      </c>
    </row>
    <row r="47" spans="1:5" ht="15.75">
      <c r="A47" s="29" t="s">
        <v>136</v>
      </c>
      <c r="B47" s="30">
        <v>12000</v>
      </c>
      <c r="C47" s="30"/>
      <c r="D47" s="30"/>
    </row>
    <row r="48" spans="1:5" ht="15.75">
      <c r="A48" s="29" t="s">
        <v>4488</v>
      </c>
      <c r="B48" s="30">
        <v>7950</v>
      </c>
      <c r="C48" s="3"/>
      <c r="D48" s="1160"/>
    </row>
    <row r="49" spans="1:4" ht="15.75" thickBot="1"/>
    <row r="50" spans="1:4" ht="16.5" thickBot="1">
      <c r="A50" s="1619" t="s">
        <v>4741</v>
      </c>
      <c r="B50" s="1620"/>
      <c r="C50" s="1620"/>
      <c r="D50" s="1621"/>
    </row>
    <row r="51" spans="1:4" ht="15.75">
      <c r="A51" s="203" t="s">
        <v>127</v>
      </c>
      <c r="B51" s="203" t="s">
        <v>128</v>
      </c>
      <c r="C51" s="203" t="s">
        <v>129</v>
      </c>
      <c r="D51" s="203"/>
    </row>
    <row r="52" spans="1:4" ht="15.75">
      <c r="A52" s="1313">
        <v>46206</v>
      </c>
      <c r="B52" s="28">
        <v>1222000</v>
      </c>
      <c r="C52" s="31" t="s">
        <v>4662</v>
      </c>
      <c r="D52" s="28"/>
    </row>
    <row r="53" spans="1:4" ht="15.75">
      <c r="A53" s="1313">
        <v>46213</v>
      </c>
      <c r="B53" s="28">
        <v>1222000</v>
      </c>
      <c r="C53" s="31" t="s">
        <v>4663</v>
      </c>
      <c r="D53" s="28"/>
    </row>
    <row r="54" spans="1:4" ht="15.75">
      <c r="A54" s="1313">
        <v>46220</v>
      </c>
      <c r="B54" s="28">
        <v>1222000</v>
      </c>
      <c r="C54" s="31" t="s">
        <v>4664</v>
      </c>
      <c r="D54" s="28"/>
    </row>
    <row r="55" spans="1:4" ht="15.75">
      <c r="A55" s="1313">
        <v>46227</v>
      </c>
      <c r="B55" s="28">
        <v>1222000</v>
      </c>
      <c r="C55" s="31" t="s">
        <v>4665</v>
      </c>
      <c r="D55" s="28"/>
    </row>
    <row r="56" spans="1:4" ht="16.5" thickBot="1">
      <c r="A56" s="1313">
        <v>46234</v>
      </c>
      <c r="B56" s="28">
        <v>1222000</v>
      </c>
      <c r="C56" s="31" t="s">
        <v>4746</v>
      </c>
      <c r="D56" s="21"/>
    </row>
    <row r="57" spans="1:4" ht="16.5" thickBot="1">
      <c r="A57" s="567" t="s">
        <v>10</v>
      </c>
      <c r="B57" s="568">
        <f>SUM(B52:B56)</f>
        <v>6110000</v>
      </c>
      <c r="C57" s="658"/>
      <c r="D57" s="568"/>
    </row>
  </sheetData>
  <mergeCells count="14">
    <mergeCell ref="A50:D50"/>
    <mergeCell ref="B1:D1"/>
    <mergeCell ref="A2:C2"/>
    <mergeCell ref="A13:C13"/>
    <mergeCell ref="A32:D32"/>
    <mergeCell ref="A24:C24"/>
    <mergeCell ref="A10:D10"/>
    <mergeCell ref="A21:D21"/>
    <mergeCell ref="A35:C35"/>
    <mergeCell ref="A23:B23"/>
    <mergeCell ref="B12:D12"/>
    <mergeCell ref="B34:D34"/>
    <mergeCell ref="C23:D23"/>
    <mergeCell ref="A43:D43"/>
  </mergeCells>
  <phoneticPr fontId="38" type="noConversion"/>
  <pageMargins left="0.7" right="0.7" top="0.75" bottom="0.75" header="0.3" footer="0.3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F26"/>
  <sheetViews>
    <sheetView workbookViewId="0">
      <selection activeCell="E26" sqref="E26"/>
    </sheetView>
  </sheetViews>
  <sheetFormatPr baseColWidth="10" defaultRowHeight="15"/>
  <cols>
    <col min="1" max="1" width="11" customWidth="1"/>
    <col min="2" max="2" width="15.28515625" customWidth="1"/>
    <col min="3" max="3" width="10.85546875" customWidth="1"/>
    <col min="4" max="4" width="26.28515625" customWidth="1"/>
    <col min="5" max="5" width="14.42578125" customWidth="1"/>
    <col min="6" max="6" width="13.28515625" style="200" customWidth="1"/>
  </cols>
  <sheetData>
    <row r="3" spans="1:6" ht="15.75">
      <c r="A3" s="38"/>
      <c r="B3" s="1636" t="s">
        <v>4741</v>
      </c>
      <c r="C3" s="1636"/>
      <c r="D3" s="1636"/>
      <c r="E3" s="1276" t="s">
        <v>138</v>
      </c>
      <c r="F3" s="1429">
        <v>1600000</v>
      </c>
    </row>
    <row r="4" spans="1:6">
      <c r="A4" s="38"/>
      <c r="B4" s="1278"/>
      <c r="C4" s="1278"/>
      <c r="D4" s="1278"/>
      <c r="E4" s="1276" t="s">
        <v>139</v>
      </c>
      <c r="F4" s="1429">
        <v>12000</v>
      </c>
    </row>
    <row r="5" spans="1:6">
      <c r="A5" s="38"/>
      <c r="B5" s="32" t="s">
        <v>127</v>
      </c>
      <c r="C5" s="33" t="s">
        <v>128</v>
      </c>
      <c r="D5" s="32" t="s">
        <v>129</v>
      </c>
      <c r="E5" s="33" t="s">
        <v>31</v>
      </c>
      <c r="F5" s="1423"/>
    </row>
    <row r="6" spans="1:6" ht="15.75">
      <c r="A6" s="1290" t="s">
        <v>140</v>
      </c>
      <c r="B6" s="1313">
        <v>46220</v>
      </c>
      <c r="C6" s="21">
        <v>320000</v>
      </c>
      <c r="D6" s="31" t="s">
        <v>4744</v>
      </c>
      <c r="E6" s="21">
        <v>640000</v>
      </c>
      <c r="F6" s="1324"/>
    </row>
    <row r="7" spans="1:6" ht="15.75">
      <c r="A7" s="38"/>
      <c r="B7" s="1279"/>
      <c r="C7" s="22">
        <f>SUM(C6:C6)</f>
        <v>320000</v>
      </c>
      <c r="D7" s="1280"/>
      <c r="E7" s="1281"/>
      <c r="F7" s="1280"/>
    </row>
    <row r="8" spans="1:6">
      <c r="A8" s="38"/>
      <c r="B8" s="38"/>
      <c r="C8" s="38"/>
      <c r="D8" s="38"/>
      <c r="E8" s="38"/>
      <c r="F8" s="35"/>
    </row>
    <row r="9" spans="1:6" ht="15.75">
      <c r="A9" s="38"/>
      <c r="B9" s="1636" t="s">
        <v>4741</v>
      </c>
      <c r="C9" s="1636"/>
      <c r="D9" s="1636"/>
      <c r="E9" s="1276" t="s">
        <v>138</v>
      </c>
      <c r="F9" s="1277">
        <v>2550000</v>
      </c>
    </row>
    <row r="10" spans="1:6">
      <c r="A10" s="38"/>
      <c r="B10" s="32" t="s">
        <v>127</v>
      </c>
      <c r="C10" s="33" t="s">
        <v>128</v>
      </c>
      <c r="D10" s="32" t="s">
        <v>129</v>
      </c>
      <c r="E10" s="33" t="s">
        <v>31</v>
      </c>
      <c r="F10" s="1282"/>
    </row>
    <row r="11" spans="1:6" ht="15.75">
      <c r="A11" s="1290" t="s">
        <v>141</v>
      </c>
      <c r="B11" s="1313">
        <v>46220</v>
      </c>
      <c r="C11" s="21">
        <v>510000</v>
      </c>
      <c r="D11" s="31" t="s">
        <v>4664</v>
      </c>
      <c r="E11" s="1168">
        <v>1020000</v>
      </c>
      <c r="F11" s="1325"/>
    </row>
    <row r="12" spans="1:6" ht="15.75">
      <c r="A12" s="38"/>
      <c r="B12" s="1275"/>
      <c r="C12" s="22">
        <v>510000</v>
      </c>
      <c r="D12" s="1275"/>
      <c r="E12" s="1275"/>
      <c r="F12" s="1280"/>
    </row>
    <row r="13" spans="1:6" ht="15.75">
      <c r="A13" s="38"/>
      <c r="B13" s="39"/>
      <c r="C13" s="23"/>
      <c r="D13" s="37"/>
      <c r="E13" s="40"/>
      <c r="F13" s="1291"/>
    </row>
    <row r="14" spans="1:6" ht="15.75">
      <c r="A14" s="1292"/>
      <c r="B14" s="1636" t="s">
        <v>4741</v>
      </c>
      <c r="C14" s="1636"/>
      <c r="D14" s="1636"/>
      <c r="E14" s="1287" t="s">
        <v>142</v>
      </c>
      <c r="F14" s="1288">
        <v>180000</v>
      </c>
    </row>
    <row r="15" spans="1:6">
      <c r="A15" s="38"/>
      <c r="B15" s="32" t="s">
        <v>127</v>
      </c>
      <c r="C15" s="33" t="s">
        <v>128</v>
      </c>
      <c r="D15" s="32" t="s">
        <v>129</v>
      </c>
      <c r="E15" s="33" t="s">
        <v>31</v>
      </c>
      <c r="F15" s="1289"/>
    </row>
    <row r="16" spans="1:6" ht="15.75">
      <c r="A16" s="1290" t="s">
        <v>143</v>
      </c>
      <c r="B16" s="1313">
        <v>46220</v>
      </c>
      <c r="C16" s="21">
        <v>180000</v>
      </c>
      <c r="D16" s="31" t="s">
        <v>4664</v>
      </c>
      <c r="E16" s="21">
        <v>0</v>
      </c>
      <c r="F16" s="1286"/>
    </row>
    <row r="17" spans="1:6" ht="15.75">
      <c r="A17" s="38"/>
      <c r="B17" s="1283"/>
      <c r="C17" s="22">
        <v>180000</v>
      </c>
      <c r="D17" s="1284"/>
      <c r="E17" s="1285"/>
      <c r="F17" s="1286"/>
    </row>
    <row r="18" spans="1:6">
      <c r="A18" s="38"/>
      <c r="B18" s="34"/>
      <c r="C18" s="41"/>
      <c r="D18" s="35"/>
      <c r="E18" s="42"/>
      <c r="F18" s="35"/>
    </row>
    <row r="19" spans="1:6" ht="15.75">
      <c r="A19" s="1292"/>
      <c r="B19" s="1636" t="s">
        <v>4741</v>
      </c>
      <c r="C19" s="1636"/>
      <c r="D19" s="1636"/>
      <c r="E19" s="1276" t="s">
        <v>138</v>
      </c>
      <c r="F19" s="1429">
        <v>1060000</v>
      </c>
    </row>
    <row r="20" spans="1:6">
      <c r="A20" s="1292"/>
      <c r="B20" s="1278"/>
      <c r="C20" s="1278"/>
      <c r="D20" s="1278"/>
      <c r="E20" s="1276" t="s">
        <v>139</v>
      </c>
      <c r="F20" s="1429"/>
    </row>
    <row r="21" spans="1:6">
      <c r="A21" s="38"/>
      <c r="B21" s="32" t="s">
        <v>127</v>
      </c>
      <c r="C21" s="33" t="s">
        <v>128</v>
      </c>
      <c r="D21" s="32" t="s">
        <v>129</v>
      </c>
      <c r="E21" s="33" t="s">
        <v>31</v>
      </c>
      <c r="F21" s="718" t="s">
        <v>4704</v>
      </c>
    </row>
    <row r="22" spans="1:6" ht="15.75">
      <c r="A22" s="1290" t="s">
        <v>4491</v>
      </c>
      <c r="B22" s="1313">
        <v>46220</v>
      </c>
      <c r="C22" s="21">
        <v>212000</v>
      </c>
      <c r="D22" s="31" t="s">
        <v>4664</v>
      </c>
      <c r="E22" s="1168">
        <v>424000</v>
      </c>
      <c r="F22" s="1286"/>
    </row>
    <row r="23" spans="1:6" ht="15.75">
      <c r="A23" s="38"/>
      <c r="B23" s="1279"/>
      <c r="C23" s="22">
        <f>SUM(C22:C22)</f>
        <v>212000</v>
      </c>
      <c r="D23" s="1280"/>
      <c r="E23" s="1281"/>
      <c r="F23" s="1286"/>
    </row>
    <row r="24" spans="1:6" ht="16.5" thickBot="1">
      <c r="A24" s="38"/>
      <c r="B24" s="39"/>
      <c r="C24" s="23"/>
      <c r="D24" s="35"/>
      <c r="E24" s="36"/>
      <c r="F24" s="1291"/>
    </row>
    <row r="25" spans="1:6" ht="15.75" thickBot="1">
      <c r="A25" s="1293"/>
      <c r="B25" s="115"/>
      <c r="C25" s="115"/>
      <c r="D25" s="1633">
        <f>SUM(C7+C12+C17+C23)</f>
        <v>1222000</v>
      </c>
      <c r="E25" s="1634"/>
      <c r="F25" s="1635"/>
    </row>
    <row r="26" spans="1:6">
      <c r="A26" s="43"/>
      <c r="F26" s="44"/>
    </row>
  </sheetData>
  <mergeCells count="5">
    <mergeCell ref="D25:F25"/>
    <mergeCell ref="B3:D3"/>
    <mergeCell ref="B9:D9"/>
    <mergeCell ref="B14:D14"/>
    <mergeCell ref="B19:D19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25"/>
  <sheetViews>
    <sheetView topLeftCell="A7" workbookViewId="0">
      <selection activeCell="I9" sqref="I9"/>
    </sheetView>
  </sheetViews>
  <sheetFormatPr baseColWidth="10" defaultRowHeight="15"/>
  <cols>
    <col min="1" max="1" width="11.85546875" bestFit="1" customWidth="1"/>
    <col min="3" max="3" width="27.140625" customWidth="1"/>
    <col min="5" max="5" width="11.85546875" bestFit="1" customWidth="1"/>
    <col min="7" max="7" width="18.42578125" customWidth="1"/>
  </cols>
  <sheetData>
    <row r="3" spans="1:7" ht="15.75">
      <c r="A3" s="1640" t="s">
        <v>215</v>
      </c>
      <c r="B3" s="1640"/>
      <c r="C3" s="63" t="s">
        <v>4751</v>
      </c>
      <c r="E3" s="1640" t="s">
        <v>215</v>
      </c>
      <c r="F3" s="1640"/>
      <c r="G3" s="63" t="s">
        <v>4751</v>
      </c>
    </row>
    <row r="4" spans="1:7">
      <c r="A4" s="1641" t="s">
        <v>125</v>
      </c>
      <c r="B4" s="1641"/>
      <c r="C4" s="1641"/>
      <c r="E4" s="1641" t="s">
        <v>130</v>
      </c>
      <c r="F4" s="1641"/>
      <c r="G4" s="1641"/>
    </row>
    <row r="5" spans="1:7" ht="15.75">
      <c r="A5" s="1637" t="s">
        <v>4805</v>
      </c>
      <c r="B5" s="1637"/>
      <c r="C5" s="1637"/>
      <c r="E5" s="1637" t="s">
        <v>4806</v>
      </c>
      <c r="F5" s="1637"/>
      <c r="G5" s="1637"/>
    </row>
    <row r="6" spans="1:7" ht="15.75">
      <c r="A6" s="1637"/>
      <c r="B6" s="1637"/>
      <c r="C6" s="1637"/>
      <c r="E6" s="1132"/>
      <c r="F6" s="1132"/>
      <c r="G6" s="1132"/>
    </row>
    <row r="7" spans="1:7" ht="15.75">
      <c r="A7" s="1106"/>
      <c r="B7" s="1106"/>
      <c r="C7" s="1106"/>
      <c r="E7" s="1106"/>
      <c r="F7" s="1106"/>
      <c r="G7" s="1106"/>
    </row>
    <row r="8" spans="1:7" ht="15.75">
      <c r="A8" s="64" t="s">
        <v>0</v>
      </c>
      <c r="B8" s="65"/>
      <c r="C8" s="66" t="s">
        <v>128</v>
      </c>
      <c r="E8" s="64" t="s">
        <v>0</v>
      </c>
      <c r="F8" s="65"/>
      <c r="G8" s="66" t="s">
        <v>128</v>
      </c>
    </row>
    <row r="9" spans="1:7" ht="15.75">
      <c r="A9" s="67">
        <v>46220</v>
      </c>
      <c r="B9" s="65"/>
      <c r="C9" s="68">
        <v>320000</v>
      </c>
      <c r="E9" s="67">
        <v>46220</v>
      </c>
      <c r="F9" s="65"/>
      <c r="G9" s="68">
        <v>510000</v>
      </c>
    </row>
    <row r="10" spans="1:7" ht="15.75">
      <c r="A10" s="17"/>
      <c r="B10" s="64" t="s">
        <v>216</v>
      </c>
      <c r="C10" s="17"/>
      <c r="E10" s="17"/>
      <c r="F10" s="64" t="s">
        <v>216</v>
      </c>
      <c r="G10" s="17"/>
    </row>
    <row r="11" spans="1:7">
      <c r="A11" s="1638"/>
      <c r="B11" s="1638"/>
      <c r="C11" s="1638"/>
      <c r="E11" s="1638"/>
      <c r="F11" s="1638"/>
      <c r="G11" s="1638"/>
    </row>
    <row r="12" spans="1:7">
      <c r="A12" s="1639"/>
      <c r="B12" s="1639"/>
      <c r="C12" s="1639"/>
      <c r="E12" s="1639"/>
      <c r="F12" s="1639"/>
      <c r="G12" s="1639"/>
    </row>
    <row r="17" spans="1:7" ht="15.75">
      <c r="A17" s="1640" t="s">
        <v>215</v>
      </c>
      <c r="B17" s="1640"/>
      <c r="C17" s="63" t="s">
        <v>4751</v>
      </c>
      <c r="E17" s="1640" t="s">
        <v>215</v>
      </c>
      <c r="F17" s="1640"/>
      <c r="G17" s="63" t="s">
        <v>4751</v>
      </c>
    </row>
    <row r="18" spans="1:7" ht="15.75">
      <c r="A18" s="1641" t="s">
        <v>131</v>
      </c>
      <c r="B18" s="1641"/>
      <c r="C18" s="1641"/>
      <c r="E18" s="1642" t="s">
        <v>4473</v>
      </c>
      <c r="F18" s="1642"/>
      <c r="G18" s="1642"/>
    </row>
    <row r="19" spans="1:7" ht="15.75">
      <c r="A19" s="1637" t="s">
        <v>4808</v>
      </c>
      <c r="B19" s="1637"/>
      <c r="C19" s="1637"/>
      <c r="E19" s="1637" t="s">
        <v>4807</v>
      </c>
      <c r="F19" s="1637"/>
      <c r="G19" s="1637"/>
    </row>
    <row r="20" spans="1:7" ht="15.75">
      <c r="A20" s="1106"/>
      <c r="B20" s="1106"/>
      <c r="C20" s="1106"/>
      <c r="E20" s="1637"/>
      <c r="F20" s="1637"/>
      <c r="G20" s="1637"/>
    </row>
    <row r="21" spans="1:7" ht="15.75">
      <c r="A21" s="64" t="s">
        <v>0</v>
      </c>
      <c r="B21" s="336"/>
      <c r="C21" s="66" t="s">
        <v>128</v>
      </c>
      <c r="E21" s="64" t="s">
        <v>0</v>
      </c>
      <c r="F21" s="219"/>
      <c r="G21" s="66" t="s">
        <v>128</v>
      </c>
    </row>
    <row r="22" spans="1:7" ht="15.75">
      <c r="A22" s="67">
        <v>46220</v>
      </c>
      <c r="B22" s="336"/>
      <c r="C22" s="68">
        <v>180000</v>
      </c>
      <c r="E22" s="67">
        <v>46220</v>
      </c>
      <c r="F22" s="219"/>
      <c r="G22" s="68">
        <v>212000</v>
      </c>
    </row>
    <row r="23" spans="1:7" ht="15.75">
      <c r="A23" s="17"/>
      <c r="B23" s="64" t="s">
        <v>216</v>
      </c>
      <c r="C23" s="17"/>
      <c r="E23" s="17"/>
      <c r="F23" s="64" t="s">
        <v>216</v>
      </c>
      <c r="G23" s="17"/>
    </row>
    <row r="24" spans="1:7">
      <c r="A24" s="1638"/>
      <c r="B24" s="1638"/>
      <c r="C24" s="1638"/>
      <c r="E24" s="220"/>
      <c r="F24" s="220"/>
      <c r="G24" s="220"/>
    </row>
    <row r="25" spans="1:7" ht="3.75" customHeight="1">
      <c r="A25" s="1639"/>
      <c r="B25" s="1639"/>
      <c r="C25" s="1639"/>
    </row>
  </sheetData>
  <mergeCells count="17">
    <mergeCell ref="A3:B3"/>
    <mergeCell ref="E3:F3"/>
    <mergeCell ref="A4:C4"/>
    <mergeCell ref="E4:G4"/>
    <mergeCell ref="A5:C5"/>
    <mergeCell ref="E5:G5"/>
    <mergeCell ref="A6:C6"/>
    <mergeCell ref="A11:C12"/>
    <mergeCell ref="E11:G12"/>
    <mergeCell ref="A17:B17"/>
    <mergeCell ref="A24:C25"/>
    <mergeCell ref="A18:C18"/>
    <mergeCell ref="A19:C19"/>
    <mergeCell ref="E18:G18"/>
    <mergeCell ref="E19:G19"/>
    <mergeCell ref="E17:F17"/>
    <mergeCell ref="E20:G20"/>
  </mergeCells>
  <pageMargins left="0.7" right="0.7" top="0.75" bottom="0.75" header="0.3" footer="0.3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487E-BC8E-45BE-9712-1BEBADC5BC44}">
  <dimension ref="B5:D5"/>
  <sheetViews>
    <sheetView workbookViewId="0">
      <selection activeCell="F22" sqref="F22"/>
    </sheetView>
  </sheetViews>
  <sheetFormatPr baseColWidth="10" defaultRowHeight="15"/>
  <sheetData>
    <row r="5" spans="2:4">
      <c r="B5" s="1426"/>
      <c r="C5" s="1426"/>
      <c r="D5" s="14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 Moviemientos 2022- 2023</vt:lpstr>
      <vt:lpstr>Vencimientos</vt:lpstr>
      <vt:lpstr>Cheques</vt:lpstr>
      <vt:lpstr>Sueldo Mensual</vt:lpstr>
      <vt:lpstr>Sueldo Semanal</vt:lpstr>
      <vt:lpstr>Comporbante Sueldos</vt:lpstr>
      <vt:lpstr>Hoja1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Juan</cp:lastModifiedBy>
  <cp:lastPrinted>2026-07-17T18:03:47Z</cp:lastPrinted>
  <dcterms:created xsi:type="dcterms:W3CDTF">2022-01-10T12:16:57Z</dcterms:created>
  <dcterms:modified xsi:type="dcterms:W3CDTF">2026-07-23T19:00:34Z</dcterms:modified>
</cp:coreProperties>
</file>